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lsa.gov.il\Shares\אגף אזרחים ותיקים\אגפי תכנון ותקצוב\אסטרטגיה\בין משרדי\בטלא\חומר לינון\"/>
    </mc:Choice>
  </mc:AlternateContent>
  <bookViews>
    <workbookView xWindow="0" yWindow="0" windowWidth="19200" windowHeight="11490" activeTab="1"/>
  </bookViews>
  <sheets>
    <sheet name="חישובים" sheetId="2" r:id="rId1"/>
    <sheet name="תמרוץ שירותים- רמות 0-1-2" sheetId="1" r:id="rId2"/>
  </sheets>
  <externalReferences>
    <externalReference r:id="rId3"/>
  </externalReferences>
  <definedNames>
    <definedName name="מטרות_העל_המשרדיות">[1]נותנים!$A$2:$A$8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B28" i="2"/>
  <c r="B27" i="2"/>
  <c r="B25" i="2"/>
  <c r="B24" i="2"/>
  <c r="C19" i="2"/>
  <c r="B23" i="2" s="1"/>
  <c r="E12" i="2"/>
  <c r="B12" i="2"/>
  <c r="B11" i="2"/>
  <c r="B9" i="2"/>
  <c r="C3" i="2"/>
  <c r="B8" i="2" s="1"/>
  <c r="D3" i="2" l="1"/>
  <c r="D19" i="2"/>
  <c r="B7" i="2"/>
  <c r="D27" i="2" l="1"/>
  <c r="D22" i="2"/>
  <c r="D29" i="2"/>
  <c r="D11" i="2"/>
  <c r="D6" i="2"/>
  <c r="D12" i="2" s="1"/>
  <c r="D13" i="2"/>
  <c r="D10" i="2"/>
  <c r="D28" i="2" l="1"/>
  <c r="D26" i="2"/>
  <c r="E8" i="1" l="1"/>
  <c r="E7" i="1"/>
  <c r="I4" i="1"/>
  <c r="E4" i="1"/>
  <c r="E3" i="1"/>
</calcChain>
</file>

<file path=xl/sharedStrings.xml><?xml version="1.0" encoding="utf-8"?>
<sst xmlns="http://schemas.openxmlformats.org/spreadsheetml/2006/main" count="91" uniqueCount="65">
  <si>
    <t>רמה:</t>
  </si>
  <si>
    <t>חבילות שירות בסיסיות לקשיש, 
אפשרויות בחירה:</t>
  </si>
  <si>
    <t>כמה "שעות סיעוד" משלם הקשיש בחודש תמורת חבילת השירותים?</t>
  </si>
  <si>
    <t>האחוז מתוך הגמלה שיצבע לחבילת השירותים:</t>
  </si>
  <si>
    <t>חבילת שירות מורחבת:</t>
  </si>
  <si>
    <t>בונוס לחבילת שירות מורחבת:</t>
  </si>
  <si>
    <t>האחוז מתוך הגמלה שייצבע לחבילה מורחבת:</t>
  </si>
  <si>
    <t>שירותים נוספים לבחירת הקשיש:</t>
  </si>
  <si>
    <t>בפיתוח: חבילות שירות נוספות לבחירה</t>
  </si>
  <si>
    <t>אחוז קבלת כסף:</t>
  </si>
  <si>
    <t>0 - נדחי סיעוד ועצמאיים</t>
  </si>
  <si>
    <t>קהילה תומכת + מועדון חברתי במינוי חודשי</t>
  </si>
  <si>
    <t xml:space="preserve"> - </t>
  </si>
  <si>
    <r>
      <t xml:space="preserve">קשיש שיבחר בחבילה זו, יקבל הנחה בהשתתפות הפונה </t>
    </r>
    <r>
      <rPr>
        <b/>
        <sz val="10"/>
        <rFont val="Arial"/>
        <family val="2"/>
        <scheme val="minor"/>
      </rPr>
      <t>סבסוד של 50% בסבסוד הרווחה והרשויות במצינג אוניברסלי</t>
    </r>
  </si>
  <si>
    <t xml:space="preserve"> -</t>
  </si>
  <si>
    <t>1. מועדונים חברתיים
2. בתים חמים
3. פינות חמות</t>
  </si>
  <si>
    <t>1. קהילה תומכת משודרגת כולל ניקיון
2. מרכז יום משודרג
3. מועדון מופת משודרג
4. השמות בריאות בשירותים
5. חדרי קפה וכושר ייעודיים
6. תוכניות להפגת בדידות
7. מקדמות שמ"ע- שייכות, מניעה ועצמאות</t>
  </si>
  <si>
    <t>בסיס- צבוע לכולם</t>
  </si>
  <si>
    <t>קהילה תומכת</t>
  </si>
  <si>
    <r>
      <t xml:space="preserve">בבחירת גמלה מלאה בכסף,  
הקשיש יקבל 90% מהסכום, כשהיתרה מופנית להשתתפותו בקהילה תומכת (=שעתיים בחודש),
</t>
    </r>
    <r>
      <rPr>
        <b/>
        <sz val="10"/>
        <rFont val="Arial"/>
        <family val="2"/>
        <scheme val="minor"/>
      </rPr>
      <t xml:space="preserve">שעתיים בחודש מתוך 22 </t>
    </r>
  </si>
  <si>
    <t>1. הרחבת ימי ההשתתפות במופת ל-3 ימים
2. מרכז יום+
3. מועדון מועשר
4. מועדון חברתי
5. בית חם
6. ארוחה חמה</t>
  </si>
  <si>
    <r>
      <t>קהילה תומכת + מועדון מופת אחת לשבועיים</t>
    </r>
    <r>
      <rPr>
        <sz val="10"/>
        <color theme="1"/>
        <rFont val="Arial"/>
        <family val="2"/>
        <charset val="177"/>
        <scheme val="minor"/>
      </rPr>
      <t/>
    </r>
  </si>
  <si>
    <r>
      <t xml:space="preserve">קהילה תומכת: שעתיים בחודש + מועדון מופת או חברתי: שעתיים בחודש= 
</t>
    </r>
    <r>
      <rPr>
        <b/>
        <sz val="10"/>
        <color theme="1"/>
        <rFont val="Arial"/>
        <family val="2"/>
        <scheme val="minor"/>
      </rPr>
      <t xml:space="preserve">סה"כ 4 שעות מתוך 22 
</t>
    </r>
    <r>
      <rPr>
        <sz val="10"/>
        <color theme="1"/>
        <rFont val="Arial"/>
        <family val="2"/>
        <scheme val="minor"/>
      </rPr>
      <t/>
    </r>
  </si>
  <si>
    <t>קהילה תומכת + השמה מלאה במועדון מופת - 3 ימים בשבוע</t>
  </si>
  <si>
    <t>מסובסד</t>
  </si>
  <si>
    <t xml:space="preserve"> קהילה תומכת + השמה מלאה במועדון מופת- 3 ימים בשבוע
בסבסוד רווחה
</t>
  </si>
  <si>
    <r>
      <t xml:space="preserve">קהילה תומכת: שעתיים + מופת אחת לשבוע: 4 שעות + השלמה להשמה מלאה ע"י הרווחה (סבסוד של 374 ₪)= 
</t>
    </r>
    <r>
      <rPr>
        <b/>
        <sz val="10"/>
        <color theme="1"/>
        <rFont val="Arial"/>
        <family val="2"/>
        <scheme val="minor"/>
      </rPr>
      <t>סה"כ 6 שעות מתוך 22</t>
    </r>
  </si>
  <si>
    <t>קהילה תומכת + מועדון מופת פעם בחודש</t>
  </si>
  <si>
    <r>
      <t xml:space="preserve">בבחירת גמלה מלאה בכסף, 
הקשיש יקבל 70% מהסכום, כשהיתרה מופנית להשתתפותו במועדון מופת אחת לשבועיים ובקהילה תומכת:
קהילה תומכת: שעתיים, מופת אחת לחודש: שעתיים =
</t>
    </r>
    <r>
      <rPr>
        <b/>
        <sz val="10"/>
        <color theme="1"/>
        <rFont val="Arial"/>
        <family val="2"/>
        <scheme val="minor"/>
      </rPr>
      <t xml:space="preserve">סה"כ 4 שעות מתוך 40 </t>
    </r>
  </si>
  <si>
    <t>קהילה תומכת + מועדון מופת אחת לשבוע</t>
  </si>
  <si>
    <r>
      <t xml:space="preserve">קהילה תומכת: שעתיים + מופת אחת לשבוע: 4 שעות = </t>
    </r>
    <r>
      <rPr>
        <b/>
        <sz val="10"/>
        <color theme="1"/>
        <rFont val="Arial"/>
        <family val="2"/>
        <scheme val="minor"/>
      </rPr>
      <t>סה"כ 6 שעות מתוך 40</t>
    </r>
  </si>
  <si>
    <r>
      <t xml:space="preserve"> קהילה תומכת + השמה מלאה במועדון מופת- 3 ימים בשבוע 
בסבסוד רווחה
</t>
    </r>
    <r>
      <rPr>
        <b/>
        <sz val="10"/>
        <color theme="1"/>
        <rFont val="Arial"/>
        <family val="2"/>
        <scheme val="minor"/>
      </rPr>
      <t/>
    </r>
  </si>
  <si>
    <r>
      <t xml:space="preserve"> קהילה תומכת: שעתיים + מופת אחת לשבוע: 4 שעות בחודש + השלמה להשמה מלאה ע"י הרווחה (סבסוד של 206 ₪)=</t>
    </r>
    <r>
      <rPr>
        <b/>
        <sz val="10"/>
        <color theme="1"/>
        <rFont val="Arial"/>
        <family val="2"/>
        <scheme val="minor"/>
      </rPr>
      <t xml:space="preserve">
סה"כ 6 שעות מתוך 40</t>
    </r>
    <r>
      <rPr>
        <sz val="10"/>
        <color theme="1"/>
        <rFont val="Arial"/>
        <family val="2"/>
        <charset val="177"/>
        <scheme val="minor"/>
      </rPr>
      <t xml:space="preserve">
</t>
    </r>
  </si>
  <si>
    <t xml:space="preserve">
יום בשבוע חינם במועדון מופת = סבסוד של 4 שעות סיעוד בחודש</t>
  </si>
  <si>
    <t>יום בשבוע חינם במועדון מופת = סבסוד של 4 שעות סיעוד בחודש</t>
  </si>
  <si>
    <t>27%
במקום 65%</t>
  </si>
  <si>
    <t>רמה 1</t>
  </si>
  <si>
    <t>שעות סיעוד</t>
  </si>
  <si>
    <t>שווי שעות סיעוד</t>
  </si>
  <si>
    <t>שווי שעת סיעוד</t>
  </si>
  <si>
    <t>צבועות עבור:</t>
  </si>
  <si>
    <t>כסף ביד שנותר אחרי הצביעה</t>
  </si>
  <si>
    <t>צבוע לכולם</t>
  </si>
  <si>
    <t>קופח- שירותים</t>
  </si>
  <si>
    <t>ביטוח לאומי-כסף</t>
  </si>
  <si>
    <t>שירותים עפ"י בחירה:</t>
  </si>
  <si>
    <t>רווחה, אפשרויות:</t>
  </si>
  <si>
    <t>סבסוד רווחה:</t>
  </si>
  <si>
    <t>ברירת מחדל</t>
  </si>
  <si>
    <t>יום בחודש במועדון מופת</t>
  </si>
  <si>
    <t>תוספת</t>
  </si>
  <si>
    <t>יום בשבוע מופת, או מועדון חברתי חודשי</t>
  </si>
  <si>
    <t>משודרג ומסובסד</t>
  </si>
  <si>
    <t>שלושה ימי מופת (אחד על חשבון הרווחה)</t>
  </si>
  <si>
    <t>כסף ביד בלבד</t>
  </si>
  <si>
    <t>תשלום  75% מתוך הכסף לשירותים</t>
  </si>
  <si>
    <t>רמה 2</t>
  </si>
  <si>
    <t>קופח-שירותים</t>
  </si>
  <si>
    <t>יומיים בחודש במועדון מופת</t>
  </si>
  <si>
    <t>15% 
מתוך 23.3%</t>
  </si>
  <si>
    <t>1,2</t>
  </si>
  <si>
    <t>המרה לכסף</t>
  </si>
  <si>
    <t>לתמרוץ, סבסוד ושיווק השירותים לזכאים</t>
  </si>
  <si>
    <t>אחת לחצי שנה יבררו עימו האם בכל זאת מעוניין בשירות</t>
  </si>
  <si>
    <t>בבחירה בגמלה מלאה בכסף - יקבל 75%, כשהיתרה מופנית לפיתוח שירותים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</si>
</sst>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₪&quot;\ * #,##0.00_ ;_ &quot;₪&quot;\ * \-#,##0.00_ ;_ &quot;₪&quot;\ * &quot;-&quot;??_ ;_ @_ "/>
    <numFmt numFmtId="164" formatCode="_ &quot;₪&quot;\ * #,##0_ ;_ &quot;₪&quot;\ * \-#,##0_ ;_ &quot;₪&quot;\ * &quot;-&quot;??_ ;_ @_ "/>
    <numFmt numFmtId="165" formatCode="_ &quot;₪&quot;\ * #,##0.0_ ;_ &quot;₪&quot;\ * \-#,##0.0_ ;_ &quot;₪&quot;\ * &quot;-&quot;?_ ;_ @_ "/>
    <numFmt numFmtId="166" formatCode="0.0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charset val="177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 readingOrder="2"/>
    </xf>
    <xf numFmtId="1" fontId="2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9" fontId="8" fillId="4" borderId="1" xfId="1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 readingOrder="2"/>
    </xf>
    <xf numFmtId="1" fontId="2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 readingOrder="2"/>
    </xf>
    <xf numFmtId="0" fontId="3" fillId="9" borderId="1" xfId="0" applyFont="1" applyFill="1" applyBorder="1" applyAlignment="1">
      <alignment horizontal="center" vertical="center" wrapText="1" readingOrder="2"/>
    </xf>
    <xf numFmtId="0" fontId="2" fillId="9" borderId="1" xfId="0" applyFont="1" applyFill="1" applyBorder="1" applyAlignment="1">
      <alignment horizontal="center" vertical="center"/>
    </xf>
    <xf numFmtId="9" fontId="8" fillId="6" borderId="1" xfId="1" applyNumberFormat="1" applyFont="1" applyFill="1" applyBorder="1" applyAlignment="1">
      <alignment vertical="center" wrapText="1" readingOrder="2"/>
    </xf>
    <xf numFmtId="0" fontId="9" fillId="6" borderId="1" xfId="0" applyFont="1" applyFill="1" applyBorder="1" applyAlignment="1">
      <alignment vertical="center" wrapText="1" readingOrder="2"/>
    </xf>
    <xf numFmtId="0" fontId="2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 readingOrder="2"/>
    </xf>
    <xf numFmtId="0" fontId="3" fillId="8" borderId="1" xfId="0" applyFont="1" applyFill="1" applyBorder="1" applyAlignment="1">
      <alignment horizontal="center" vertical="center" wrapText="1" readingOrder="2"/>
    </xf>
    <xf numFmtId="9" fontId="8" fillId="8" borderId="1" xfId="1" applyNumberFormat="1" applyFont="1" applyFill="1" applyBorder="1" applyAlignment="1">
      <alignment vertical="center" wrapText="1" readingOrder="2"/>
    </xf>
    <xf numFmtId="0" fontId="9" fillId="8" borderId="1" xfId="0" applyFont="1" applyFill="1" applyBorder="1" applyAlignment="1">
      <alignment vertical="center" wrapText="1" readingOrder="2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 readingOrder="2"/>
    </xf>
    <xf numFmtId="0" fontId="2" fillId="9" borderId="2" xfId="0" applyFont="1" applyFill="1" applyBorder="1" applyAlignment="1">
      <alignment horizontal="center" vertical="center" wrapText="1"/>
    </xf>
    <xf numFmtId="0" fontId="9" fillId="0" borderId="0" xfId="0" applyFont="1"/>
    <xf numFmtId="0" fontId="12" fillId="12" borderId="1" xfId="0" applyFont="1" applyFill="1" applyBorder="1"/>
    <xf numFmtId="0" fontId="9" fillId="12" borderId="1" xfId="0" applyFont="1" applyFill="1" applyBorder="1"/>
    <xf numFmtId="164" fontId="9" fillId="12" borderId="1" xfId="2" applyNumberFormat="1" applyFont="1" applyFill="1" applyBorder="1"/>
    <xf numFmtId="0" fontId="0" fillId="0" borderId="9" xfId="0" applyBorder="1"/>
    <xf numFmtId="0" fontId="0" fillId="0" borderId="10" xfId="0" applyBorder="1"/>
    <xf numFmtId="0" fontId="9" fillId="0" borderId="1" xfId="0" applyFont="1" applyBorder="1"/>
    <xf numFmtId="0" fontId="11" fillId="0" borderId="1" xfId="0" applyFont="1" applyFill="1" applyBorder="1"/>
    <xf numFmtId="0" fontId="11" fillId="0" borderId="1" xfId="0" applyFont="1" applyBorder="1"/>
    <xf numFmtId="0" fontId="12" fillId="11" borderId="1" xfId="0" applyFont="1" applyFill="1" applyBorder="1"/>
    <xf numFmtId="0" fontId="9" fillId="11" borderId="1" xfId="0" applyFont="1" applyFill="1" applyBorder="1"/>
    <xf numFmtId="2" fontId="12" fillId="11" borderId="1" xfId="0" applyNumberFormat="1" applyFont="1" applyFill="1" applyBorder="1"/>
    <xf numFmtId="0" fontId="12" fillId="13" borderId="1" xfId="0" applyFont="1" applyFill="1" applyBorder="1"/>
    <xf numFmtId="2" fontId="12" fillId="13" borderId="1" xfId="0" applyNumberFormat="1" applyFont="1" applyFill="1" applyBorder="1"/>
    <xf numFmtId="0" fontId="12" fillId="13" borderId="1" xfId="0" applyFont="1" applyFill="1" applyBorder="1" applyAlignment="1">
      <alignment horizontal="right"/>
    </xf>
    <xf numFmtId="0" fontId="9" fillId="13" borderId="1" xfId="0" applyFont="1" applyFill="1" applyBorder="1"/>
    <xf numFmtId="164" fontId="9" fillId="13" borderId="1" xfId="0" applyNumberFormat="1" applyFont="1" applyFill="1" applyBorder="1"/>
    <xf numFmtId="0" fontId="9" fillId="13" borderId="1" xfId="0" applyFont="1" applyFill="1" applyBorder="1" applyAlignment="1">
      <alignment horizontal="right" readingOrder="2"/>
    </xf>
    <xf numFmtId="164" fontId="9" fillId="13" borderId="1" xfId="2" applyNumberFormat="1" applyFont="1" applyFill="1" applyBorder="1"/>
    <xf numFmtId="165" fontId="9" fillId="0" borderId="0" xfId="0" applyNumberFormat="1" applyFont="1"/>
    <xf numFmtId="0" fontId="12" fillId="14" borderId="1" xfId="0" applyFont="1" applyFill="1" applyBorder="1"/>
    <xf numFmtId="0" fontId="9" fillId="14" borderId="1" xfId="0" applyFont="1" applyFill="1" applyBorder="1"/>
    <xf numFmtId="164" fontId="9" fillId="14" borderId="1" xfId="2" applyNumberFormat="1" applyFont="1" applyFill="1" applyBorder="1"/>
    <xf numFmtId="166" fontId="12" fillId="11" borderId="1" xfId="0" applyNumberFormat="1" applyFont="1" applyFill="1" applyBorder="1"/>
    <xf numFmtId="0" fontId="12" fillId="10" borderId="1" xfId="0" applyFont="1" applyFill="1" applyBorder="1"/>
    <xf numFmtId="166" fontId="12" fillId="10" borderId="1" xfId="0" applyNumberFormat="1" applyFont="1" applyFill="1" applyBorder="1"/>
    <xf numFmtId="164" fontId="9" fillId="10" borderId="1" xfId="0" applyNumberFormat="1" applyFont="1" applyFill="1" applyBorder="1"/>
    <xf numFmtId="0" fontId="9" fillId="10" borderId="1" xfId="0" applyFont="1" applyFill="1" applyBorder="1"/>
    <xf numFmtId="0" fontId="9" fillId="10" borderId="1" xfId="0" applyFont="1" applyFill="1" applyBorder="1" applyAlignment="1">
      <alignment horizontal="right" readingOrder="2"/>
    </xf>
    <xf numFmtId="9" fontId="0" fillId="0" borderId="0" xfId="0" applyNumberFormat="1"/>
    <xf numFmtId="0" fontId="9" fillId="11" borderId="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164" fontId="9" fillId="11" borderId="3" xfId="0" applyNumberFormat="1" applyFont="1" applyFill="1" applyBorder="1" applyAlignment="1">
      <alignment vertical="center"/>
    </xf>
    <xf numFmtId="164" fontId="9" fillId="11" borderId="5" xfId="0" applyNumberFormat="1" applyFont="1" applyFill="1" applyBorder="1" applyAlignment="1">
      <alignment vertical="center"/>
    </xf>
    <xf numFmtId="164" fontId="9" fillId="11" borderId="6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3" borderId="5" xfId="0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1" fontId="2" fillId="4" borderId="3" xfId="0" applyNumberFormat="1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9" fontId="2" fillId="5" borderId="4" xfId="1" applyFont="1" applyFill="1" applyBorder="1" applyAlignment="1">
      <alignment horizontal="center" vertical="center"/>
    </xf>
    <xf numFmtId="9" fontId="2" fillId="5" borderId="2" xfId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 readingOrder="2"/>
    </xf>
    <xf numFmtId="0" fontId="9" fillId="4" borderId="5" xfId="0" applyFont="1" applyFill="1" applyBorder="1" applyAlignment="1">
      <alignment horizontal="center" vertical="center" wrapText="1" readingOrder="2"/>
    </xf>
    <xf numFmtId="0" fontId="9" fillId="4" borderId="6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0" fontId="9" fillId="3" borderId="5" xfId="0" applyFont="1" applyFill="1" applyBorder="1" applyAlignment="1">
      <alignment horizontal="center" vertical="center" wrapText="1" readingOrder="2"/>
    </xf>
    <xf numFmtId="0" fontId="9" fillId="3" borderId="6" xfId="0" applyFont="1" applyFill="1" applyBorder="1" applyAlignment="1">
      <alignment horizontal="center" vertical="center" wrapText="1" readingOrder="2"/>
    </xf>
    <xf numFmtId="0" fontId="2" fillId="8" borderId="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9" fontId="8" fillId="9" borderId="4" xfId="1" applyNumberFormat="1" applyFont="1" applyFill="1" applyBorder="1" applyAlignment="1">
      <alignment horizontal="center" vertical="center" wrapText="1"/>
    </xf>
    <xf numFmtId="9" fontId="8" fillId="9" borderId="2" xfId="1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 readingOrder="2"/>
    </xf>
    <xf numFmtId="0" fontId="9" fillId="8" borderId="5" xfId="0" applyFont="1" applyFill="1" applyBorder="1" applyAlignment="1">
      <alignment horizontal="center" vertical="center" wrapText="1" readingOrder="2"/>
    </xf>
    <xf numFmtId="0" fontId="9" fillId="8" borderId="6" xfId="0" applyFont="1" applyFill="1" applyBorder="1" applyAlignment="1">
      <alignment horizontal="center" vertical="center" wrapText="1" readingOrder="2"/>
    </xf>
    <xf numFmtId="0" fontId="10" fillId="9" borderId="3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9" fontId="8" fillId="9" borderId="7" xfId="1" applyNumberFormat="1" applyFont="1" applyFill="1" applyBorder="1" applyAlignment="1">
      <alignment horizontal="center" vertical="center" wrapText="1" readingOrder="2"/>
    </xf>
    <xf numFmtId="9" fontId="8" fillId="9" borderId="8" xfId="1" applyNumberFormat="1" applyFont="1" applyFill="1" applyBorder="1" applyAlignment="1">
      <alignment horizontal="center" vertical="center" wrapText="1" readingOrder="2"/>
    </xf>
    <xf numFmtId="9" fontId="8" fillId="8" borderId="4" xfId="1" applyNumberFormat="1" applyFont="1" applyFill="1" applyBorder="1" applyAlignment="1">
      <alignment horizontal="center" vertical="center" wrapText="1" readingOrder="2"/>
    </xf>
    <xf numFmtId="9" fontId="8" fillId="8" borderId="2" xfId="1" applyNumberFormat="1" applyFont="1" applyFill="1" applyBorder="1" applyAlignment="1">
      <alignment horizontal="center" vertical="center" wrapText="1" readingOrder="2"/>
    </xf>
    <xf numFmtId="0" fontId="9" fillId="7" borderId="3" xfId="0" applyFont="1" applyFill="1" applyBorder="1" applyAlignment="1">
      <alignment horizontal="center" vertical="center" wrapText="1" readingOrder="2"/>
    </xf>
    <xf numFmtId="0" fontId="9" fillId="7" borderId="5" xfId="0" applyFont="1" applyFill="1" applyBorder="1" applyAlignment="1">
      <alignment horizontal="center" vertical="center" wrapText="1" readingOrder="2"/>
    </xf>
    <xf numFmtId="0" fontId="9" fillId="7" borderId="6" xfId="0" applyFont="1" applyFill="1" applyBorder="1" applyAlignment="1">
      <alignment horizontal="center" vertical="center" wrapText="1" readingOrder="2"/>
    </xf>
    <xf numFmtId="0" fontId="9" fillId="5" borderId="1" xfId="0" applyFont="1" applyFill="1" applyBorder="1" applyAlignment="1">
      <alignment horizontal="center" wrapText="1" readingOrder="2"/>
    </xf>
    <xf numFmtId="0" fontId="3" fillId="5" borderId="1" xfId="0" applyFont="1" applyFill="1" applyBorder="1" applyAlignment="1">
      <alignment horizontal="center" wrapText="1" readingOrder="2"/>
    </xf>
    <xf numFmtId="9" fontId="8" fillId="5" borderId="1" xfId="1" applyNumberFormat="1" applyFont="1" applyFill="1" applyBorder="1" applyAlignment="1">
      <alignment horizontal="center" vertical="center" wrapText="1"/>
    </xf>
    <xf numFmtId="9" fontId="3" fillId="6" borderId="3" xfId="1" applyNumberFormat="1" applyFont="1" applyFill="1" applyBorder="1" applyAlignment="1">
      <alignment horizontal="center" vertical="center" wrapText="1"/>
    </xf>
    <xf numFmtId="9" fontId="3" fillId="6" borderId="6" xfId="1" applyNumberFormat="1" applyFont="1" applyFill="1" applyBorder="1" applyAlignment="1">
      <alignment horizontal="center" vertical="center" wrapText="1"/>
    </xf>
    <xf numFmtId="9" fontId="8" fillId="6" borderId="3" xfId="1" applyFont="1" applyFill="1" applyBorder="1" applyAlignment="1">
      <alignment horizontal="center" vertical="center" wrapText="1" readingOrder="2"/>
    </xf>
    <xf numFmtId="9" fontId="8" fillId="6" borderId="6" xfId="1" applyFont="1" applyFill="1" applyBorder="1" applyAlignment="1">
      <alignment horizontal="center" vertical="center" wrapText="1" readingOrder="2"/>
    </xf>
    <xf numFmtId="9" fontId="8" fillId="4" borderId="1" xfId="1" applyNumberFormat="1" applyFont="1" applyFill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its\AppData\Local\Microsoft\Windows\INetCache\Content.Outlook\FW4O5MY0\&#1506;&#1493;&#1514;&#1511;%20&#1513;&#1500;%20&#1488;&#1495;&#1512;&#1497;%20&#1514;&#1497;&#1511;&#1493;&#1504;&#1497;&#1501;%20%20&#1514;&#1502;&#1497;%20&#1502;&#1513;&#1497;&#1502;&#1493;&#1514;%20&#1493;&#1488;&#1489;&#1504;&#1497;%20&#1491;&#1512;&#1498;%20-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שימות"/>
      <sheetName val="נותנים"/>
      <sheetName val="מבנה ארגוני"/>
    </sheetNames>
    <sheetDataSet>
      <sheetData sheetId="0" refreshError="1"/>
      <sheetData sheetId="1">
        <row r="2">
          <cell r="A2" t="str">
            <v>מניעת והפחתת הצורך בשירותי רווחה</v>
          </cell>
        </row>
        <row r="3">
          <cell r="A3" t="str">
            <v>שירותי רווחה מגוונים המותאמים למגוון האוכלוסיות ולצרכים השונים</v>
          </cell>
        </row>
        <row r="4">
          <cell r="A4" t="str">
            <v>מערכת רווחה אפקטיבית ויעילה</v>
          </cell>
        </row>
        <row r="5">
          <cell r="A5" t="str">
            <v>הון אנושי איכותי ומועצם במערך הרווחה</v>
          </cell>
        </row>
        <row r="6">
          <cell r="A6" t="str">
            <v>שיתופי הפעולה במערכת ומחוצה לה</v>
          </cell>
        </row>
        <row r="7">
          <cell r="A7" t="str">
            <v>צמצום פערים ועיוותי הקצאה</v>
          </cell>
        </row>
        <row r="8">
          <cell r="A8" t="str">
            <v>אחר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rightToLeft="1" workbookViewId="0">
      <selection activeCell="C34" sqref="C34"/>
    </sheetView>
  </sheetViews>
  <sheetFormatPr defaultRowHeight="14.25" x14ac:dyDescent="0.2"/>
  <cols>
    <col min="1" max="1" width="17.625" customWidth="1"/>
    <col min="2" max="2" width="9.75" bestFit="1" customWidth="1"/>
    <col min="3" max="3" width="29.75" bestFit="1" customWidth="1"/>
    <col min="4" max="4" width="23.625" bestFit="1" customWidth="1"/>
    <col min="5" max="5" width="11" bestFit="1" customWidth="1"/>
    <col min="6" max="6" width="10.5" bestFit="1" customWidth="1"/>
    <col min="7" max="7" width="11.625" customWidth="1"/>
    <col min="9" max="9" width="11.625" bestFit="1" customWidth="1"/>
  </cols>
  <sheetData>
    <row r="2" spans="1:8" ht="15" thickBot="1" x14ac:dyDescent="0.25">
      <c r="A2" s="34"/>
      <c r="B2" s="35" t="s">
        <v>36</v>
      </c>
      <c r="C2" s="35" t="s">
        <v>37</v>
      </c>
      <c r="D2" s="35" t="s">
        <v>38</v>
      </c>
      <c r="E2" s="34"/>
    </row>
    <row r="3" spans="1:8" ht="15" thickBot="1" x14ac:dyDescent="0.25">
      <c r="A3" s="34"/>
      <c r="B3" s="36"/>
      <c r="C3" s="36">
        <f>4.3*5.5</f>
        <v>23.65</v>
      </c>
      <c r="D3" s="37">
        <f>C3*H3</f>
        <v>1419</v>
      </c>
      <c r="E3" s="34"/>
      <c r="G3" s="38" t="s">
        <v>39</v>
      </c>
      <c r="H3" s="39">
        <v>60</v>
      </c>
    </row>
    <row r="4" spans="1:8" x14ac:dyDescent="0.2">
      <c r="A4" s="34"/>
      <c r="B4" s="34"/>
      <c r="C4" s="34"/>
      <c r="D4" s="34"/>
      <c r="E4" s="34"/>
    </row>
    <row r="5" spans="1:8" ht="15" x14ac:dyDescent="0.25">
      <c r="A5" s="40"/>
      <c r="B5" s="41" t="s">
        <v>37</v>
      </c>
      <c r="C5" s="41" t="s">
        <v>40</v>
      </c>
      <c r="D5" s="42" t="s">
        <v>41</v>
      </c>
      <c r="E5" s="40"/>
    </row>
    <row r="6" spans="1:8" x14ac:dyDescent="0.2">
      <c r="A6" s="64" t="s">
        <v>42</v>
      </c>
      <c r="B6" s="43">
        <v>2.15</v>
      </c>
      <c r="C6" s="44" t="s">
        <v>18</v>
      </c>
      <c r="D6" s="67">
        <f>D3-B6*H3</f>
        <v>1290</v>
      </c>
      <c r="E6" s="70"/>
    </row>
    <row r="7" spans="1:8" x14ac:dyDescent="0.2">
      <c r="A7" s="65"/>
      <c r="B7" s="45">
        <f>C3*(1/3)</f>
        <v>7.8833333333333329</v>
      </c>
      <c r="C7" s="44" t="s">
        <v>43</v>
      </c>
      <c r="D7" s="68"/>
      <c r="E7" s="71"/>
    </row>
    <row r="8" spans="1:8" x14ac:dyDescent="0.2">
      <c r="A8" s="66"/>
      <c r="B8" s="45">
        <f>C3*(1/3)</f>
        <v>7.8833333333333329</v>
      </c>
      <c r="C8" s="44" t="s">
        <v>44</v>
      </c>
      <c r="D8" s="69"/>
      <c r="E8" s="72"/>
    </row>
    <row r="9" spans="1:8" x14ac:dyDescent="0.2">
      <c r="A9" s="46" t="s">
        <v>45</v>
      </c>
      <c r="B9" s="47">
        <f>C3*(1/3)-B6</f>
        <v>5.7333333333333325</v>
      </c>
      <c r="C9" s="48" t="s">
        <v>46</v>
      </c>
      <c r="D9" s="49"/>
      <c r="E9" s="46" t="s">
        <v>47</v>
      </c>
    </row>
    <row r="10" spans="1:8" x14ac:dyDescent="0.2">
      <c r="A10" s="49" t="s">
        <v>48</v>
      </c>
      <c r="B10" s="49">
        <v>1</v>
      </c>
      <c r="C10" s="49" t="s">
        <v>49</v>
      </c>
      <c r="D10" s="50">
        <f>(D3-B6*H3)-H3*B10</f>
        <v>1230</v>
      </c>
      <c r="E10" s="49"/>
    </row>
    <row r="11" spans="1:8" x14ac:dyDescent="0.2">
      <c r="A11" s="49" t="s">
        <v>50</v>
      </c>
      <c r="B11" s="49">
        <f>4.3</f>
        <v>4.3</v>
      </c>
      <c r="C11" s="49" t="s">
        <v>51</v>
      </c>
      <c r="D11" s="50">
        <f>(D3-B6*H3)-B11*H3</f>
        <v>1032</v>
      </c>
      <c r="E11" s="49"/>
    </row>
    <row r="12" spans="1:8" x14ac:dyDescent="0.2">
      <c r="A12" s="49" t="s">
        <v>52</v>
      </c>
      <c r="B12" s="49">
        <f>12.9/2</f>
        <v>6.45</v>
      </c>
      <c r="C12" s="49" t="s">
        <v>53</v>
      </c>
      <c r="D12" s="50">
        <f>D6-(B12*60)-B6*60</f>
        <v>774</v>
      </c>
      <c r="E12" s="49">
        <f>734-B12*H3</f>
        <v>347</v>
      </c>
    </row>
    <row r="13" spans="1:8" x14ac:dyDescent="0.2">
      <c r="A13" s="49" t="s">
        <v>54</v>
      </c>
      <c r="B13" s="49">
        <v>0</v>
      </c>
      <c r="C13" s="51" t="s">
        <v>55</v>
      </c>
      <c r="D13" s="52">
        <f>(D3-B6*H3)*0.75</f>
        <v>967.5</v>
      </c>
      <c r="E13" s="49"/>
    </row>
    <row r="14" spans="1:8" x14ac:dyDescent="0.2">
      <c r="A14" s="34"/>
      <c r="B14" s="34"/>
      <c r="C14" s="34"/>
      <c r="D14" s="53"/>
      <c r="E14" s="34"/>
    </row>
    <row r="15" spans="1:8" x14ac:dyDescent="0.2">
      <c r="A15" s="34"/>
      <c r="B15" s="34"/>
      <c r="C15" s="34"/>
      <c r="D15" s="34"/>
      <c r="E15" s="34"/>
    </row>
    <row r="16" spans="1:8" x14ac:dyDescent="0.2">
      <c r="A16" s="34"/>
      <c r="B16" s="34"/>
      <c r="C16" s="34"/>
      <c r="D16" s="34"/>
      <c r="E16" s="34"/>
    </row>
    <row r="17" spans="1:5" x14ac:dyDescent="0.2">
      <c r="A17" s="34"/>
      <c r="B17" s="34"/>
      <c r="C17" s="34"/>
      <c r="D17" s="34"/>
      <c r="E17" s="34"/>
    </row>
    <row r="18" spans="1:5" x14ac:dyDescent="0.2">
      <c r="A18" s="34"/>
      <c r="B18" s="54" t="s">
        <v>56</v>
      </c>
      <c r="C18" s="54" t="s">
        <v>37</v>
      </c>
      <c r="D18" s="54" t="s">
        <v>38</v>
      </c>
      <c r="E18" s="34"/>
    </row>
    <row r="19" spans="1:5" x14ac:dyDescent="0.2">
      <c r="A19" s="34"/>
      <c r="B19" s="55"/>
      <c r="C19" s="55">
        <f>4.3*10</f>
        <v>43</v>
      </c>
      <c r="D19" s="56">
        <f>C19*H3</f>
        <v>2580</v>
      </c>
      <c r="E19" s="34"/>
    </row>
    <row r="20" spans="1:5" x14ac:dyDescent="0.2">
      <c r="A20" s="34"/>
      <c r="B20" s="34"/>
      <c r="C20" s="34"/>
      <c r="D20" s="34"/>
      <c r="E20" s="34"/>
    </row>
    <row r="21" spans="1:5" ht="15" x14ac:dyDescent="0.25">
      <c r="A21" s="40"/>
      <c r="B21" s="41" t="s">
        <v>37</v>
      </c>
      <c r="C21" s="41" t="s">
        <v>40</v>
      </c>
      <c r="D21" s="42" t="s">
        <v>41</v>
      </c>
      <c r="E21" s="40"/>
    </row>
    <row r="22" spans="1:5" x14ac:dyDescent="0.2">
      <c r="A22" s="64" t="s">
        <v>42</v>
      </c>
      <c r="B22" s="57">
        <v>2.15</v>
      </c>
      <c r="C22" s="44" t="s">
        <v>18</v>
      </c>
      <c r="D22" s="67">
        <f>D19-B22*H3</f>
        <v>2451</v>
      </c>
      <c r="E22" s="70"/>
    </row>
    <row r="23" spans="1:5" x14ac:dyDescent="0.2">
      <c r="A23" s="65"/>
      <c r="B23" s="57">
        <f>C19*(1/3)</f>
        <v>14.333333333333332</v>
      </c>
      <c r="C23" s="44" t="s">
        <v>57</v>
      </c>
      <c r="D23" s="68"/>
      <c r="E23" s="71"/>
    </row>
    <row r="24" spans="1:5" x14ac:dyDescent="0.2">
      <c r="A24" s="66"/>
      <c r="B24" s="57">
        <f>C19*(1/3)</f>
        <v>14.333333333333332</v>
      </c>
      <c r="C24" s="44" t="s">
        <v>44</v>
      </c>
      <c r="D24" s="69"/>
      <c r="E24" s="72"/>
    </row>
    <row r="25" spans="1:5" x14ac:dyDescent="0.2">
      <c r="A25" s="58" t="s">
        <v>45</v>
      </c>
      <c r="B25" s="59">
        <f>C19*(1/3)-B22</f>
        <v>12.183333333333332</v>
      </c>
      <c r="C25" s="58" t="s">
        <v>46</v>
      </c>
      <c r="D25" s="60"/>
      <c r="E25" s="58" t="s">
        <v>47</v>
      </c>
    </row>
    <row r="26" spans="1:5" x14ac:dyDescent="0.2">
      <c r="A26" s="61" t="s">
        <v>48</v>
      </c>
      <c r="B26" s="61">
        <v>1</v>
      </c>
      <c r="C26" s="61" t="s">
        <v>58</v>
      </c>
      <c r="D26" s="60">
        <f>D22-(B26*H3)</f>
        <v>2391</v>
      </c>
      <c r="E26" s="61"/>
    </row>
    <row r="27" spans="1:5" x14ac:dyDescent="0.2">
      <c r="A27" s="61" t="s">
        <v>50</v>
      </c>
      <c r="B27" s="61">
        <f>4.3</f>
        <v>4.3</v>
      </c>
      <c r="C27" s="61" t="s">
        <v>51</v>
      </c>
      <c r="D27" s="60">
        <f>(D19-B22*H19)-B27*H19</f>
        <v>2580</v>
      </c>
      <c r="E27" s="61"/>
    </row>
    <row r="28" spans="1:5" x14ac:dyDescent="0.2">
      <c r="A28" s="61" t="s">
        <v>52</v>
      </c>
      <c r="B28" s="61">
        <f>12.9/2</f>
        <v>6.45</v>
      </c>
      <c r="C28" s="61" t="s">
        <v>53</v>
      </c>
      <c r="D28" s="60">
        <f>D22-(B28*60)-B22*60</f>
        <v>1935</v>
      </c>
      <c r="E28" s="61">
        <f>734-B28*$H$3</f>
        <v>347</v>
      </c>
    </row>
    <row r="29" spans="1:5" x14ac:dyDescent="0.2">
      <c r="A29" s="61" t="s">
        <v>54</v>
      </c>
      <c r="B29" s="61">
        <v>0</v>
      </c>
      <c r="C29" s="62" t="s">
        <v>55</v>
      </c>
      <c r="D29" s="60">
        <f>(D19-B22*H3)*0.7</f>
        <v>1715.6999999999998</v>
      </c>
      <c r="E29" s="61"/>
    </row>
    <row r="30" spans="1:5" x14ac:dyDescent="0.2">
      <c r="A30" s="34"/>
      <c r="B30" s="34"/>
      <c r="C30" s="34"/>
      <c r="D30" s="34"/>
      <c r="E30" s="34"/>
    </row>
  </sheetData>
  <mergeCells count="6">
    <mergeCell ref="A6:A8"/>
    <mergeCell ref="D6:D8"/>
    <mergeCell ref="E6:E8"/>
    <mergeCell ref="A22:A24"/>
    <mergeCell ref="D22:D24"/>
    <mergeCell ref="E22:E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rightToLeft="1" tabSelected="1" zoomScale="110" zoomScaleNormal="110" workbookViewId="0">
      <selection sqref="A1:XFD1"/>
    </sheetView>
  </sheetViews>
  <sheetFormatPr defaultRowHeight="14.25" x14ac:dyDescent="0.2"/>
  <cols>
    <col min="1" max="1" width="7.625" customWidth="1"/>
    <col min="2" max="2" width="5.875" customWidth="1"/>
    <col min="3" max="3" width="18.25" customWidth="1"/>
    <col min="4" max="4" width="29.875" hidden="1" customWidth="1"/>
    <col min="5" max="5" width="3.75" customWidth="1"/>
    <col min="6" max="6" width="9.75" customWidth="1"/>
    <col min="7" max="7" width="0" hidden="1" customWidth="1"/>
    <col min="8" max="8" width="20.125" customWidth="1"/>
    <col min="9" max="9" width="0" hidden="1" customWidth="1"/>
    <col min="10" max="10" width="15.5" customWidth="1"/>
    <col min="11" max="11" width="14.75" customWidth="1"/>
    <col min="12" max="12" width="17" customWidth="1"/>
  </cols>
  <sheetData>
    <row r="1" spans="1:12" ht="63" customHeight="1" x14ac:dyDescent="0.2">
      <c r="A1" s="31" t="s">
        <v>0</v>
      </c>
      <c r="B1" s="31"/>
      <c r="C1" s="31" t="s">
        <v>1</v>
      </c>
      <c r="D1" s="32" t="s">
        <v>2</v>
      </c>
      <c r="E1" s="74" t="s">
        <v>3</v>
      </c>
      <c r="F1" s="74"/>
      <c r="G1" s="32" t="s">
        <v>4</v>
      </c>
      <c r="H1" s="32" t="s">
        <v>5</v>
      </c>
      <c r="I1" s="32" t="s">
        <v>6</v>
      </c>
      <c r="J1" s="31" t="s">
        <v>7</v>
      </c>
      <c r="K1" s="33" t="s">
        <v>8</v>
      </c>
      <c r="L1" s="31" t="s">
        <v>9</v>
      </c>
    </row>
    <row r="2" spans="1:12" ht="72.75" customHeight="1" x14ac:dyDescent="0.2">
      <c r="A2" s="1" t="s">
        <v>10</v>
      </c>
      <c r="B2" s="2"/>
      <c r="C2" s="3" t="s">
        <v>11</v>
      </c>
      <c r="D2" s="4" t="s">
        <v>12</v>
      </c>
      <c r="E2" s="75" t="s">
        <v>12</v>
      </c>
      <c r="F2" s="75"/>
      <c r="G2" s="5"/>
      <c r="H2" s="6" t="s">
        <v>13</v>
      </c>
      <c r="I2" s="6" t="s">
        <v>14</v>
      </c>
      <c r="J2" s="7" t="s">
        <v>15</v>
      </c>
      <c r="K2" s="76" t="s">
        <v>16</v>
      </c>
      <c r="L2" s="4" t="s">
        <v>12</v>
      </c>
    </row>
    <row r="3" spans="1:12" ht="63" customHeight="1" x14ac:dyDescent="0.2">
      <c r="A3" s="79">
        <v>1</v>
      </c>
      <c r="B3" s="8" t="s">
        <v>17</v>
      </c>
      <c r="C3" s="9" t="s">
        <v>18</v>
      </c>
      <c r="D3" s="10" t="s">
        <v>19</v>
      </c>
      <c r="E3" s="82">
        <f>2/22</f>
        <v>9.0909090909090912E-2</v>
      </c>
      <c r="F3" s="83"/>
      <c r="G3" s="11"/>
      <c r="H3" s="84" t="s">
        <v>33</v>
      </c>
      <c r="I3" s="12"/>
      <c r="J3" s="87" t="s">
        <v>20</v>
      </c>
      <c r="K3" s="77"/>
      <c r="L3" s="105" t="s">
        <v>64</v>
      </c>
    </row>
    <row r="4" spans="1:12" ht="25.5" x14ac:dyDescent="0.2">
      <c r="A4" s="80"/>
      <c r="B4" s="13"/>
      <c r="C4" s="14" t="s">
        <v>21</v>
      </c>
      <c r="D4" s="108" t="s">
        <v>22</v>
      </c>
      <c r="E4" s="110">
        <f>4/22</f>
        <v>0.18181818181818182</v>
      </c>
      <c r="F4" s="110"/>
      <c r="G4" s="111" t="s">
        <v>23</v>
      </c>
      <c r="H4" s="85"/>
      <c r="I4" s="113">
        <f>6/22</f>
        <v>0.27272727272727271</v>
      </c>
      <c r="J4" s="88"/>
      <c r="K4" s="77"/>
      <c r="L4" s="106"/>
    </row>
    <row r="5" spans="1:12" ht="27.75" customHeight="1" x14ac:dyDescent="0.2">
      <c r="A5" s="80"/>
      <c r="B5" s="13"/>
      <c r="C5" s="14" t="s">
        <v>11</v>
      </c>
      <c r="D5" s="109"/>
      <c r="E5" s="110"/>
      <c r="F5" s="110"/>
      <c r="G5" s="112"/>
      <c r="H5" s="85"/>
      <c r="I5" s="114"/>
      <c r="J5" s="88"/>
      <c r="K5" s="77"/>
      <c r="L5" s="106"/>
    </row>
    <row r="6" spans="1:12" ht="63.75" x14ac:dyDescent="0.2">
      <c r="A6" s="81"/>
      <c r="B6" s="15" t="s">
        <v>24</v>
      </c>
      <c r="C6" s="16" t="s">
        <v>25</v>
      </c>
      <c r="D6" s="17" t="s">
        <v>26</v>
      </c>
      <c r="E6" s="115" t="s">
        <v>35</v>
      </c>
      <c r="F6" s="115"/>
      <c r="G6" s="18"/>
      <c r="H6" s="86"/>
      <c r="I6" s="19"/>
      <c r="J6" s="88"/>
      <c r="K6" s="77"/>
      <c r="L6" s="107"/>
    </row>
    <row r="7" spans="1:12" ht="66" customHeight="1" x14ac:dyDescent="0.2">
      <c r="A7" s="90">
        <v>2</v>
      </c>
      <c r="B7" s="20" t="s">
        <v>17</v>
      </c>
      <c r="C7" s="21" t="s">
        <v>27</v>
      </c>
      <c r="D7" s="22" t="s">
        <v>28</v>
      </c>
      <c r="E7" s="93">
        <f>4/40</f>
        <v>0.1</v>
      </c>
      <c r="F7" s="94"/>
      <c r="G7" s="18"/>
      <c r="H7" s="95" t="s">
        <v>34</v>
      </c>
      <c r="I7" s="19"/>
      <c r="J7" s="88"/>
      <c r="K7" s="77"/>
      <c r="L7" s="98" t="s">
        <v>64</v>
      </c>
    </row>
    <row r="8" spans="1:12" ht="38.25" customHeight="1" x14ac:dyDescent="0.2">
      <c r="A8" s="91"/>
      <c r="B8" s="23"/>
      <c r="C8" s="21" t="s">
        <v>29</v>
      </c>
      <c r="D8" s="22" t="s">
        <v>30</v>
      </c>
      <c r="E8" s="101">
        <f>6/40</f>
        <v>0.15</v>
      </c>
      <c r="F8" s="102"/>
      <c r="G8" s="24"/>
      <c r="H8" s="96"/>
      <c r="I8" s="25"/>
      <c r="J8" s="88"/>
      <c r="K8" s="77"/>
      <c r="L8" s="99"/>
    </row>
    <row r="9" spans="1:12" ht="60" customHeight="1" x14ac:dyDescent="0.2">
      <c r="A9" s="92"/>
      <c r="B9" s="26" t="s">
        <v>24</v>
      </c>
      <c r="C9" s="27" t="s">
        <v>31</v>
      </c>
      <c r="D9" s="28" t="s">
        <v>32</v>
      </c>
      <c r="E9" s="103" t="s">
        <v>59</v>
      </c>
      <c r="F9" s="104"/>
      <c r="G9" s="29"/>
      <c r="H9" s="97"/>
      <c r="I9" s="30"/>
      <c r="J9" s="89"/>
      <c r="K9" s="78"/>
      <c r="L9" s="100"/>
    </row>
    <row r="10" spans="1:12" ht="6.75" hidden="1" x14ac:dyDescent="0.2">
      <c r="A10" t="s">
        <v>60</v>
      </c>
      <c r="B10" t="s">
        <v>61</v>
      </c>
      <c r="C10" s="63">
        <v>0.75</v>
      </c>
      <c r="D10" t="s">
        <v>62</v>
      </c>
      <c r="E10" s="73">
        <v>0.25</v>
      </c>
      <c r="F10" s="73"/>
      <c r="H10" t="s">
        <v>63</v>
      </c>
    </row>
  </sheetData>
  <mergeCells count="20">
    <mergeCell ref="L7:L9"/>
    <mergeCell ref="E8:F8"/>
    <mergeCell ref="E9:F9"/>
    <mergeCell ref="L3:L6"/>
    <mergeCell ref="D4:D5"/>
    <mergeCell ref="E4:F5"/>
    <mergeCell ref="G4:G5"/>
    <mergeCell ref="I4:I5"/>
    <mergeCell ref="E6:F6"/>
    <mergeCell ref="E10:F10"/>
    <mergeCell ref="E1:F1"/>
    <mergeCell ref="E2:F2"/>
    <mergeCell ref="K2:K9"/>
    <mergeCell ref="A3:A6"/>
    <mergeCell ref="E3:F3"/>
    <mergeCell ref="H3:H6"/>
    <mergeCell ref="J3:J9"/>
    <mergeCell ref="A7:A9"/>
    <mergeCell ref="E7:F7"/>
    <mergeCell ref="H7:H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חישובים</vt:lpstr>
      <vt:lpstr>תמרוץ שירותים- רמות 0-1-2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עמית שמואליאן</dc:creator>
  <cp:lastModifiedBy>אביעד יצחקי</cp:lastModifiedBy>
  <cp:lastPrinted>2022-06-12T13:52:27Z</cp:lastPrinted>
  <dcterms:created xsi:type="dcterms:W3CDTF">2022-06-07T10:08:02Z</dcterms:created>
  <dcterms:modified xsi:type="dcterms:W3CDTF">2024-05-13T05:56:58Z</dcterms:modified>
</cp:coreProperties>
</file>