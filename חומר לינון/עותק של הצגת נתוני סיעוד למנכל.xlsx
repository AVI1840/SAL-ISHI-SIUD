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חוברת_עבודה_זו" defaultThemeVersion="164011"/>
  <bookViews>
    <workbookView xWindow="0" yWindow="0" windowWidth="22260" windowHeight="12645"/>
  </bookViews>
  <sheets>
    <sheet name="דוח 1" sheetId="1" r:id="rId1"/>
    <sheet name="גיליון1" sheetId="2" r:id="rId2"/>
    <sheet name="גיליון2" sheetId="3" r:id="rId3"/>
  </sheets>
  <definedNames>
    <definedName name="_GoBack" localSheetId="0">'דוח 1'!$G$33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0" i="1" l="1"/>
  <c r="C40" i="1" s="1"/>
  <c r="L16" i="1"/>
  <c r="K16" i="1"/>
  <c r="M16" i="1" s="1"/>
  <c r="C39" i="1" l="1"/>
  <c r="C38" i="1"/>
  <c r="C37" i="1"/>
  <c r="C36" i="1"/>
  <c r="C34" i="1"/>
  <c r="C35" i="1"/>
  <c r="J41" i="3"/>
  <c r="K41" i="3"/>
  <c r="L41" i="3"/>
  <c r="I41" i="3"/>
  <c r="K35" i="3"/>
  <c r="L35" i="3"/>
  <c r="K36" i="3"/>
  <c r="L36" i="3"/>
  <c r="K37" i="3"/>
  <c r="L37" i="3"/>
  <c r="K38" i="3"/>
  <c r="L38" i="3"/>
  <c r="K39" i="3"/>
  <c r="L39" i="3"/>
  <c r="J36" i="3"/>
  <c r="J37" i="3"/>
  <c r="J38" i="3"/>
  <c r="J39" i="3"/>
  <c r="J35" i="3"/>
  <c r="I36" i="3"/>
  <c r="I37" i="3"/>
  <c r="I38" i="3"/>
  <c r="I39" i="3"/>
  <c r="I35" i="3"/>
  <c r="J34" i="3"/>
  <c r="K34" i="3"/>
  <c r="L34" i="3"/>
  <c r="I34" i="3"/>
  <c r="Q28" i="2"/>
  <c r="Q29" i="2"/>
  <c r="Q30" i="2"/>
  <c r="Q31" i="2"/>
  <c r="Q32" i="2"/>
  <c r="Q27" i="2"/>
  <c r="R27" i="2"/>
  <c r="K26" i="2"/>
  <c r="K25" i="2"/>
  <c r="R28" i="2"/>
  <c r="R31" i="2"/>
  <c r="R32" i="2"/>
  <c r="G32" i="2"/>
  <c r="F17" i="2"/>
  <c r="B16" i="1" l="1"/>
  <c r="F17" i="1"/>
  <c r="G17" i="1"/>
  <c r="H17" i="1"/>
  <c r="I17" i="1"/>
  <c r="J17" i="1"/>
  <c r="E17" i="1"/>
  <c r="G35" i="1" l="1"/>
  <c r="H35" i="1" s="1"/>
  <c r="G36" i="1"/>
  <c r="H36" i="1" s="1"/>
  <c r="G37" i="1"/>
  <c r="H37" i="1" s="1"/>
  <c r="G38" i="1"/>
  <c r="H38" i="1" s="1"/>
  <c r="G39" i="1"/>
  <c r="H39" i="1" s="1"/>
  <c r="G34" i="1"/>
  <c r="H34" i="1" s="1"/>
  <c r="H26" i="1" l="1"/>
  <c r="I26" i="1" s="1"/>
  <c r="H24" i="1"/>
  <c r="I24" i="1" s="1"/>
  <c r="H25" i="1"/>
  <c r="I25" i="1" s="1"/>
  <c r="H29" i="1"/>
  <c r="I29" i="1" s="1"/>
  <c r="H27" i="1"/>
  <c r="I27" i="1" s="1"/>
  <c r="H23" i="1"/>
  <c r="I23" i="1" s="1"/>
  <c r="H28" i="1"/>
  <c r="I28" i="1" s="1"/>
  <c r="I35" i="1"/>
  <c r="I36" i="1"/>
  <c r="I37" i="1"/>
  <c r="I38" i="1"/>
  <c r="I39" i="1"/>
  <c r="I34" i="1"/>
  <c r="B2" i="1" l="1"/>
  <c r="A2" i="1"/>
</calcChain>
</file>

<file path=xl/sharedStrings.xml><?xml version="1.0" encoding="utf-8"?>
<sst xmlns="http://schemas.openxmlformats.org/spreadsheetml/2006/main" count="109" uniqueCount="81">
  <si>
    <t xml:space="preserve">שם דוח: </t>
  </si>
  <si>
    <t xml:space="preserve">תאריך הפקה: </t>
  </si>
  <si>
    <t>תקופה:</t>
  </si>
  <si>
    <t>מפיק:</t>
  </si>
  <si>
    <t>מקור:</t>
  </si>
  <si>
    <t xml:space="preserve">מס. סידורי: </t>
  </si>
  <si>
    <t xml:space="preserve">הערות: </t>
  </si>
  <si>
    <t>יצחק</t>
  </si>
  <si>
    <t>הצגת נתוני סיעוד למנכ"ל</t>
  </si>
  <si>
    <t>סך הכל מוכרים לרווחה</t>
  </si>
  <si>
    <t>כמות מוכרים רמה 1</t>
  </si>
  <si>
    <t>כמות מוכרים רמה 2</t>
  </si>
  <si>
    <t>כמות מוכרים רמה 3</t>
  </si>
  <si>
    <t>כמות מוכרים רמה 4</t>
  </si>
  <si>
    <t>כמות מוכרים רמה 5</t>
  </si>
  <si>
    <t>כמות מוכרים רמה 6</t>
  </si>
  <si>
    <t>אזרחים ותיקים- מוכרים לרווחה בחיתוך מקבלי סיעוד</t>
  </si>
  <si>
    <t>סוג מסגרת</t>
  </si>
  <si>
    <t>ארוחות חמות</t>
  </si>
  <si>
    <t>בית אבות</t>
  </si>
  <si>
    <t>מועדון מועשר ומופ"ת</t>
  </si>
  <si>
    <t xml:space="preserve">מרכז יום </t>
  </si>
  <si>
    <t>נופשון</t>
  </si>
  <si>
    <t>סמך מקצועי</t>
  </si>
  <si>
    <t>קהילה תומכת</t>
  </si>
  <si>
    <t>מקבלי גמלת סיעוד/ סוג מסגרת ברווחה</t>
  </si>
  <si>
    <t xml:space="preserve">רמה </t>
  </si>
  <si>
    <t>כמה ניתן להמיר</t>
  </si>
  <si>
    <t>יחס המרה לכסף</t>
  </si>
  <si>
    <t>כמה יחידות מקבלים</t>
  </si>
  <si>
    <t>דוגמא לכמה כסף אפשר להמיר</t>
  </si>
  <si>
    <t>כמות זכאים</t>
  </si>
  <si>
    <t>מקבלי גמלת סיעוד- כללי</t>
  </si>
  <si>
    <t>עלות למדינה למקבל בודד</t>
  </si>
  <si>
    <t>עלות סה"כ למדינה</t>
  </si>
  <si>
    <t>[DWH_YESOD_DATA].[dbo].[Fact_Btl_Emergency]</t>
  </si>
  <si>
    <t>נתוני קצבאות בטל"א עדכניים לאפריל 2024</t>
  </si>
  <si>
    <t>סה"כ לסוג מסגרת</t>
  </si>
  <si>
    <t>שווי יחידה (04/24)</t>
  </si>
  <si>
    <t>כמות</t>
  </si>
  <si>
    <t>אחוז מסך המוכרים</t>
  </si>
  <si>
    <t xml:space="preserve">אחוז מהמוכרים מקבלי סיעוד </t>
  </si>
  <si>
    <t>מוכרים רמה 1</t>
  </si>
  <si>
    <t>מוכרים רמה 2</t>
  </si>
  <si>
    <t>מוכרים רמה 3</t>
  </si>
  <si>
    <t>מוכרים רמה 4</t>
  </si>
  <si>
    <t>מוכרים רמה 5</t>
  </si>
  <si>
    <t>מוכרים רמה 6</t>
  </si>
  <si>
    <t>עלות שנתית סה"כ</t>
  </si>
  <si>
    <t>סה"כ</t>
  </si>
  <si>
    <t>מקבלי גמלת סיעוד- 4.24</t>
  </si>
  <si>
    <t>גמלה בכסף</t>
  </si>
  <si>
    <t>מטפלת ישראלית</t>
  </si>
  <si>
    <t>מטפלת זרה</t>
  </si>
  <si>
    <t>מרכז יום</t>
  </si>
  <si>
    <t>בני משפחה מטפלים</t>
  </si>
  <si>
    <t>נתונים חשובים</t>
  </si>
  <si>
    <t>מטפלות ישראליות</t>
  </si>
  <si>
    <t>מטפלות זרות</t>
  </si>
  <si>
    <t>בני משפחה מטפלים בשכר (בן,בת, חתן כלה)</t>
  </si>
  <si>
    <t>בודדים מתוכם</t>
  </si>
  <si>
    <t>מקבלי סיעוד</t>
  </si>
  <si>
    <t>תקציב</t>
  </si>
  <si>
    <t>שירותים חברתיים</t>
  </si>
  <si>
    <t>לא היה</t>
  </si>
  <si>
    <t>היה בשוליים</t>
  </si>
  <si>
    <t>העליה באחוזים מ2018</t>
  </si>
  <si>
    <t>שירות</t>
  </si>
  <si>
    <t>באחוזים 2024</t>
  </si>
  <si>
    <t xml:space="preserve">גמלה משולבת </t>
  </si>
  <si>
    <t xml:space="preserve">גמלה בעין  </t>
  </si>
  <si>
    <t xml:space="preserve">אחרים </t>
  </si>
  <si>
    <t xml:space="preserve">סה"כ </t>
  </si>
  <si>
    <t>סך הכל</t>
  </si>
  <si>
    <t>% מסוג הגמלה</t>
  </si>
  <si>
    <t>מוכרים בסה"כ</t>
  </si>
  <si>
    <t>מוכרי בטלא</t>
  </si>
  <si>
    <t>אחוז המוכרים במחלקה מקבלי חוק סיעוד</t>
  </si>
  <si>
    <t>אחוז מכלל הזכאים</t>
  </si>
  <si>
    <t>אחוז מקבלי סיעוד במסגרת</t>
  </si>
  <si>
    <t>מספר מושמי רווחה במסגרת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</si>
</sst>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dd\.mm\.yyyy"/>
    <numFmt numFmtId="166" formatCode="_(* #,##0.0_);_(* \(#,##0.0\);_(* &quot;-&quot;??_);_(@_)"/>
    <numFmt numFmtId="167" formatCode="_(* #,##0_);_(* \(#,##0\);_(* &quot;-&quot;??_);_(@_)"/>
    <numFmt numFmtId="168" formatCode="_ [$₪-40D]\ * #,##0_ ;_ [$₪-40D]\ * \-#,##0_ ;_ [$₪-40D]\ * &quot;-&quot;??_ ;_ @_ "/>
  </numFmts>
  <fonts count="15" x14ac:knownFonts="1">
    <font>
      <sz val="11"/>
      <color theme="1"/>
      <name val="Arial"/>
      <family val="2"/>
      <scheme val="minor"/>
    </font>
    <font>
      <b/>
      <i/>
      <sz val="18"/>
      <color theme="0"/>
      <name val="Arial"/>
      <family val="2"/>
    </font>
    <font>
      <b/>
      <i/>
      <sz val="18"/>
      <color theme="4" tint="0.79998168889431442"/>
      <name val="Arial"/>
      <family val="2"/>
    </font>
    <font>
      <b/>
      <sz val="10"/>
      <color theme="4" tint="-0.249977111117893"/>
      <name val="Arial"/>
      <family val="2"/>
    </font>
    <font>
      <sz val="10"/>
      <color theme="4" tint="-0.499984740745262"/>
      <name val="Arial"/>
      <family val="2"/>
    </font>
    <font>
      <b/>
      <sz val="10"/>
      <color theme="3" tint="-0.499984740745262"/>
      <name val="Arial"/>
      <family val="2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4" tint="-0.499984740745262"/>
      <name val="Arial"/>
      <family val="2"/>
    </font>
    <font>
      <b/>
      <sz val="12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9"/>
      <color rgb="FFFF0000"/>
      <name val="Arial"/>
      <family val="2"/>
      <scheme val="minor"/>
    </font>
    <font>
      <b/>
      <sz val="11"/>
      <color theme="2" tint="-0.89999084444715716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06">
    <xf numFmtId="0" fontId="0" fillId="0" borderId="0" xfId="0"/>
    <xf numFmtId="0" fontId="0" fillId="0" borderId="0" xfId="0" applyNumberFormat="1"/>
    <xf numFmtId="0" fontId="2" fillId="0" borderId="0" xfId="0" applyFont="1" applyFill="1" applyAlignment="1">
      <alignment vertical="center" wrapText="1" readingOrder="2"/>
    </xf>
    <xf numFmtId="0" fontId="3" fillId="0" borderId="0" xfId="0" applyFont="1" applyBorder="1" applyAlignment="1">
      <alignment readingOrder="2"/>
    </xf>
    <xf numFmtId="14" fontId="3" fillId="0" borderId="0" xfId="0" applyNumberFormat="1" applyFont="1" applyBorder="1" applyAlignment="1">
      <alignment readingOrder="2"/>
    </xf>
    <xf numFmtId="49" fontId="3" fillId="0" borderId="0" xfId="0" applyNumberFormat="1" applyFont="1" applyBorder="1" applyAlignment="1">
      <alignment horizontal="right" readingOrder="2"/>
    </xf>
    <xf numFmtId="0" fontId="3" fillId="0" borderId="1" xfId="0" applyFont="1" applyBorder="1" applyAlignment="1">
      <alignment readingOrder="2"/>
    </xf>
    <xf numFmtId="0" fontId="1" fillId="2" borderId="0" xfId="0" applyFont="1" applyFill="1" applyAlignment="1">
      <alignment horizontal="left" vertical="center" wrapText="1" readingOrder="2"/>
    </xf>
    <xf numFmtId="0" fontId="1" fillId="2" borderId="0" xfId="0" applyFont="1" applyFill="1" applyAlignment="1">
      <alignment vertical="center" readingOrder="2"/>
    </xf>
    <xf numFmtId="0" fontId="2" fillId="2" borderId="0" xfId="0" applyFont="1" applyFill="1" applyAlignment="1">
      <alignment vertical="center" wrapText="1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Border="1" applyAlignment="1">
      <alignment horizontal="right" readingOrder="2"/>
    </xf>
    <xf numFmtId="165" fontId="5" fillId="0" borderId="0" xfId="0" applyNumberFormat="1" applyFont="1" applyBorder="1" applyAlignment="1">
      <alignment horizontal="right" readingOrder="2"/>
    </xf>
    <xf numFmtId="0" fontId="5" fillId="0" borderId="0" xfId="0" applyNumberFormat="1" applyFont="1" applyBorder="1" applyAlignment="1">
      <alignment horizontal="right" readingOrder="2"/>
    </xf>
    <xf numFmtId="3" fontId="5" fillId="0" borderId="0" xfId="0" applyNumberFormat="1" applyFont="1" applyBorder="1" applyAlignment="1">
      <alignment horizontal="right" readingOrder="2"/>
    </xf>
    <xf numFmtId="166" fontId="0" fillId="0" borderId="2" xfId="1" applyNumberFormat="1" applyFont="1" applyBorder="1"/>
    <xf numFmtId="167" fontId="0" fillId="0" borderId="2" xfId="1" applyNumberFormat="1" applyFont="1" applyBorder="1"/>
    <xf numFmtId="0" fontId="9" fillId="4" borderId="0" xfId="0" applyFont="1" applyFill="1" applyBorder="1" applyAlignment="1">
      <alignment horizontal="right" readingOrder="2"/>
    </xf>
    <xf numFmtId="0" fontId="10" fillId="4" borderId="0" xfId="0" applyFont="1" applyFill="1"/>
    <xf numFmtId="167" fontId="0" fillId="0" borderId="0" xfId="1" applyNumberFormat="1" applyFont="1"/>
    <xf numFmtId="0" fontId="8" fillId="3" borderId="2" xfId="0" applyFont="1" applyFill="1" applyBorder="1" applyAlignment="1">
      <alignment horizontal="center" vertical="center" wrapText="1"/>
    </xf>
    <xf numFmtId="0" fontId="8" fillId="3" borderId="2" xfId="0" applyNumberFormat="1" applyFont="1" applyFill="1" applyBorder="1" applyAlignment="1">
      <alignment horizontal="center" vertical="center" wrapText="1"/>
    </xf>
    <xf numFmtId="168" fontId="0" fillId="0" borderId="2" xfId="1" applyNumberFormat="1" applyFont="1" applyBorder="1"/>
    <xf numFmtId="9" fontId="0" fillId="0" borderId="2" xfId="2" applyFont="1" applyBorder="1"/>
    <xf numFmtId="168" fontId="0" fillId="0" borderId="0" xfId="0" applyNumberFormat="1"/>
    <xf numFmtId="168" fontId="0" fillId="0" borderId="3" xfId="1" applyNumberFormat="1" applyFont="1" applyBorder="1"/>
    <xf numFmtId="0" fontId="7" fillId="0" borderId="4" xfId="0" applyFont="1" applyBorder="1"/>
    <xf numFmtId="168" fontId="7" fillId="0" borderId="5" xfId="0" applyNumberFormat="1" applyFont="1" applyBorder="1"/>
    <xf numFmtId="49" fontId="3" fillId="0" borderId="0" xfId="0" applyNumberFormat="1" applyFont="1" applyBorder="1" applyAlignment="1">
      <alignment readingOrder="2"/>
    </xf>
    <xf numFmtId="166" fontId="8" fillId="3" borderId="2" xfId="0" applyNumberFormat="1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8" fillId="3" borderId="0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167" fontId="8" fillId="0" borderId="2" xfId="1" applyNumberFormat="1" applyFont="1" applyBorder="1"/>
    <xf numFmtId="167" fontId="8" fillId="0" borderId="2" xfId="1" applyNumberFormat="1" applyFont="1" applyBorder="1" applyAlignment="1">
      <alignment horizontal="right" vertical="center"/>
    </xf>
    <xf numFmtId="9" fontId="8" fillId="0" borderId="2" xfId="2" applyFont="1" applyBorder="1" applyAlignment="1">
      <alignment horizontal="right" vertical="center"/>
    </xf>
    <xf numFmtId="0" fontId="11" fillId="0" borderId="4" xfId="0" applyFont="1" applyBorder="1"/>
    <xf numFmtId="0" fontId="0" fillId="0" borderId="8" xfId="0" applyBorder="1"/>
    <xf numFmtId="0" fontId="8" fillId="6" borderId="10" xfId="0" applyFont="1" applyFill="1" applyBorder="1" applyAlignment="1">
      <alignment horizontal="right" vertical="top" wrapText="1"/>
    </xf>
    <xf numFmtId="0" fontId="8" fillId="6" borderId="0" xfId="0" applyFont="1" applyFill="1" applyBorder="1" applyAlignment="1">
      <alignment horizontal="right" vertical="top" wrapText="1"/>
    </xf>
    <xf numFmtId="166" fontId="8" fillId="6" borderId="0" xfId="0" applyNumberFormat="1" applyFont="1" applyFill="1" applyBorder="1" applyAlignment="1">
      <alignment horizontal="right" vertical="top" wrapText="1"/>
    </xf>
    <xf numFmtId="0" fontId="8" fillId="6" borderId="11" xfId="0" applyFont="1" applyFill="1" applyBorder="1" applyAlignment="1">
      <alignment horizontal="right" vertical="top" wrapText="1"/>
    </xf>
    <xf numFmtId="167" fontId="0" fillId="0" borderId="10" xfId="0" applyNumberFormat="1" applyBorder="1"/>
    <xf numFmtId="167" fontId="0" fillId="0" borderId="0" xfId="0" applyNumberFormat="1" applyBorder="1"/>
    <xf numFmtId="9" fontId="0" fillId="0" borderId="0" xfId="0" applyNumberFormat="1" applyBorder="1"/>
    <xf numFmtId="166" fontId="0" fillId="0" borderId="0" xfId="0" applyNumberFormat="1" applyBorder="1"/>
    <xf numFmtId="168" fontId="0" fillId="0" borderId="0" xfId="0" applyNumberFormat="1" applyBorder="1"/>
    <xf numFmtId="168" fontId="0" fillId="0" borderId="11" xfId="0" applyNumberFormat="1" applyBorder="1"/>
    <xf numFmtId="0" fontId="0" fillId="0" borderId="12" xfId="0" applyBorder="1"/>
    <xf numFmtId="167" fontId="0" fillId="0" borderId="13" xfId="0" applyNumberFormat="1" applyBorder="1"/>
    <xf numFmtId="0" fontId="0" fillId="0" borderId="13" xfId="0" applyBorder="1"/>
    <xf numFmtId="168" fontId="12" fillId="6" borderId="14" xfId="0" applyNumberFormat="1" applyFont="1" applyFill="1" applyBorder="1"/>
    <xf numFmtId="9" fontId="8" fillId="0" borderId="8" xfId="2" applyFont="1" applyBorder="1"/>
    <xf numFmtId="9" fontId="0" fillId="0" borderId="9" xfId="2" applyFont="1" applyBorder="1"/>
    <xf numFmtId="9" fontId="8" fillId="0" borderId="13" xfId="2" applyFont="1" applyBorder="1"/>
    <xf numFmtId="9" fontId="0" fillId="0" borderId="14" xfId="2" applyFont="1" applyBorder="1"/>
    <xf numFmtId="0" fontId="8" fillId="0" borderId="7" xfId="0" applyFont="1" applyBorder="1"/>
    <xf numFmtId="0" fontId="8" fillId="0" borderId="12" xfId="0" applyFont="1" applyBorder="1"/>
    <xf numFmtId="0" fontId="8" fillId="0" borderId="10" xfId="0" applyFont="1" applyBorder="1"/>
    <xf numFmtId="0" fontId="0" fillId="0" borderId="0" xfId="0" applyBorder="1"/>
    <xf numFmtId="9" fontId="0" fillId="0" borderId="0" xfId="2" applyFont="1" applyBorder="1"/>
    <xf numFmtId="9" fontId="0" fillId="0" borderId="11" xfId="2" applyFont="1" applyBorder="1"/>
    <xf numFmtId="9" fontId="0" fillId="0" borderId="13" xfId="2" applyFont="1" applyBorder="1"/>
    <xf numFmtId="0" fontId="8" fillId="6" borderId="0" xfId="0" applyFont="1" applyFill="1" applyBorder="1"/>
    <xf numFmtId="0" fontId="8" fillId="7" borderId="10" xfId="0" applyFont="1" applyFill="1" applyBorder="1"/>
    <xf numFmtId="9" fontId="8" fillId="7" borderId="11" xfId="2" applyFont="1" applyFill="1" applyBorder="1"/>
    <xf numFmtId="0" fontId="0" fillId="0" borderId="10" xfId="0" applyBorder="1"/>
    <xf numFmtId="0" fontId="0" fillId="0" borderId="11" xfId="0" applyBorder="1"/>
    <xf numFmtId="3" fontId="0" fillId="0" borderId="0" xfId="0" applyNumberFormat="1"/>
    <xf numFmtId="0" fontId="0" fillId="6" borderId="8" xfId="0" applyFill="1" applyBorder="1"/>
    <xf numFmtId="0" fontId="0" fillId="6" borderId="9" xfId="0" applyFill="1" applyBorder="1"/>
    <xf numFmtId="3" fontId="0" fillId="0" borderId="11" xfId="0" applyNumberFormat="1" applyBorder="1"/>
    <xf numFmtId="3" fontId="0" fillId="0" borderId="0" xfId="0" applyNumberFormat="1" applyBorder="1"/>
    <xf numFmtId="0" fontId="0" fillId="0" borderId="14" xfId="0" applyBorder="1"/>
    <xf numFmtId="9" fontId="8" fillId="7" borderId="0" xfId="2" applyFont="1" applyFill="1" applyBorder="1"/>
    <xf numFmtId="9" fontId="0" fillId="7" borderId="0" xfId="2" applyFont="1" applyFill="1" applyBorder="1"/>
    <xf numFmtId="0" fontId="0" fillId="0" borderId="12" xfId="0" applyBorder="1" applyAlignment="1">
      <alignment readingOrder="2"/>
    </xf>
    <xf numFmtId="0" fontId="0" fillId="6" borderId="7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8" fillId="6" borderId="9" xfId="0" applyFont="1" applyFill="1" applyBorder="1" applyAlignment="1">
      <alignment horizontal="center" vertical="top" wrapText="1"/>
    </xf>
    <xf numFmtId="0" fontId="8" fillId="6" borderId="11" xfId="0" applyFont="1" applyFill="1" applyBorder="1" applyAlignment="1">
      <alignment horizontal="center" vertical="top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9" fontId="0" fillId="0" borderId="0" xfId="0" applyNumberFormat="1" applyBorder="1" applyAlignment="1">
      <alignment horizontal="center" vertical="center"/>
    </xf>
    <xf numFmtId="0" fontId="8" fillId="6" borderId="8" xfId="0" applyFont="1" applyFill="1" applyBorder="1" applyAlignment="1">
      <alignment horizontal="center"/>
    </xf>
    <xf numFmtId="0" fontId="8" fillId="6" borderId="9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9" fontId="0" fillId="0" borderId="0" xfId="2" applyFont="1"/>
    <xf numFmtId="9" fontId="8" fillId="7" borderId="2" xfId="2" applyFont="1" applyFill="1" applyBorder="1"/>
    <xf numFmtId="168" fontId="13" fillId="0" borderId="5" xfId="0" applyNumberFormat="1" applyFont="1" applyBorder="1"/>
    <xf numFmtId="9" fontId="0" fillId="0" borderId="2" xfId="2" applyFont="1" applyBorder="1" applyAlignment="1">
      <alignment horizontal="center"/>
    </xf>
    <xf numFmtId="9" fontId="8" fillId="7" borderId="2" xfId="2" applyFont="1" applyFill="1" applyBorder="1" applyAlignment="1">
      <alignment horizontal="center"/>
    </xf>
    <xf numFmtId="0" fontId="0" fillId="0" borderId="0" xfId="0" applyNumberFormat="1" applyAlignment="1">
      <alignment horizontal="center"/>
    </xf>
    <xf numFmtId="167" fontId="8" fillId="8" borderId="16" xfId="1" applyNumberFormat="1" applyFont="1" applyFill="1" applyBorder="1"/>
    <xf numFmtId="167" fontId="8" fillId="8" borderId="17" xfId="1" applyNumberFormat="1" applyFont="1" applyFill="1" applyBorder="1"/>
    <xf numFmtId="0" fontId="14" fillId="3" borderId="2" xfId="0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Arial"/>
        <scheme val="minor"/>
      </font>
      <numFmt numFmtId="0" formatCode="General"/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_(* #,##0_);_(* \(#,##0\);_(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תקציב במ'</a:t>
            </a:r>
            <a:r>
              <a:rPr lang="he-IL" baseline="0"/>
              <a:t> </a:t>
            </a:r>
            <a:r>
              <a:rPr lang="he-IL"/>
              <a:t>לפי שירותים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גיליון1!$O$25:$O$26</c:f>
              <c:strCache>
                <c:ptCount val="2"/>
                <c:pt idx="0">
                  <c:v>תקציב</c:v>
                </c:pt>
                <c:pt idx="1">
                  <c:v>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גיליון1!$N$27:$N$32</c:f>
              <c:strCache>
                <c:ptCount val="6"/>
                <c:pt idx="0">
                  <c:v>מטפלת ישראלית</c:v>
                </c:pt>
                <c:pt idx="1">
                  <c:v>מטפלת זרה</c:v>
                </c:pt>
                <c:pt idx="2">
                  <c:v>בני משפחה מטפלים</c:v>
                </c:pt>
                <c:pt idx="3">
                  <c:v>גמלה בכסף</c:v>
                </c:pt>
                <c:pt idx="4">
                  <c:v>מרכז יום</c:v>
                </c:pt>
                <c:pt idx="5">
                  <c:v>סה"כ</c:v>
                </c:pt>
              </c:strCache>
            </c:strRef>
          </c:cat>
          <c:val>
            <c:numRef>
              <c:f>גיליון1!$O$27:$O$32</c:f>
              <c:numCache>
                <c:formatCode>General</c:formatCode>
                <c:ptCount val="6"/>
                <c:pt idx="0">
                  <c:v>4.4800000000000004</c:v>
                </c:pt>
                <c:pt idx="1">
                  <c:v>1.69</c:v>
                </c:pt>
                <c:pt idx="2">
                  <c:v>0</c:v>
                </c:pt>
                <c:pt idx="3">
                  <c:v>0.17</c:v>
                </c:pt>
                <c:pt idx="4">
                  <c:v>0.23</c:v>
                </c:pt>
                <c:pt idx="5">
                  <c:v>6.69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E-4DE3-9C18-9DB0B441F38E}"/>
            </c:ext>
          </c:extLst>
        </c:ser>
        <c:ser>
          <c:idx val="1"/>
          <c:order val="1"/>
          <c:tx>
            <c:strRef>
              <c:f>גיליון1!$P$25:$P$26</c:f>
              <c:strCache>
                <c:ptCount val="2"/>
                <c:pt idx="0">
                  <c:v>תקציב</c:v>
                </c:pt>
                <c:pt idx="1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גיליון1!$N$27:$N$32</c:f>
              <c:strCache>
                <c:ptCount val="6"/>
                <c:pt idx="0">
                  <c:v>מטפלת ישראלית</c:v>
                </c:pt>
                <c:pt idx="1">
                  <c:v>מטפלת זרה</c:v>
                </c:pt>
                <c:pt idx="2">
                  <c:v>בני משפחה מטפלים</c:v>
                </c:pt>
                <c:pt idx="3">
                  <c:v>גמלה בכסף</c:v>
                </c:pt>
                <c:pt idx="4">
                  <c:v>מרכז יום</c:v>
                </c:pt>
                <c:pt idx="5">
                  <c:v>סה"כ</c:v>
                </c:pt>
              </c:strCache>
            </c:strRef>
          </c:cat>
          <c:val>
            <c:numRef>
              <c:f>גיליון1!$P$27:$P$32</c:f>
              <c:numCache>
                <c:formatCode>General</c:formatCode>
                <c:ptCount val="6"/>
                <c:pt idx="0">
                  <c:v>3.6</c:v>
                </c:pt>
                <c:pt idx="1">
                  <c:v>2.4</c:v>
                </c:pt>
                <c:pt idx="2">
                  <c:v>7</c:v>
                </c:pt>
                <c:pt idx="3">
                  <c:v>3.7</c:v>
                </c:pt>
                <c:pt idx="4">
                  <c:v>0.28000000000000003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CE-4DE3-9C18-9DB0B441F3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3834408"/>
        <c:axId val="433832440"/>
      </c:barChart>
      <c:catAx>
        <c:axId val="43383440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433832440"/>
        <c:crosses val="autoZero"/>
        <c:auto val="1"/>
        <c:lblAlgn val="ctr"/>
        <c:lblOffset val="100"/>
        <c:noMultiLvlLbl val="0"/>
      </c:catAx>
      <c:valAx>
        <c:axId val="43383244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433834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אחוז המרה לשירותים 2024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גיליון1!$Q$25</c:f>
              <c:strCache>
                <c:ptCount val="1"/>
                <c:pt idx="0">
                  <c:v>באחוזים 2024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גיליון1!$N$26:$N$31</c:f>
              <c:strCache>
                <c:ptCount val="6"/>
                <c:pt idx="1">
                  <c:v>מטפלת ישראלית</c:v>
                </c:pt>
                <c:pt idx="2">
                  <c:v>מטפלת זרה</c:v>
                </c:pt>
                <c:pt idx="3">
                  <c:v>בני משפחה מטפלים</c:v>
                </c:pt>
                <c:pt idx="4">
                  <c:v>גמלה בכסף</c:v>
                </c:pt>
                <c:pt idx="5">
                  <c:v>מרכז יום</c:v>
                </c:pt>
              </c:strCache>
            </c:strRef>
          </c:cat>
          <c:val>
            <c:numRef>
              <c:f>גיליון1!$Q$26:$Q$31</c:f>
              <c:numCache>
                <c:formatCode>0%</c:formatCode>
                <c:ptCount val="6"/>
                <c:pt idx="1">
                  <c:v>0.21176470588235294</c:v>
                </c:pt>
                <c:pt idx="2">
                  <c:v>0.14117647058823529</c:v>
                </c:pt>
                <c:pt idx="3">
                  <c:v>0.41176470588235292</c:v>
                </c:pt>
                <c:pt idx="4">
                  <c:v>0.21764705882352942</c:v>
                </c:pt>
                <c:pt idx="5">
                  <c:v>1.6470588235294119E-2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7-4B14-875D-269D80510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5490328"/>
        <c:axId val="620890384"/>
      </c:barChart>
      <c:catAx>
        <c:axId val="42549032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20890384"/>
        <c:crosses val="autoZero"/>
        <c:auto val="1"/>
        <c:lblAlgn val="ctr"/>
        <c:lblOffset val="100"/>
        <c:noMultiLvlLbl val="0"/>
      </c:catAx>
      <c:valAx>
        <c:axId val="62089038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42549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69274</xdr:colOff>
      <xdr:row>1</xdr:row>
      <xdr:rowOff>2</xdr:rowOff>
    </xdr:from>
    <xdr:to>
      <xdr:col>20</xdr:col>
      <xdr:colOff>190501</xdr:colOff>
      <xdr:row>2</xdr:row>
      <xdr:rowOff>25979</xdr:rowOff>
    </xdr:to>
    <xdr:pic>
      <xdr:nvPicPr>
        <xdr:cNvPr id="3" name="תמונה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1554899" y="180977"/>
          <a:ext cx="4236027" cy="997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2</xdr:row>
      <xdr:rowOff>142875</xdr:rowOff>
    </xdr:from>
    <xdr:to>
      <xdr:col>18</xdr:col>
      <xdr:colOff>371475</xdr:colOff>
      <xdr:row>16</xdr:row>
      <xdr:rowOff>104775</xdr:rowOff>
    </xdr:to>
    <xdr:graphicFrame macro="">
      <xdr:nvGraphicFramePr>
        <xdr:cNvPr id="2" name="תרשים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376238</xdr:colOff>
      <xdr:row>28</xdr:row>
      <xdr:rowOff>38100</xdr:rowOff>
    </xdr:from>
    <xdr:to>
      <xdr:col>12</xdr:col>
      <xdr:colOff>242888</xdr:colOff>
      <xdr:row>43</xdr:row>
      <xdr:rowOff>9525</xdr:rowOff>
    </xdr:to>
    <xdr:graphicFrame macro="">
      <xdr:nvGraphicFramePr>
        <xdr:cNvPr id="3" name="תרשים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409574</xdr:colOff>
      <xdr:row>2</xdr:row>
      <xdr:rowOff>171450</xdr:rowOff>
    </xdr:from>
    <xdr:to>
      <xdr:col>17</xdr:col>
      <xdr:colOff>409575</xdr:colOff>
      <xdr:row>12</xdr:row>
      <xdr:rowOff>104775</xdr:rowOff>
    </xdr:to>
    <xdr:cxnSp macro="">
      <xdr:nvCxnSpPr>
        <xdr:cNvPr id="5" name="מחבר ישר 4"/>
        <xdr:cNvCxnSpPr/>
      </xdr:nvCxnSpPr>
      <xdr:spPr>
        <a:xfrm flipH="1">
          <a:off x="11224307625" y="533400"/>
          <a:ext cx="1" cy="19907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id="1" name="Table1" displayName="Table1" ref="J22:J29" headerRowDxfId="0" dataDxfId="3" headerRowBorderDxfId="1" tableBorderDxfId="2" dataCellStyle="Comma">
  <autoFilter ref="J22:J29"/>
  <tableColumns count="1">
    <tableColumn id="2" name="מספר מושמי רווחה במסגרת" dataDxfId="4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U41"/>
  <sheetViews>
    <sheetView showGridLines="0" rightToLeft="1" tabSelected="1" topLeftCell="A4" workbookViewId="0">
      <selection activeCell="A24" sqref="A24"/>
    </sheetView>
  </sheetViews>
  <sheetFormatPr defaultRowHeight="14.25" x14ac:dyDescent="0.2"/>
  <cols>
    <col min="1" max="1" width="19.25" customWidth="1"/>
    <col min="2" max="2" width="13.375" customWidth="1"/>
    <col min="3" max="3" width="9.25" customWidth="1"/>
    <col min="4" max="4" width="8.75" customWidth="1"/>
    <col min="5" max="6" width="12.125" customWidth="1"/>
    <col min="7" max="7" width="17.875" customWidth="1"/>
    <col min="8" max="8" width="16.75" customWidth="1"/>
    <col min="9" max="9" width="14.375" customWidth="1"/>
    <col min="10" max="10" width="14.125" customWidth="1"/>
  </cols>
  <sheetData>
    <row r="1" spans="1:21" x14ac:dyDescent="0.2">
      <c r="D1" s="1"/>
    </row>
    <row r="2" spans="1:21" ht="76.5" customHeight="1" x14ac:dyDescent="0.2">
      <c r="A2" s="7" t="str">
        <f>"["&amp;B5&amp;"]  -"</f>
        <v>[57450]  -</v>
      </c>
      <c r="B2" s="8" t="str">
        <f>B4</f>
        <v>הצגת נתוני סיעוד למנכ"ל</v>
      </c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2"/>
      <c r="P2" s="2"/>
      <c r="Q2" s="2"/>
      <c r="R2" s="2"/>
      <c r="S2" s="2"/>
      <c r="T2" s="2"/>
      <c r="U2" s="2"/>
    </row>
    <row r="3" spans="1:21" x14ac:dyDescent="0.2">
      <c r="D3" s="1"/>
    </row>
    <row r="4" spans="1:21" x14ac:dyDescent="0.2">
      <c r="A4" s="10" t="s">
        <v>0</v>
      </c>
      <c r="B4" s="11" t="s">
        <v>8</v>
      </c>
      <c r="C4" s="3"/>
      <c r="D4" s="3"/>
    </row>
    <row r="5" spans="1:21" x14ac:dyDescent="0.2">
      <c r="A5" s="10" t="s">
        <v>5</v>
      </c>
      <c r="B5" s="11">
        <v>57450</v>
      </c>
      <c r="C5" s="3"/>
      <c r="D5" s="3"/>
    </row>
    <row r="6" spans="1:21" x14ac:dyDescent="0.2">
      <c r="A6" s="10" t="s">
        <v>1</v>
      </c>
      <c r="B6" s="12">
        <v>45421</v>
      </c>
      <c r="C6" s="4"/>
      <c r="D6" s="4"/>
    </row>
    <row r="7" spans="1:21" x14ac:dyDescent="0.2">
      <c r="A7" s="10" t="s">
        <v>4</v>
      </c>
      <c r="B7" s="11" t="s">
        <v>35</v>
      </c>
      <c r="C7" s="4"/>
      <c r="D7" s="3"/>
    </row>
    <row r="8" spans="1:21" x14ac:dyDescent="0.2">
      <c r="A8" s="10" t="s">
        <v>6</v>
      </c>
      <c r="B8" s="11"/>
      <c r="C8" s="3"/>
      <c r="D8" s="3"/>
    </row>
    <row r="9" spans="1:21" x14ac:dyDescent="0.2">
      <c r="A9" s="10" t="s">
        <v>2</v>
      </c>
      <c r="B9" s="13" t="s">
        <v>36</v>
      </c>
      <c r="C9" s="28"/>
      <c r="D9" s="28"/>
    </row>
    <row r="10" spans="1:21" x14ac:dyDescent="0.2">
      <c r="A10" s="10" t="s">
        <v>3</v>
      </c>
      <c r="B10" s="14" t="s">
        <v>7</v>
      </c>
      <c r="C10" s="5"/>
      <c r="D10" s="5"/>
    </row>
    <row r="11" spans="1:21" x14ac:dyDescent="0.2">
      <c r="A11" s="6"/>
      <c r="B11" s="3"/>
      <c r="C11" s="3"/>
      <c r="D11" s="3"/>
    </row>
    <row r="12" spans="1:21" x14ac:dyDescent="0.2">
      <c r="E12" s="1"/>
      <c r="F12" s="1"/>
      <c r="G12" s="1"/>
      <c r="H12" s="1"/>
    </row>
    <row r="13" spans="1:21" ht="15.75" x14ac:dyDescent="0.25">
      <c r="A13" s="17" t="s">
        <v>16</v>
      </c>
      <c r="B13" s="18"/>
      <c r="C13" s="18"/>
      <c r="D13" s="18"/>
      <c r="E13" s="1"/>
      <c r="F13" s="1"/>
      <c r="G13" s="1"/>
      <c r="H13" s="1"/>
    </row>
    <row r="14" spans="1:21" x14ac:dyDescent="0.2">
      <c r="H14" s="1"/>
    </row>
    <row r="15" spans="1:21" ht="75" x14ac:dyDescent="0.2">
      <c r="A15" s="20" t="s">
        <v>9</v>
      </c>
      <c r="B15" s="36">
        <v>179797</v>
      </c>
      <c r="D15" s="20"/>
      <c r="E15" s="20" t="s">
        <v>42</v>
      </c>
      <c r="F15" s="20" t="s">
        <v>43</v>
      </c>
      <c r="G15" s="20" t="s">
        <v>44</v>
      </c>
      <c r="H15" s="21" t="s">
        <v>45</v>
      </c>
      <c r="I15" s="21" t="s">
        <v>46</v>
      </c>
      <c r="J15" s="21" t="s">
        <v>47</v>
      </c>
      <c r="K15" s="21" t="s">
        <v>76</v>
      </c>
      <c r="L15" s="21" t="s">
        <v>75</v>
      </c>
      <c r="M15" s="21" t="s">
        <v>77</v>
      </c>
    </row>
    <row r="16" spans="1:21" ht="30" x14ac:dyDescent="0.2">
      <c r="A16" s="33" t="s">
        <v>41</v>
      </c>
      <c r="B16" s="37">
        <f>SUM(E16:J16)/B15</f>
        <v>0.59752387414695463</v>
      </c>
      <c r="D16" s="34" t="s">
        <v>39</v>
      </c>
      <c r="E16" s="16">
        <v>9669</v>
      </c>
      <c r="F16" s="16">
        <v>15973</v>
      </c>
      <c r="G16" s="16">
        <v>27104</v>
      </c>
      <c r="H16" s="16">
        <v>20973</v>
      </c>
      <c r="I16" s="16">
        <v>12823</v>
      </c>
      <c r="J16" s="16">
        <v>20891</v>
      </c>
      <c r="K16" s="16">
        <f>SUM(E16:J16)</f>
        <v>107433</v>
      </c>
      <c r="L16" s="16">
        <f>B15</f>
        <v>179797</v>
      </c>
      <c r="M16" s="23">
        <f>K16/L16</f>
        <v>0.59752387414695463</v>
      </c>
    </row>
    <row r="17" spans="1:13" ht="30" x14ac:dyDescent="0.2">
      <c r="D17" s="34" t="s">
        <v>40</v>
      </c>
      <c r="E17" s="23">
        <f t="shared" ref="E17:J17" si="0">E16/$B$15</f>
        <v>5.3777315528067762E-2</v>
      </c>
      <c r="F17" s="23">
        <f t="shared" si="0"/>
        <v>8.8839079628692363E-2</v>
      </c>
      <c r="G17" s="23">
        <f t="shared" si="0"/>
        <v>0.15074778778288847</v>
      </c>
      <c r="H17" s="23">
        <f t="shared" si="0"/>
        <v>0.11664821993692887</v>
      </c>
      <c r="I17" s="23">
        <f t="shared" si="0"/>
        <v>7.1319321234503352E-2</v>
      </c>
      <c r="J17" s="23">
        <f t="shared" si="0"/>
        <v>0.11619215003587378</v>
      </c>
      <c r="K17" s="23"/>
      <c r="L17" s="23"/>
      <c r="M17" s="23"/>
    </row>
    <row r="18" spans="1:13" x14ac:dyDescent="0.2">
      <c r="H18" s="1"/>
    </row>
    <row r="20" spans="1:13" x14ac:dyDescent="0.2">
      <c r="E20" s="1"/>
      <c r="F20" s="1"/>
      <c r="G20" s="1"/>
      <c r="H20" s="1"/>
      <c r="I20" s="1"/>
      <c r="J20" s="1"/>
      <c r="K20" s="1"/>
      <c r="L20" s="1"/>
      <c r="M20" s="1"/>
    </row>
    <row r="21" spans="1:13" ht="15.75" x14ac:dyDescent="0.25">
      <c r="A21" s="17" t="s">
        <v>25</v>
      </c>
      <c r="B21" s="18"/>
      <c r="C21" s="17"/>
      <c r="E21" s="1"/>
      <c r="F21" s="1"/>
      <c r="G21" s="1"/>
      <c r="H21" s="1"/>
      <c r="I21" s="1"/>
      <c r="J21" s="102"/>
      <c r="K21" s="102"/>
      <c r="L21" s="102"/>
      <c r="M21" s="1"/>
    </row>
    <row r="22" spans="1:13" ht="30" customHeight="1" x14ac:dyDescent="0.2">
      <c r="A22" s="20" t="s">
        <v>17</v>
      </c>
      <c r="B22" s="20" t="s">
        <v>10</v>
      </c>
      <c r="C22" s="20" t="s">
        <v>11</v>
      </c>
      <c r="D22" s="20" t="s">
        <v>12</v>
      </c>
      <c r="E22" s="20" t="s">
        <v>13</v>
      </c>
      <c r="F22" s="20" t="s">
        <v>14</v>
      </c>
      <c r="G22" s="20" t="s">
        <v>15</v>
      </c>
      <c r="H22" s="20" t="s">
        <v>37</v>
      </c>
      <c r="I22" s="21" t="s">
        <v>79</v>
      </c>
      <c r="J22" s="105" t="s">
        <v>80</v>
      </c>
      <c r="K22" s="1"/>
    </row>
    <row r="23" spans="1:13" ht="15" x14ac:dyDescent="0.25">
      <c r="A23" s="16" t="s">
        <v>24</v>
      </c>
      <c r="B23" s="16">
        <v>2035</v>
      </c>
      <c r="C23" s="16">
        <v>3658</v>
      </c>
      <c r="D23" s="16">
        <v>7108</v>
      </c>
      <c r="E23" s="16">
        <v>6255</v>
      </c>
      <c r="F23" s="16">
        <v>3751</v>
      </c>
      <c r="G23" s="16">
        <v>5540</v>
      </c>
      <c r="H23" s="35">
        <f t="shared" ref="H23:H29" si="1">SUM(B23:G23)</f>
        <v>28347</v>
      </c>
      <c r="I23" s="101">
        <f>H23/J23</f>
        <v>0.74057528019437258</v>
      </c>
      <c r="J23" s="103">
        <v>38277</v>
      </c>
    </row>
    <row r="24" spans="1:13" ht="15" x14ac:dyDescent="0.25">
      <c r="A24" s="16" t="s">
        <v>20</v>
      </c>
      <c r="B24" s="16">
        <v>1191</v>
      </c>
      <c r="C24" s="16">
        <v>1857</v>
      </c>
      <c r="D24" s="16">
        <v>2474</v>
      </c>
      <c r="E24" s="16">
        <v>1314</v>
      </c>
      <c r="F24" s="16">
        <v>650</v>
      </c>
      <c r="G24" s="16">
        <v>730</v>
      </c>
      <c r="H24" s="35">
        <f t="shared" si="1"/>
        <v>8216</v>
      </c>
      <c r="I24" s="100">
        <f>H24/J24</f>
        <v>0.57656140350877194</v>
      </c>
      <c r="J24" s="103">
        <v>14250</v>
      </c>
    </row>
    <row r="25" spans="1:13" ht="15" x14ac:dyDescent="0.25">
      <c r="A25" s="16" t="s">
        <v>21</v>
      </c>
      <c r="B25" s="16">
        <v>70</v>
      </c>
      <c r="C25" s="16">
        <v>75</v>
      </c>
      <c r="D25" s="16">
        <v>55</v>
      </c>
      <c r="E25" s="16">
        <v>32</v>
      </c>
      <c r="F25" s="16">
        <v>12</v>
      </c>
      <c r="G25" s="16">
        <v>23</v>
      </c>
      <c r="H25" s="35">
        <f t="shared" si="1"/>
        <v>267</v>
      </c>
      <c r="I25" s="100">
        <f>H25/J25</f>
        <v>9.4246381927285558E-2</v>
      </c>
      <c r="J25" s="103">
        <v>2833</v>
      </c>
    </row>
    <row r="26" spans="1:13" ht="15" x14ac:dyDescent="0.25">
      <c r="A26" s="16" t="s">
        <v>19</v>
      </c>
      <c r="B26" s="16">
        <v>18</v>
      </c>
      <c r="C26" s="16">
        <v>27</v>
      </c>
      <c r="D26" s="16">
        <v>59</v>
      </c>
      <c r="E26" s="16">
        <v>53</v>
      </c>
      <c r="F26" s="16">
        <v>24</v>
      </c>
      <c r="G26" s="16">
        <v>25</v>
      </c>
      <c r="H26" s="35">
        <f t="shared" si="1"/>
        <v>206</v>
      </c>
      <c r="I26" s="100">
        <f>H26/J26</f>
        <v>0.15713196033562166</v>
      </c>
      <c r="J26" s="103">
        <v>1311</v>
      </c>
    </row>
    <row r="27" spans="1:13" ht="15" x14ac:dyDescent="0.25">
      <c r="A27" s="16" t="s">
        <v>23</v>
      </c>
      <c r="B27" s="16">
        <v>7</v>
      </c>
      <c r="C27" s="16">
        <v>12</v>
      </c>
      <c r="D27" s="16">
        <v>22</v>
      </c>
      <c r="E27" s="16">
        <v>15</v>
      </c>
      <c r="F27" s="16">
        <v>8</v>
      </c>
      <c r="G27" s="16">
        <v>6</v>
      </c>
      <c r="H27" s="35">
        <f t="shared" si="1"/>
        <v>70</v>
      </c>
      <c r="I27" s="100">
        <f>H27/J27</f>
        <v>0.27777777777777779</v>
      </c>
      <c r="J27" s="103">
        <v>252</v>
      </c>
    </row>
    <row r="28" spans="1:13" ht="15" x14ac:dyDescent="0.25">
      <c r="A28" s="16" t="s">
        <v>18</v>
      </c>
      <c r="B28" s="16">
        <v>6</v>
      </c>
      <c r="C28" s="16">
        <v>6</v>
      </c>
      <c r="D28" s="16">
        <v>20</v>
      </c>
      <c r="E28" s="16">
        <v>16</v>
      </c>
      <c r="F28" s="16">
        <v>4</v>
      </c>
      <c r="G28" s="16">
        <v>11</v>
      </c>
      <c r="H28" s="35">
        <f t="shared" si="1"/>
        <v>63</v>
      </c>
      <c r="I28" s="100">
        <f>H28/J28</f>
        <v>0.67741935483870963</v>
      </c>
      <c r="J28" s="103">
        <v>93</v>
      </c>
    </row>
    <row r="29" spans="1:13" ht="15" x14ac:dyDescent="0.25">
      <c r="A29" s="16" t="s">
        <v>22</v>
      </c>
      <c r="B29" s="16">
        <v>1</v>
      </c>
      <c r="C29" s="16">
        <v>3</v>
      </c>
      <c r="D29" s="16">
        <v>5</v>
      </c>
      <c r="E29" s="16">
        <v>6</v>
      </c>
      <c r="F29" s="16">
        <v>1</v>
      </c>
      <c r="G29" s="16">
        <v>1</v>
      </c>
      <c r="H29" s="35">
        <f t="shared" si="1"/>
        <v>17</v>
      </c>
      <c r="I29" s="100">
        <f>H29/J29</f>
        <v>0.20481927710843373</v>
      </c>
      <c r="J29" s="104">
        <v>83</v>
      </c>
    </row>
    <row r="31" spans="1:13" ht="15" thickBot="1" x14ac:dyDescent="0.25"/>
    <row r="32" spans="1:13" ht="16.5" thickBot="1" x14ac:dyDescent="0.3">
      <c r="A32" s="17" t="s">
        <v>32</v>
      </c>
      <c r="B32" s="18"/>
      <c r="C32" s="17"/>
      <c r="G32" s="31" t="s">
        <v>38</v>
      </c>
      <c r="H32" s="32">
        <v>281</v>
      </c>
    </row>
    <row r="33" spans="1:10" ht="30" x14ac:dyDescent="0.2">
      <c r="A33" s="20" t="s">
        <v>26</v>
      </c>
      <c r="B33" s="20" t="s">
        <v>31</v>
      </c>
      <c r="C33" s="20" t="s">
        <v>78</v>
      </c>
      <c r="D33" s="20" t="s">
        <v>27</v>
      </c>
      <c r="E33" s="20" t="s">
        <v>28</v>
      </c>
      <c r="F33" s="29" t="s">
        <v>29</v>
      </c>
      <c r="G33" s="20" t="s">
        <v>33</v>
      </c>
      <c r="H33" s="30" t="s">
        <v>30</v>
      </c>
      <c r="I33" s="30" t="s">
        <v>34</v>
      </c>
    </row>
    <row r="34" spans="1:10" x14ac:dyDescent="0.2">
      <c r="A34" s="16">
        <v>1</v>
      </c>
      <c r="B34" s="16">
        <v>45764</v>
      </c>
      <c r="C34" s="23">
        <f>B34/$B$40</f>
        <v>0.12962763637187644</v>
      </c>
      <c r="D34" s="23">
        <v>1</v>
      </c>
      <c r="E34" s="23">
        <v>1</v>
      </c>
      <c r="F34" s="15">
        <v>5.5</v>
      </c>
      <c r="G34" s="22">
        <f>$H$32*F34</f>
        <v>1545.5</v>
      </c>
      <c r="H34" s="22">
        <f>G34*E34*D34</f>
        <v>1545.5</v>
      </c>
      <c r="I34" s="22">
        <f>B34*G34</f>
        <v>70728262</v>
      </c>
      <c r="J34" s="24"/>
    </row>
    <row r="35" spans="1:10" ht="15" x14ac:dyDescent="0.25">
      <c r="A35" s="16">
        <v>2</v>
      </c>
      <c r="B35" s="16">
        <v>66322</v>
      </c>
      <c r="C35" s="98">
        <f t="shared" ref="C35:C40" si="2">B35/$B$40</f>
        <v>0.18785866837373458</v>
      </c>
      <c r="D35" s="23">
        <v>0.33</v>
      </c>
      <c r="E35" s="23">
        <v>0.8</v>
      </c>
      <c r="F35" s="15">
        <v>10</v>
      </c>
      <c r="G35" s="22">
        <f t="shared" ref="G35:G39" si="3">$H$32*F35</f>
        <v>2810</v>
      </c>
      <c r="H35" s="22">
        <f t="shared" ref="H35:H38" si="4">G35*E35*D35</f>
        <v>741.84</v>
      </c>
      <c r="I35" s="22">
        <f>B35*G35</f>
        <v>186364820</v>
      </c>
    </row>
    <row r="36" spans="1:10" ht="15" x14ac:dyDescent="0.25">
      <c r="A36" s="16">
        <v>3</v>
      </c>
      <c r="B36" s="16">
        <v>88224</v>
      </c>
      <c r="C36" s="98">
        <f t="shared" si="2"/>
        <v>0.24989661286759082</v>
      </c>
      <c r="D36" s="23">
        <v>0.33</v>
      </c>
      <c r="E36" s="23">
        <v>0.8</v>
      </c>
      <c r="F36" s="15">
        <v>17</v>
      </c>
      <c r="G36" s="22">
        <f t="shared" si="3"/>
        <v>4777</v>
      </c>
      <c r="H36" s="22">
        <f t="shared" si="4"/>
        <v>1261.1280000000002</v>
      </c>
      <c r="I36" s="22">
        <f>B36*G36</f>
        <v>421446048</v>
      </c>
    </row>
    <row r="37" spans="1:10" ht="15" x14ac:dyDescent="0.25">
      <c r="A37" s="16">
        <v>4</v>
      </c>
      <c r="B37" s="16">
        <v>60786</v>
      </c>
      <c r="C37" s="98">
        <f t="shared" si="2"/>
        <v>0.17217781453764708</v>
      </c>
      <c r="D37" s="23">
        <v>0.33</v>
      </c>
      <c r="E37" s="23">
        <v>0.8</v>
      </c>
      <c r="F37" s="15">
        <v>21</v>
      </c>
      <c r="G37" s="22">
        <f t="shared" si="3"/>
        <v>5901</v>
      </c>
      <c r="H37" s="22">
        <f>G37*E37*D37</f>
        <v>1557.864</v>
      </c>
      <c r="I37" s="22">
        <f>B37*G37</f>
        <v>358698186</v>
      </c>
    </row>
    <row r="38" spans="1:10" x14ac:dyDescent="0.2">
      <c r="A38" s="16">
        <v>5</v>
      </c>
      <c r="B38" s="16">
        <v>35541</v>
      </c>
      <c r="C38" s="23">
        <f t="shared" si="2"/>
        <v>0.10067074172478062</v>
      </c>
      <c r="D38" s="23">
        <v>0.33</v>
      </c>
      <c r="E38" s="23">
        <v>0.8</v>
      </c>
      <c r="F38" s="15">
        <v>26</v>
      </c>
      <c r="G38" s="22">
        <f t="shared" si="3"/>
        <v>7306</v>
      </c>
      <c r="H38" s="22">
        <f t="shared" si="4"/>
        <v>1928.7840000000001</v>
      </c>
      <c r="I38" s="22">
        <f>B38*G38</f>
        <v>259662546</v>
      </c>
    </row>
    <row r="39" spans="1:10" ht="15" thickBot="1" x14ac:dyDescent="0.25">
      <c r="A39" s="16">
        <v>6</v>
      </c>
      <c r="B39" s="16">
        <v>56405</v>
      </c>
      <c r="C39" s="23">
        <f t="shared" si="2"/>
        <v>0.15976852612437048</v>
      </c>
      <c r="D39" s="23">
        <v>0.33</v>
      </c>
      <c r="E39" s="23">
        <v>0.8</v>
      </c>
      <c r="F39" s="15">
        <v>30</v>
      </c>
      <c r="G39" s="22">
        <f t="shared" si="3"/>
        <v>8430</v>
      </c>
      <c r="H39" s="22">
        <f>G39*E39*D39</f>
        <v>2225.52</v>
      </c>
      <c r="I39" s="25">
        <f>B39*G39</f>
        <v>475494150</v>
      </c>
    </row>
    <row r="40" spans="1:10" ht="15" thickBot="1" x14ac:dyDescent="0.25">
      <c r="B40" s="19">
        <f>SUM(B34:B39)</f>
        <v>353042</v>
      </c>
      <c r="C40" s="97">
        <f t="shared" si="2"/>
        <v>1</v>
      </c>
      <c r="H40" s="26"/>
      <c r="I40" s="27"/>
    </row>
    <row r="41" spans="1:10" ht="15.75" thickBot="1" x14ac:dyDescent="0.3">
      <c r="H41" s="38" t="s">
        <v>48</v>
      </c>
      <c r="I41" s="99">
        <v>17000000000</v>
      </c>
    </row>
  </sheetData>
  <sortState ref="A20:H26">
    <sortCondition descending="1" ref="H20:H26"/>
  </sortState>
  <mergeCells count="1">
    <mergeCell ref="J21:L21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T32"/>
  <sheetViews>
    <sheetView rightToLeft="1" topLeftCell="A8" workbookViewId="0">
      <selection activeCell="F35" sqref="F35"/>
    </sheetView>
  </sheetViews>
  <sheetFormatPr defaultRowHeight="14.25" x14ac:dyDescent="0.2"/>
  <cols>
    <col min="5" max="5" width="5.5" customWidth="1"/>
    <col min="9" max="9" width="11" customWidth="1"/>
    <col min="10" max="10" width="13.125" customWidth="1"/>
    <col min="11" max="11" width="14.25" customWidth="1"/>
    <col min="12" max="12" width="14.375" customWidth="1"/>
    <col min="14" max="14" width="16.375" customWidth="1"/>
    <col min="18" max="18" width="12" customWidth="1"/>
  </cols>
  <sheetData>
    <row r="8" spans="5:12" ht="15" thickBot="1" x14ac:dyDescent="0.25"/>
    <row r="9" spans="5:12" ht="15.75" thickBot="1" x14ac:dyDescent="0.3">
      <c r="E9" s="90" t="s">
        <v>50</v>
      </c>
      <c r="F9" s="91"/>
      <c r="G9" s="91"/>
      <c r="H9" s="91"/>
      <c r="I9" s="91"/>
      <c r="J9" s="91"/>
      <c r="K9" s="91"/>
      <c r="L9" s="92"/>
    </row>
    <row r="10" spans="5:12" ht="31.5" customHeight="1" x14ac:dyDescent="0.2">
      <c r="E10" s="40" t="s">
        <v>26</v>
      </c>
      <c r="F10" s="41" t="s">
        <v>31</v>
      </c>
      <c r="G10" s="41" t="s">
        <v>27</v>
      </c>
      <c r="H10" s="41" t="s">
        <v>28</v>
      </c>
      <c r="I10" s="42" t="s">
        <v>29</v>
      </c>
      <c r="J10" s="41" t="s">
        <v>33</v>
      </c>
      <c r="K10" s="41" t="s">
        <v>30</v>
      </c>
      <c r="L10" s="43" t="s">
        <v>34</v>
      </c>
    </row>
    <row r="11" spans="5:12" x14ac:dyDescent="0.2">
      <c r="E11" s="44">
        <v>1</v>
      </c>
      <c r="F11" s="45">
        <v>45764</v>
      </c>
      <c r="G11" s="46">
        <v>1</v>
      </c>
      <c r="H11" s="46">
        <v>1</v>
      </c>
      <c r="I11" s="47">
        <v>5.5</v>
      </c>
      <c r="J11" s="48">
        <v>1545.5</v>
      </c>
      <c r="K11" s="48">
        <v>1545.5</v>
      </c>
      <c r="L11" s="49">
        <v>70728262</v>
      </c>
    </row>
    <row r="12" spans="5:12" x14ac:dyDescent="0.2">
      <c r="E12" s="44">
        <v>2</v>
      </c>
      <c r="F12" s="45">
        <v>66322</v>
      </c>
      <c r="G12" s="93">
        <v>0.33</v>
      </c>
      <c r="H12" s="93">
        <v>0.8</v>
      </c>
      <c r="I12" s="47">
        <v>10</v>
      </c>
      <c r="J12" s="48">
        <v>2810</v>
      </c>
      <c r="K12" s="48">
        <v>741.84</v>
      </c>
      <c r="L12" s="49">
        <v>186364820</v>
      </c>
    </row>
    <row r="13" spans="5:12" x14ac:dyDescent="0.2">
      <c r="E13" s="44">
        <v>3</v>
      </c>
      <c r="F13" s="45">
        <v>88224</v>
      </c>
      <c r="G13" s="93"/>
      <c r="H13" s="93">
        <v>0.8</v>
      </c>
      <c r="I13" s="47">
        <v>17</v>
      </c>
      <c r="J13" s="48">
        <v>4777</v>
      </c>
      <c r="K13" s="48">
        <v>1261.1280000000002</v>
      </c>
      <c r="L13" s="49">
        <v>421446048</v>
      </c>
    </row>
    <row r="14" spans="5:12" x14ac:dyDescent="0.2">
      <c r="E14" s="44">
        <v>4</v>
      </c>
      <c r="F14" s="45">
        <v>60786</v>
      </c>
      <c r="G14" s="93"/>
      <c r="H14" s="93">
        <v>0.8</v>
      </c>
      <c r="I14" s="47">
        <v>21</v>
      </c>
      <c r="J14" s="48">
        <v>5901</v>
      </c>
      <c r="K14" s="48">
        <v>1557.864</v>
      </c>
      <c r="L14" s="49">
        <v>358698186</v>
      </c>
    </row>
    <row r="15" spans="5:12" x14ac:dyDescent="0.2">
      <c r="E15" s="44">
        <v>5</v>
      </c>
      <c r="F15" s="45">
        <v>35541</v>
      </c>
      <c r="G15" s="93"/>
      <c r="H15" s="93">
        <v>0.8</v>
      </c>
      <c r="I15" s="47">
        <v>26</v>
      </c>
      <c r="J15" s="48">
        <v>7306</v>
      </c>
      <c r="K15" s="48">
        <v>1928.7840000000001</v>
      </c>
      <c r="L15" s="49">
        <v>259662546</v>
      </c>
    </row>
    <row r="16" spans="5:12" x14ac:dyDescent="0.2">
      <c r="E16" s="44">
        <v>6</v>
      </c>
      <c r="F16" s="45">
        <v>56405</v>
      </c>
      <c r="G16" s="93"/>
      <c r="H16" s="93">
        <v>0.8</v>
      </c>
      <c r="I16" s="47">
        <v>30</v>
      </c>
      <c r="J16" s="48">
        <v>8430</v>
      </c>
      <c r="K16" s="48">
        <v>2225.52</v>
      </c>
      <c r="L16" s="49">
        <v>475494150</v>
      </c>
    </row>
    <row r="17" spans="4:20" ht="15" thickBot="1" x14ac:dyDescent="0.25">
      <c r="E17" s="50" t="s">
        <v>49</v>
      </c>
      <c r="F17" s="51">
        <f>SUM(F11:F16)</f>
        <v>353042</v>
      </c>
      <c r="G17" s="52"/>
      <c r="H17" s="52"/>
      <c r="I17" s="52"/>
      <c r="J17" s="52"/>
      <c r="K17" s="52" t="s">
        <v>48</v>
      </c>
      <c r="L17" s="53">
        <v>17000000000</v>
      </c>
    </row>
    <row r="24" spans="4:20" ht="15" thickBot="1" x14ac:dyDescent="0.25"/>
    <row r="25" spans="4:20" ht="14.25" customHeight="1" thickBot="1" x14ac:dyDescent="0.3">
      <c r="D25" s="82" t="s">
        <v>56</v>
      </c>
      <c r="E25" s="83"/>
      <c r="F25" s="83"/>
      <c r="G25" s="32" t="s">
        <v>62</v>
      </c>
      <c r="J25">
        <v>75</v>
      </c>
      <c r="K25">
        <f>6/(125/J25)</f>
        <v>3.5999999999999996</v>
      </c>
      <c r="N25" s="88" t="s">
        <v>67</v>
      </c>
      <c r="O25" s="94" t="s">
        <v>62</v>
      </c>
      <c r="P25" s="94"/>
      <c r="Q25" s="86" t="s">
        <v>68</v>
      </c>
      <c r="R25" s="84" t="s">
        <v>66</v>
      </c>
      <c r="S25" s="81"/>
      <c r="T25" s="81"/>
    </row>
    <row r="26" spans="4:20" ht="15" x14ac:dyDescent="0.25">
      <c r="D26" s="68" t="s">
        <v>59</v>
      </c>
      <c r="E26" s="61"/>
      <c r="F26" s="61">
        <v>75</v>
      </c>
      <c r="G26" s="69">
        <v>7</v>
      </c>
      <c r="J26">
        <v>50</v>
      </c>
      <c r="K26">
        <f>6/(125/J26)</f>
        <v>2.4</v>
      </c>
      <c r="N26" s="89"/>
      <c r="O26" s="65">
        <v>2018</v>
      </c>
      <c r="P26" s="65">
        <v>2024</v>
      </c>
      <c r="Q26" s="87"/>
      <c r="R26" s="85"/>
    </row>
    <row r="27" spans="4:20" ht="15" x14ac:dyDescent="0.25">
      <c r="D27" s="68" t="s">
        <v>57</v>
      </c>
      <c r="E27" s="61"/>
      <c r="F27" s="61">
        <v>75</v>
      </c>
      <c r="G27" s="69">
        <v>3.6</v>
      </c>
      <c r="N27" s="60" t="s">
        <v>52</v>
      </c>
      <c r="O27" s="61">
        <v>4.4800000000000004</v>
      </c>
      <c r="P27" s="61">
        <v>3.6</v>
      </c>
      <c r="Q27" s="62">
        <f>P27/$P$32</f>
        <v>0.21176470588235294</v>
      </c>
      <c r="R27" s="63">
        <f>P27/O27-1</f>
        <v>-0.19642857142857151</v>
      </c>
    </row>
    <row r="28" spans="4:20" ht="15.75" thickBot="1" x14ac:dyDescent="0.3">
      <c r="D28" s="68" t="s">
        <v>58</v>
      </c>
      <c r="E28" s="61"/>
      <c r="F28" s="61">
        <v>50</v>
      </c>
      <c r="G28" s="69">
        <v>2.4</v>
      </c>
      <c r="N28" s="60" t="s">
        <v>53</v>
      </c>
      <c r="O28" s="61">
        <v>1.69</v>
      </c>
      <c r="P28" s="61">
        <v>2.4</v>
      </c>
      <c r="Q28" s="62">
        <f t="shared" ref="Q28:Q32" si="0">P28/$P$32</f>
        <v>0.14117647058823529</v>
      </c>
      <c r="R28" s="63">
        <f>P28/O28</f>
        <v>1.4201183431952662</v>
      </c>
    </row>
    <row r="29" spans="4:20" ht="15" x14ac:dyDescent="0.25">
      <c r="D29" s="68" t="s">
        <v>51</v>
      </c>
      <c r="E29" s="61"/>
      <c r="F29" s="61">
        <v>60</v>
      </c>
      <c r="G29" s="69">
        <v>3.7</v>
      </c>
      <c r="N29" s="58" t="s">
        <v>55</v>
      </c>
      <c r="O29" s="39">
        <v>0</v>
      </c>
      <c r="P29" s="39">
        <v>7</v>
      </c>
      <c r="Q29" s="54">
        <f t="shared" si="0"/>
        <v>0.41176470588235292</v>
      </c>
      <c r="R29" s="55" t="s">
        <v>64</v>
      </c>
    </row>
    <row r="30" spans="4:20" ht="15.75" thickBot="1" x14ac:dyDescent="0.3">
      <c r="D30" s="68" t="s">
        <v>63</v>
      </c>
      <c r="E30" s="61"/>
      <c r="F30" s="61">
        <v>16</v>
      </c>
      <c r="G30" s="69">
        <v>0.3</v>
      </c>
      <c r="N30" s="59" t="s">
        <v>51</v>
      </c>
      <c r="O30" s="52">
        <v>0.17</v>
      </c>
      <c r="P30" s="52">
        <v>3.7</v>
      </c>
      <c r="Q30" s="56">
        <f t="shared" si="0"/>
        <v>0.21764705882352942</v>
      </c>
      <c r="R30" s="57" t="s">
        <v>65</v>
      </c>
    </row>
    <row r="31" spans="4:20" ht="15" x14ac:dyDescent="0.25">
      <c r="D31" s="60" t="s">
        <v>61</v>
      </c>
      <c r="E31" s="61"/>
      <c r="F31" s="61">
        <v>360</v>
      </c>
      <c r="G31" s="69">
        <v>17</v>
      </c>
      <c r="N31" s="60" t="s">
        <v>54</v>
      </c>
      <c r="O31" s="61">
        <v>0.23</v>
      </c>
      <c r="P31" s="61">
        <v>0.28000000000000003</v>
      </c>
      <c r="Q31" s="62">
        <f t="shared" si="0"/>
        <v>1.6470588235294119E-2</v>
      </c>
      <c r="R31" s="63">
        <f>P31/O31</f>
        <v>1.2173913043478262</v>
      </c>
    </row>
    <row r="32" spans="4:20" ht="15.75" thickBot="1" x14ac:dyDescent="0.3">
      <c r="D32" s="50" t="s">
        <v>60</v>
      </c>
      <c r="E32" s="52"/>
      <c r="F32" s="52">
        <v>219</v>
      </c>
      <c r="G32" s="57">
        <f>F32/F31</f>
        <v>0.60833333333333328</v>
      </c>
      <c r="N32" s="59" t="s">
        <v>49</v>
      </c>
      <c r="O32" s="52">
        <v>6.69</v>
      </c>
      <c r="P32" s="52">
        <v>17</v>
      </c>
      <c r="Q32" s="64">
        <f t="shared" si="0"/>
        <v>1</v>
      </c>
      <c r="R32" s="57">
        <f>P32/O32</f>
        <v>2.5411061285500747</v>
      </c>
    </row>
  </sheetData>
  <mergeCells count="9">
    <mergeCell ref="E9:L9"/>
    <mergeCell ref="G12:G16"/>
    <mergeCell ref="H12:H16"/>
    <mergeCell ref="O25:P25"/>
    <mergeCell ref="S25:T25"/>
    <mergeCell ref="D25:F25"/>
    <mergeCell ref="R25:R26"/>
    <mergeCell ref="Q25:Q26"/>
    <mergeCell ref="N25:N2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8:M41"/>
  <sheetViews>
    <sheetView rightToLeft="1" topLeftCell="A16" workbookViewId="0">
      <selection activeCell="H33" sqref="H33:M41"/>
    </sheetView>
  </sheetViews>
  <sheetFormatPr defaultRowHeight="14.25" x14ac:dyDescent="0.2"/>
  <cols>
    <col min="7" max="7" width="16.25" bestFit="1" customWidth="1"/>
    <col min="8" max="8" width="11.625" customWidth="1"/>
    <col min="10" max="10" width="11.125" customWidth="1"/>
  </cols>
  <sheetData>
    <row r="8" spans="7:8" ht="15" thickBot="1" x14ac:dyDescent="0.25"/>
    <row r="9" spans="7:8" x14ac:dyDescent="0.2">
      <c r="G9" s="88" t="s">
        <v>67</v>
      </c>
      <c r="H9" s="95" t="s">
        <v>68</v>
      </c>
    </row>
    <row r="10" spans="7:8" x14ac:dyDescent="0.2">
      <c r="G10" s="89"/>
      <c r="H10" s="96"/>
    </row>
    <row r="11" spans="7:8" ht="15" x14ac:dyDescent="0.25">
      <c r="G11" s="60" t="s">
        <v>52</v>
      </c>
      <c r="H11" s="63">
        <v>0.21176470588235294</v>
      </c>
    </row>
    <row r="12" spans="7:8" ht="15" x14ac:dyDescent="0.25">
      <c r="G12" s="60" t="s">
        <v>53</v>
      </c>
      <c r="H12" s="63">
        <v>0.14117647058823529</v>
      </c>
    </row>
    <row r="13" spans="7:8" ht="15" x14ac:dyDescent="0.25">
      <c r="G13" s="66" t="s">
        <v>55</v>
      </c>
      <c r="H13" s="67">
        <v>0.41176470588235292</v>
      </c>
    </row>
    <row r="14" spans="7:8" ht="15" x14ac:dyDescent="0.25">
      <c r="G14" s="66" t="s">
        <v>51</v>
      </c>
      <c r="H14" s="67">
        <v>0.21764705882352942</v>
      </c>
    </row>
    <row r="15" spans="7:8" ht="15.75" thickBot="1" x14ac:dyDescent="0.3">
      <c r="G15" s="59" t="s">
        <v>54</v>
      </c>
      <c r="H15" s="57">
        <v>1.6470588235294119E-2</v>
      </c>
    </row>
    <row r="21" spans="8:13" x14ac:dyDescent="0.2">
      <c r="H21" t="s">
        <v>26</v>
      </c>
      <c r="I21" t="s">
        <v>51</v>
      </c>
      <c r="J21" t="s">
        <v>69</v>
      </c>
      <c r="K21" t="s">
        <v>70</v>
      </c>
      <c r="L21" t="s">
        <v>71</v>
      </c>
      <c r="M21" t="s">
        <v>72</v>
      </c>
    </row>
    <row r="23" spans="8:13" x14ac:dyDescent="0.2">
      <c r="H23">
        <v>1</v>
      </c>
      <c r="I23" s="70">
        <v>37746</v>
      </c>
      <c r="J23" s="70">
        <v>1639</v>
      </c>
      <c r="K23" s="70">
        <v>8032</v>
      </c>
      <c r="L23">
        <v>16</v>
      </c>
      <c r="M23" s="70">
        <v>47433</v>
      </c>
    </row>
    <row r="24" spans="8:13" x14ac:dyDescent="0.2">
      <c r="H24">
        <v>2</v>
      </c>
      <c r="I24" s="70">
        <v>1694</v>
      </c>
      <c r="J24" s="70">
        <v>49740</v>
      </c>
      <c r="K24" s="70">
        <v>14920</v>
      </c>
      <c r="L24">
        <v>38</v>
      </c>
      <c r="M24" s="70">
        <v>66392</v>
      </c>
    </row>
    <row r="25" spans="8:13" x14ac:dyDescent="0.2">
      <c r="H25">
        <v>3</v>
      </c>
      <c r="I25" s="70">
        <v>2463</v>
      </c>
      <c r="J25" s="70">
        <v>67617</v>
      </c>
      <c r="K25" s="70">
        <v>14356</v>
      </c>
      <c r="L25">
        <v>60</v>
      </c>
      <c r="M25" s="70">
        <v>84496</v>
      </c>
    </row>
    <row r="26" spans="8:13" x14ac:dyDescent="0.2">
      <c r="H26">
        <v>4</v>
      </c>
      <c r="I26" s="70">
        <v>2427</v>
      </c>
      <c r="J26" s="70">
        <v>39161</v>
      </c>
      <c r="K26" s="70">
        <v>10958</v>
      </c>
      <c r="L26">
        <v>39</v>
      </c>
      <c r="M26" s="70">
        <v>52585</v>
      </c>
    </row>
    <row r="27" spans="8:13" x14ac:dyDescent="0.2">
      <c r="H27">
        <v>5</v>
      </c>
      <c r="I27" s="70">
        <v>3057</v>
      </c>
      <c r="J27" s="70">
        <v>23069</v>
      </c>
      <c r="K27" s="70">
        <v>9943</v>
      </c>
      <c r="L27">
        <v>24</v>
      </c>
      <c r="M27" s="70">
        <v>36093</v>
      </c>
    </row>
    <row r="28" spans="8:13" x14ac:dyDescent="0.2">
      <c r="H28">
        <v>6</v>
      </c>
      <c r="I28" s="70">
        <v>8010</v>
      </c>
      <c r="J28" s="70">
        <v>32428</v>
      </c>
      <c r="K28" s="70">
        <v>18502</v>
      </c>
      <c r="L28">
        <v>61</v>
      </c>
      <c r="M28" s="70">
        <v>59001</v>
      </c>
    </row>
    <row r="29" spans="8:13" x14ac:dyDescent="0.2">
      <c r="H29" t="s">
        <v>73</v>
      </c>
      <c r="I29" s="70">
        <v>55397</v>
      </c>
      <c r="J29" s="70">
        <v>213654</v>
      </c>
      <c r="K29" s="70">
        <v>76711</v>
      </c>
      <c r="L29">
        <v>238</v>
      </c>
      <c r="M29" s="70">
        <v>346000</v>
      </c>
    </row>
    <row r="32" spans="8:13" ht="15" thickBot="1" x14ac:dyDescent="0.25"/>
    <row r="33" spans="8:13" x14ac:dyDescent="0.2">
      <c r="H33" s="79" t="s">
        <v>26</v>
      </c>
      <c r="I33" s="71" t="s">
        <v>51</v>
      </c>
      <c r="J33" s="71" t="s">
        <v>69</v>
      </c>
      <c r="K33" s="71" t="s">
        <v>70</v>
      </c>
      <c r="L33" s="71" t="s">
        <v>71</v>
      </c>
      <c r="M33" s="72" t="s">
        <v>72</v>
      </c>
    </row>
    <row r="34" spans="8:13" ht="15" x14ac:dyDescent="0.25">
      <c r="H34" s="80">
        <v>1</v>
      </c>
      <c r="I34" s="76">
        <f>I23/$M$23</f>
        <v>0.79577509328948204</v>
      </c>
      <c r="J34" s="62">
        <f>J23/$M$23</f>
        <v>3.4554002487719518E-2</v>
      </c>
      <c r="K34" s="62">
        <f>K23/$M$23</f>
        <v>0.1693335863217591</v>
      </c>
      <c r="L34" s="62">
        <f>L23/$M$23</f>
        <v>3.3731790103936081E-4</v>
      </c>
      <c r="M34" s="73">
        <v>47433</v>
      </c>
    </row>
    <row r="35" spans="8:13" x14ac:dyDescent="0.2">
      <c r="H35" s="80">
        <v>2</v>
      </c>
      <c r="I35" s="62">
        <f t="shared" ref="I35:L39" si="0">I24/$M24</f>
        <v>2.5515122303892034E-2</v>
      </c>
      <c r="J35" s="77">
        <f t="shared" si="0"/>
        <v>0.74918664899385468</v>
      </c>
      <c r="K35" s="62">
        <f t="shared" si="0"/>
        <v>0.2247258705868177</v>
      </c>
      <c r="L35" s="62">
        <f t="shared" si="0"/>
        <v>5.723581154355947E-4</v>
      </c>
      <c r="M35" s="73">
        <v>66392</v>
      </c>
    </row>
    <row r="36" spans="8:13" x14ac:dyDescent="0.2">
      <c r="H36" s="80">
        <v>3</v>
      </c>
      <c r="I36" s="62">
        <f t="shared" si="0"/>
        <v>2.9149308843022154E-2</v>
      </c>
      <c r="J36" s="77">
        <f t="shared" si="0"/>
        <v>0.80023906457110394</v>
      </c>
      <c r="K36" s="62">
        <f t="shared" si="0"/>
        <v>0.16990153380041659</v>
      </c>
      <c r="L36" s="62">
        <f t="shared" si="0"/>
        <v>7.1009278545729974E-4</v>
      </c>
      <c r="M36" s="73">
        <v>84496</v>
      </c>
    </row>
    <row r="37" spans="8:13" x14ac:dyDescent="0.2">
      <c r="H37" s="80">
        <v>4</v>
      </c>
      <c r="I37" s="62">
        <f t="shared" si="0"/>
        <v>4.6153846153846156E-2</v>
      </c>
      <c r="J37" s="77">
        <f t="shared" si="0"/>
        <v>0.74471807549681468</v>
      </c>
      <c r="K37" s="62">
        <f t="shared" si="0"/>
        <v>0.20838642198345536</v>
      </c>
      <c r="L37" s="62">
        <f t="shared" si="0"/>
        <v>7.4165636588380713E-4</v>
      </c>
      <c r="M37" s="73">
        <v>52585</v>
      </c>
    </row>
    <row r="38" spans="8:13" x14ac:dyDescent="0.2">
      <c r="H38" s="80">
        <v>5</v>
      </c>
      <c r="I38" s="62">
        <f t="shared" si="0"/>
        <v>8.4697863851716404E-2</v>
      </c>
      <c r="J38" s="62">
        <f t="shared" si="0"/>
        <v>0.6391544066716538</v>
      </c>
      <c r="K38" s="77">
        <f t="shared" si="0"/>
        <v>0.27548278059457515</v>
      </c>
      <c r="L38" s="62">
        <f t="shared" si="0"/>
        <v>6.6494888205469204E-4</v>
      </c>
      <c r="M38" s="73">
        <v>36093</v>
      </c>
    </row>
    <row r="39" spans="8:13" x14ac:dyDescent="0.2">
      <c r="H39" s="80">
        <v>6</v>
      </c>
      <c r="I39" s="62">
        <f t="shared" si="0"/>
        <v>0.13576041084049423</v>
      </c>
      <c r="J39" s="62">
        <f t="shared" si="0"/>
        <v>0.54961780308808328</v>
      </c>
      <c r="K39" s="77">
        <f t="shared" si="0"/>
        <v>0.31358790528974084</v>
      </c>
      <c r="L39" s="62">
        <f t="shared" si="0"/>
        <v>1.0338807816816665E-3</v>
      </c>
      <c r="M39" s="73">
        <v>59001</v>
      </c>
    </row>
    <row r="40" spans="8:13" x14ac:dyDescent="0.2">
      <c r="H40" s="68" t="s">
        <v>73</v>
      </c>
      <c r="I40" s="74">
        <v>55397</v>
      </c>
      <c r="J40" s="74">
        <v>213654</v>
      </c>
      <c r="K40" s="74">
        <v>76711</v>
      </c>
      <c r="L40" s="61">
        <v>238</v>
      </c>
      <c r="M40" s="73">
        <v>346000</v>
      </c>
    </row>
    <row r="41" spans="8:13" ht="15" thickBot="1" x14ac:dyDescent="0.25">
      <c r="H41" s="78" t="s">
        <v>74</v>
      </c>
      <c r="I41" s="64">
        <f>I40/$M$40</f>
        <v>0.16010693641618498</v>
      </c>
      <c r="J41" s="64">
        <f t="shared" ref="J41:L41" si="1">J40/$M$40</f>
        <v>0.61749710982658956</v>
      </c>
      <c r="K41" s="64">
        <f t="shared" si="1"/>
        <v>0.22170809248554912</v>
      </c>
      <c r="L41" s="64">
        <f t="shared" si="1"/>
        <v>6.878612716763006E-4</v>
      </c>
      <c r="M41" s="75"/>
    </row>
  </sheetData>
  <mergeCells count="2">
    <mergeCell ref="G9:G10"/>
    <mergeCell ref="H9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</vt:i4>
      </vt:variant>
    </vt:vector>
  </HeadingPairs>
  <TitlesOfParts>
    <vt:vector size="4" baseType="lpstr">
      <vt:lpstr>דוח 1</vt:lpstr>
      <vt:lpstr>גיליון1</vt:lpstr>
      <vt:lpstr>גיליון2</vt:lpstr>
      <vt:lpstr>'דוח 1'!_GoBack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2024-05-13T05:16:53Z</dcterms:modified>
</cp:coreProperties>
</file>