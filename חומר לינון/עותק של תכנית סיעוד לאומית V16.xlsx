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molsa.gov.il\Shares\אגף אזרחים ותיקים\אגפי תכנון ותקצוב\אסטרטגיה\בין משרדי\בטלא\חומר לינון\"/>
    </mc:Choice>
  </mc:AlternateContent>
  <bookViews>
    <workbookView xWindow="-120" yWindow="-120" windowWidth="29040" windowHeight="15720" activeTab="1"/>
  </bookViews>
  <sheets>
    <sheet name="חלוקת גזרות" sheetId="6" r:id="rId1"/>
    <sheet name="עקרונות פעולה" sheetId="3" r:id="rId2"/>
    <sheet name="תמרוץ שירותים" sheetId="8" state="hidden" r:id="rId3"/>
    <sheet name="שירותים בגמלה" sheetId="12" state="hidden" r:id="rId4"/>
    <sheet name="שירותים בג. סיעוד" sheetId="13" r:id="rId5"/>
    <sheet name="גיליון4" sheetId="16" state="hidden" r:id="rId6"/>
    <sheet name="גיליון2" sheetId="14" state="hidden" r:id="rId7"/>
    <sheet name="גיליון3" sheetId="15" r:id="rId8"/>
    <sheet name="קופות חולים" sheetId="9" r:id="rId9"/>
    <sheet name="תמרוץ שירותים1" sheetId="10" r:id="rId10"/>
    <sheet name="יתרון יחסי" sheetId="4" r:id="rId11"/>
    <sheet name="מצבי חיים" sheetId="2" r:id="rId12"/>
    <sheet name="גיליון1" sheetId="11" state="hidden" r:id="rId13"/>
    <sheet name="טיוטות" sheetId="7" state="hidden" r:id="rId14"/>
  </sheets>
  <externalReferences>
    <externalReference r:id="rId15"/>
  </externalReferences>
  <definedNames>
    <definedName name="מטרות_העל_המשרדיות">[1]נותנים!$A$2:$A$8</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1" i="16" l="1"/>
  <c r="E9" i="16"/>
  <c r="E8" i="16"/>
  <c r="E7" i="16"/>
  <c r="I5" i="16"/>
  <c r="E5" i="16"/>
  <c r="E4" i="16"/>
  <c r="E28" i="15" l="1"/>
  <c r="B28" i="15"/>
  <c r="B27" i="15"/>
  <c r="B12" i="15"/>
  <c r="E12" i="15" l="1"/>
  <c r="C19" i="15" l="1"/>
  <c r="B24" i="15" s="1"/>
  <c r="B12" i="14"/>
  <c r="B13" i="14" s="1"/>
  <c r="B11" i="15"/>
  <c r="C3" i="15"/>
  <c r="B4" i="14"/>
  <c r="B25" i="15" l="1"/>
  <c r="B8" i="15"/>
  <c r="D3" i="15"/>
  <c r="B7" i="15"/>
  <c r="B9" i="15"/>
  <c r="B23" i="15"/>
  <c r="D19" i="15"/>
  <c r="C11" i="14"/>
  <c r="B11" i="14"/>
  <c r="C18" i="14"/>
  <c r="B18" i="14"/>
  <c r="C12" i="14"/>
  <c r="C13" i="14" s="1"/>
  <c r="C4" i="14"/>
  <c r="K22" i="14"/>
  <c r="K23" i="14" s="1"/>
  <c r="C15" i="14"/>
  <c r="B2" i="14"/>
  <c r="B5" i="14" s="1"/>
  <c r="C2" i="14"/>
  <c r="C3" i="14" s="1"/>
  <c r="B15" i="14"/>
  <c r="I2" i="14"/>
  <c r="B7" i="14" l="1"/>
  <c r="B6" i="14"/>
  <c r="D22" i="15"/>
  <c r="D28" i="15" s="1"/>
  <c r="D27" i="15"/>
  <c r="D29" i="15"/>
  <c r="D13" i="15"/>
  <c r="D6" i="15"/>
  <c r="D12" i="15" s="1"/>
  <c r="D11" i="15"/>
  <c r="D10" i="15"/>
  <c r="B20" i="14"/>
  <c r="C20" i="14"/>
  <c r="B8" i="14"/>
  <c r="C16" i="14"/>
  <c r="C19" i="14"/>
  <c r="K26" i="14"/>
  <c r="M26" i="14"/>
  <c r="L26" i="14"/>
  <c r="B3" i="14"/>
  <c r="C5" i="14"/>
  <c r="F17" i="13"/>
  <c r="F8" i="13"/>
  <c r="F4" i="13"/>
  <c r="J5" i="13"/>
  <c r="D26" i="15" l="1"/>
  <c r="B16" i="14"/>
  <c r="B19" i="14"/>
  <c r="B21" i="14" s="1"/>
  <c r="C6" i="14"/>
  <c r="C7" i="14"/>
  <c r="C8" i="14" s="1"/>
  <c r="C10" i="14" s="1"/>
  <c r="B10" i="14"/>
  <c r="F11" i="13"/>
  <c r="F7" i="13" l="1"/>
  <c r="F9" i="13"/>
  <c r="F5" i="13"/>
  <c r="E5" i="12" l="1"/>
  <c r="E4" i="12"/>
  <c r="E5" i="11"/>
  <c r="E4" i="11"/>
  <c r="H4" i="10" l="1"/>
  <c r="I4" i="10" s="1"/>
  <c r="J4" i="10" s="1"/>
  <c r="H5" i="10"/>
  <c r="I5" i="10" s="1"/>
  <c r="J5" i="10" s="1"/>
  <c r="H6" i="10"/>
  <c r="I6" i="10" s="1"/>
  <c r="J6" i="10" s="1"/>
  <c r="H7" i="10"/>
  <c r="I7" i="10" s="1"/>
  <c r="J7" i="10" s="1"/>
  <c r="H8" i="10"/>
  <c r="I8" i="10" s="1"/>
  <c r="J8" i="10" s="1"/>
  <c r="H9" i="10"/>
  <c r="J9" i="10" l="1"/>
  <c r="I9" i="10"/>
  <c r="I10" i="10" s="1"/>
  <c r="H4" i="8"/>
  <c r="I4" i="8" s="1"/>
  <c r="J4" i="8" s="1"/>
  <c r="H8" i="8" l="1"/>
  <c r="H7" i="8"/>
  <c r="I7" i="8" s="1"/>
  <c r="H6" i="8"/>
  <c r="I6" i="8" s="1"/>
  <c r="J6" i="8" s="1"/>
  <c r="H5" i="8"/>
  <c r="I8" i="8" l="1"/>
  <c r="J8" i="8" s="1"/>
  <c r="I5" i="8"/>
  <c r="J5" i="8" s="1"/>
  <c r="J7" i="8"/>
  <c r="H9" i="8"/>
  <c r="J9" i="8" l="1"/>
  <c r="I9" i="8"/>
  <c r="I10" i="8" l="1"/>
</calcChain>
</file>

<file path=xl/sharedStrings.xml><?xml version="1.0" encoding="utf-8"?>
<sst xmlns="http://schemas.openxmlformats.org/spreadsheetml/2006/main" count="776" uniqueCount="402">
  <si>
    <t>רמה</t>
  </si>
  <si>
    <t>שירותים</t>
  </si>
  <si>
    <t>ביטוח לאומי</t>
  </si>
  <si>
    <t>קופח</t>
  </si>
  <si>
    <t>מתכלל</t>
  </si>
  <si>
    <t>זיהוי מוקדם, קידום בריאות, תעדוף והוזלה בשירותי מניעה</t>
  </si>
  <si>
    <t>דאטה</t>
  </si>
  <si>
    <t>מצבי חיים</t>
  </si>
  <si>
    <t>יציאה לפנסיה</t>
  </si>
  <si>
    <t>מענה</t>
  </si>
  <si>
    <t>אשפוז</t>
  </si>
  <si>
    <t>מעבר מידע</t>
  </si>
  <si>
    <t>התאלמנות</t>
  </si>
  <si>
    <t>ירידה תפקודית</t>
  </si>
  <si>
    <t>משולש בטלא,קופח-רווחה</t>
  </si>
  <si>
    <t>לכמה מגיעים היום</t>
  </si>
  <si>
    <t>שיוויון ורווחה בשתפ</t>
  </si>
  <si>
    <t>מחקר תועלות</t>
  </si>
  <si>
    <t>בטלא-קופח-רווחה</t>
  </si>
  <si>
    <t>ברוקדייל-שיוויון-רווחה</t>
  </si>
  <si>
    <t>אחוז מימוש</t>
  </si>
  <si>
    <t>מיקוד</t>
  </si>
  <si>
    <t>אחוז</t>
  </si>
  <si>
    <t>כסף ביד</t>
  </si>
  <si>
    <t>טיפול אישי</t>
  </si>
  <si>
    <t>תמרוץ</t>
  </si>
  <si>
    <t>סבסוד 50%</t>
  </si>
  <si>
    <t>חלוקת גזרות אחריות ומענה</t>
  </si>
  <si>
    <t>עד 100%</t>
  </si>
  <si>
    <t>בטיפול בבעיה</t>
  </si>
  <si>
    <t>מיקוד במניעה ראשונית</t>
  </si>
  <si>
    <t>מתן גמלה לזכאי וטיפול בית (להגדיר כהשלמת הכנסה?)</t>
  </si>
  <si>
    <t>שירותים חברתיים (ובריאות)</t>
  </si>
  <si>
    <t>העברת מידע לנדחי חוק סיעוד</t>
  </si>
  <si>
    <t>מיקוד שירותים</t>
  </si>
  <si>
    <t>אתגרים</t>
  </si>
  <si>
    <t>שירותי רווחה</t>
  </si>
  <si>
    <t>שירותי בריאות (קופח)</t>
  </si>
  <si>
    <t>מניעה, שייכות, קידום בריאות- בתוך מסגרות ובקופח</t>
  </si>
  <si>
    <t>שונות</t>
  </si>
  <si>
    <t>שירותים מותאמים (הגעה לכולם)</t>
  </si>
  <si>
    <t>קהילה תומכת מובנה, סבסוד רבע במסגרות</t>
  </si>
  <si>
    <t>המחלקה (אם לא תוכיח את עצמה יועבר לקופ"ח) 50% מתקציב השירותים</t>
  </si>
  <si>
    <t>קהילה תומכת כקהילת שייכות ותקציב צבוע לכל זכאי 2 יח' לחודש, מותאם לזכאי חב"ס, יאפשר פיקוח, קשר, זיהוי מוקדם וקישור למענה מותאם</t>
  </si>
  <si>
    <t>רמה לבדידות תצבע לשירותים מונעי בדידות</t>
  </si>
  <si>
    <t>הרחבת השירותים דרך בטלא/ קופח לשירותים שיוכיחו את עצמם.</t>
  </si>
  <si>
    <t>פיתוח מערכות דאטה תומכות שירותים וסיוע תואם צרכים, חתימה על ויתור סודיות להתאמת השירותים.</t>
  </si>
  <si>
    <t>הגעה לכל הזכאים והתאמת המערכות למענה רחב ותואם</t>
  </si>
  <si>
    <t>דאטה שוטף תומך שירותים מותאמים קופח-רווחה-בטלא, תמרוץ למתן מעני קידום בריאות, זיהוי מוקדם וחיזוק חברתי. הוזלה לתמרוץ צריכת שירותים</t>
  </si>
  <si>
    <t>התקציב ממימוש בכסף יוקדש לטובת פיתוח ושיווק השירותים (קרן שלם לזקנה)</t>
  </si>
  <si>
    <t>מס'</t>
  </si>
  <si>
    <t>קהילה תומכת מובנה</t>
  </si>
  <si>
    <t xml:space="preserve">שירותים מותאמים ומגוונים לבחירת הזקן (קהילה תומכת עפ רמה) </t>
  </si>
  <si>
    <r>
      <t xml:space="preserve">שירותים מותאמים ומגוונים לבחירת הזקן </t>
    </r>
    <r>
      <rPr>
        <sz val="8"/>
        <color theme="1"/>
        <rFont val="Arial"/>
        <family val="2"/>
        <scheme val="minor"/>
      </rPr>
      <t xml:space="preserve">(קהילה תומכת עפ רמה) </t>
    </r>
  </si>
  <si>
    <t>מתן גמלה לזכאי וטיפול בית מותאם צורך (להגדיר כהשלמת הכנסה?)</t>
  </si>
  <si>
    <t>בטל"א</t>
  </si>
  <si>
    <t>בעוד שנתיים יבחן כל גוף על עמידתו ביעדים והצעדים שנקט ובהתאם לכך יוחלט האם ימשיך לתכלל</t>
  </si>
  <si>
    <t>הקמת תכנית לאומית משותפת למניעת התדרדרות 360 לזקן</t>
  </si>
  <si>
    <t>העברת דאטה תומכת תכנית טיפול וזכאות מעודכנת למצבי החיים</t>
  </si>
  <si>
    <t>שילוב תשומות בריאות בתוך המרכזים דרך טופס 17</t>
  </si>
  <si>
    <t>בסיוע ועזר</t>
  </si>
  <si>
    <t xml:space="preserve">קהילה תומכת מובנה למרותקי בית </t>
  </si>
  <si>
    <t>פיתוח שירותי בריאות בקהילה</t>
  </si>
  <si>
    <t>רמות סיעוד</t>
  </si>
  <si>
    <t>עקרונות פעולה</t>
  </si>
  <si>
    <t>קופ"ח</t>
  </si>
  <si>
    <t>יכולת פיתוח שירותים וזרוע יזמית</t>
  </si>
  <si>
    <t>תמרוץ מובנה למניעה (יוצא תקציב נמוך יותר)</t>
  </si>
  <si>
    <t>פריסה מקיפה</t>
  </si>
  <si>
    <t>דאטה מבוסס ואיכותי</t>
  </si>
  <si>
    <t>יכולת זיהוי מוקדם</t>
  </si>
  <si>
    <t>ידע וניסיון בקביעת הגמלה עפ צרכים</t>
  </si>
  <si>
    <t>תכניות טיפול וקידום בריאות</t>
  </si>
  <si>
    <t>מאגר מומחים רב דסיפלינרי</t>
  </si>
  <si>
    <t>חטיבת מחקר מבוססת</t>
  </si>
  <si>
    <t>מס</t>
  </si>
  <si>
    <t>פיקוח מוסדר וניסיון בהפעלת שירותים בהיקפים נרחבים</t>
  </si>
  <si>
    <t>יתרון יחסי</t>
  </si>
  <si>
    <t>חסרון יחסי</t>
  </si>
  <si>
    <t>צורך בהרחבת משאבים לעבודה אוניברסלית</t>
  </si>
  <si>
    <t>תמריץ בעייתי להדחקת התלות באבחוני חסר</t>
  </si>
  <si>
    <t>היעדר שירותי רווחה וחברה מבוססים</t>
  </si>
  <si>
    <t>מיקוד בגמלה ולא בשירותים</t>
  </si>
  <si>
    <t>סיכון בהעברת אחריות לגוף בעל אינטרס כלכלי מובנה</t>
  </si>
  <si>
    <t>היעדר יכולת לפיתוח ומתן שירותים</t>
  </si>
  <si>
    <t>מיקוד בבריאות ופחות בשירותים ומניעה</t>
  </si>
  <si>
    <t>מיקוד בשירותים ופחות בקידום בריאות</t>
  </si>
  <si>
    <t>בעוד שנתיים יבחן כל גוף את עמידתו ביעדים ואת הצעדים שנקט ובהתאם לכך יוחלט על המשך מקומו בתכלול</t>
  </si>
  <si>
    <t>התקציב ממימוש הגמלה בכסף יוקדש לטובת פיתוח ושיווק השירותים (קרן שלם לזקנה)</t>
  </si>
  <si>
    <t>זיהוי, מיקוד טיפול מונע, העברת מידע והפניה (חלק מהתקציב בהתאם לתכנית הטיפול)</t>
  </si>
  <si>
    <r>
      <t>עד 100%</t>
    </r>
    <r>
      <rPr>
        <sz val="9"/>
        <color theme="1"/>
        <rFont val="Arial"/>
        <family val="2"/>
        <scheme val="minor"/>
      </rPr>
      <t xml:space="preserve"> (30% במינימום)</t>
    </r>
  </si>
  <si>
    <t>מטפלות ייעודיות ומוכשרות (שיקום), פיתוח, הרחבת והתאמת שירותים, הכנסת מרכיבי בריאות לשירותים</t>
  </si>
  <si>
    <t>בטיפול בבעיה ושיקום</t>
  </si>
  <si>
    <t>מניעה</t>
  </si>
  <si>
    <t>מיקוד במרותקי הבית ומרכזי יום לתשושי נפש</t>
  </si>
  <si>
    <t>מתן גמלה לזכאי וטיפול בית מותאם צורך ופיקוח מול הזנחה והתעללות- העברת מידע לקופח</t>
  </si>
  <si>
    <t>דאטה תומך שירותים וטיפול בית תואם, מעקב ופיקוח. מעבר מידע לטובת צריכת והתאמת שירותים בהתאם לצרכי הלקוח</t>
  </si>
  <si>
    <t>דאטה תומך טיפול בית והשגחה ומעבר מידע לטובת טיפול בזמן</t>
  </si>
  <si>
    <t>כמות אוכלוסיה בשנה</t>
  </si>
  <si>
    <t>רמה 0 - לקראת 1</t>
  </si>
  <si>
    <t>מיקוד בסיוע</t>
  </si>
  <si>
    <t>מיקוד בפיקוח ושירותים מותאמים</t>
  </si>
  <si>
    <t>עד 50% כולל קבלת כסף ביד</t>
  </si>
  <si>
    <t>עד 70% כולל קבלת כסף ביד</t>
  </si>
  <si>
    <t>זיהוי, מיקוד טיפול מונע, העברת מידע והפניה לשירות</t>
  </si>
  <si>
    <t>תמריץ לבטל"א להפנות לשירותים, שינוי בתחום המטפלות- יצירת תעדוף למטופלי בית, שיפור ההכשרה והפיקוח על המטפלות</t>
  </si>
  <si>
    <t>מענה מותאם למרותקי בית, טיפול בתוך מרכזי היום לתשושי נפש</t>
  </si>
  <si>
    <t>מרותקי בית, השגחה, סיוע במטלות שוטפות, מעקב אחר הזנחה והתעללות.</t>
  </si>
  <si>
    <t>מעבר מידע בין בטל"א לקופ"ח וחלוקת הטיפול ביניהם, שינוי בתחום המטפלות - שיפור ההכשרה והפיקוח על מטפלות</t>
  </si>
  <si>
    <t>אירועי חיים כטריגר להתערבות- מענה במצבי החיים המשתנים</t>
  </si>
  <si>
    <t>הדדי - מרשם חברתי בריאותי</t>
  </si>
  <si>
    <t>עד 100% (50% במינימום)</t>
  </si>
  <si>
    <t>עד 100% (30% במינימום)</t>
  </si>
  <si>
    <t>רמות 3-4</t>
  </si>
  <si>
    <t>רמות 5-6</t>
  </si>
  <si>
    <t>תכלול השירותים ע"י הרשות באמצעות מתכלל שאחראי על הקשר רווחה-בטל"א-קופ"ח והנגשת השירותים לגורמים השונים ולזכאים</t>
  </si>
  <si>
    <t>עבודה מובנית עם רשויות וזרוע ביצועית ומקצועית במחלקות</t>
  </si>
  <si>
    <t>פריסה מקיפה של שירותים חברתיים לזקן</t>
  </si>
  <si>
    <t>התקשרויות עם אלפי ספקים נותני שירותים</t>
  </si>
  <si>
    <t>אפשרות לאיגום משאבים לבריאות בשירותים</t>
  </si>
  <si>
    <t>קשר לאזרח הותיק האוניברסלי</t>
  </si>
  <si>
    <t>חלוקה ל4 קופות עם שונות בדרכי פעולה</t>
  </si>
  <si>
    <t>ניסיון וידע במתן גמלה בכסף</t>
  </si>
  <si>
    <t>התקשרות עם חברות הסיעוד למתן שירות במטפלות סיעודיות</t>
  </si>
  <si>
    <t>ידע מקיף על הנזקקויות של מקבלי הגמלה</t>
  </si>
  <si>
    <t>מפגש פרטני ופחות קבוצתי (וחוסר בסטינג קבוע)</t>
  </si>
  <si>
    <t xml:space="preserve">תמריץ למתן גמלאות ולא למענה לבעיות </t>
  </si>
  <si>
    <t>חוסר תמרוץ להרחבת שירותים בלוח ח' 2 (יוצר עומס על המערכת)</t>
  </si>
  <si>
    <t>דורש בדיקה</t>
  </si>
  <si>
    <t>גורם אחראי</t>
  </si>
  <si>
    <t>בטל"א ורווחה</t>
  </si>
  <si>
    <t>הדדי לטובת מענה מותאם</t>
  </si>
  <si>
    <t>רשות+מעקב וסיוע</t>
  </si>
  <si>
    <t>הדרכה, תכנון פרישה, תעסוקה, תכנון תקופת החיים</t>
  </si>
  <si>
    <t>שירותים מותאמים לחזרה לקהילה</t>
  </si>
  <si>
    <t>קשר, שירותים חברתיים</t>
  </si>
  <si>
    <t>מיקוד בטיפול נקודתי ושירותים מותאמים</t>
  </si>
  <si>
    <t>העברת דאטה תומכת מענה מותאם בין כלל הגופים בהתאם לתחומי אחריותם</t>
  </si>
  <si>
    <t>יצירת תמריץ לצריכת שירותים- שיוכחו כמונעי התדרדרות, מקדמי שייכות ובריאות, משמרי ומשפרי תפקוד</t>
  </si>
  <si>
    <t>רמה 1</t>
  </si>
  <si>
    <t>70% (לעומת 100% כיום)</t>
  </si>
  <si>
    <t>70% (לעומת 80% כיום)</t>
  </si>
  <si>
    <t>רמה 2</t>
  </si>
  <si>
    <t>50% (לעומת 80% כיום)</t>
  </si>
  <si>
    <t>אפיון האוכלוסיה וצרכיה, כמות המשתתפים בשירותים, כמות מקבלי גמלאות חדשים, ההתערבויות שהועילו, הנגשת המידע לזכאים בקופח, רווחה ובטלא ואחוז מימוש ההפניות לשירותים.</t>
  </si>
  <si>
    <t>אפיון האוכלוסיה וצרכיה, כמות המשתתפים בשירותים, עליה ברמות הסיעוד לעומת סוג ההתערבות ומה הועיל, הנגשת המידע לזכאים בקופח, רווחה ובטלא ואחוז מימוש ההפניות לשירותים. השונות בין הרשויות והשלכותיה על מצב התפקוד והשירותים. פיתוח השירותים ובחינת צמצום התדרדרות. מה גורם לאנשים לא לצרוך שירות ומה יעזור להם להשתתף.</t>
  </si>
  <si>
    <t>מחקרים מלווים</t>
  </si>
  <si>
    <t>אפיון האוכלוסיה וצרכיה, בחינת אשפוזים חוזרים, הנגשת המידע לזכאים בקופח, רווחה ובטלא.  פיתוח השירותים ובחינת צמצום התדרדרות. תחומים שבהם המטפלת משמעותית והכשרה ותוצאותיה.</t>
  </si>
  <si>
    <t>אפיון האוכלוסיה וצרכיה, כמות המשתתפים בשירותים, צרכים שדורשים הכשרה למטפלות והשפעתה על התדרדרותם, עליה ברמות הסיעוד לעומת סוג ההתערבות ומה הועיל, הנגשת המידע לזכאים בקופח, רווחה ובטלא ואחוז מימוש ההפניות לשירותים. השונות בין הרשויות והשלכותיה על מצב התפקוד והשירותים.  פיתוח השירותים ובחינת צמצום התדרדרות. מה גורם לאנשים לא לצרוך שירות ומה יעזור להם להשתתף.</t>
  </si>
  <si>
    <t>אחוז מימוש מתוך כסף</t>
  </si>
  <si>
    <t>משרד הרווחה והמחלקות</t>
  </si>
  <si>
    <t>תגובות שונות לתמריצים</t>
  </si>
  <si>
    <t>שונות בין יכולות התפעול של מחלקות ורשויות</t>
  </si>
  <si>
    <t>יכולת תכלול בין המשרדים והשטח</t>
  </si>
  <si>
    <t>ע"פ רמה</t>
  </si>
  <si>
    <t>אחוז כסף בעין אפשרי מתוך הגמלה</t>
  </si>
  <si>
    <t>חשש ברשויות ממחסור בכלים ובכח אדם</t>
  </si>
  <si>
    <t>משולב- שירות חברתי-בריאותי- חיזוק החוסן</t>
  </si>
  <si>
    <t>קופות החולים</t>
  </si>
  <si>
    <t xml:space="preserve">הרשות המקומית, לפחות 50% לתקציב שירותים (אם לא תוכיח את עצמה יועבר לקופ"ח) </t>
  </si>
  <si>
    <r>
      <t xml:space="preserve">שילוב שירותי חברה ובריאות- </t>
    </r>
    <r>
      <rPr>
        <sz val="9"/>
        <rFont val="Arial"/>
        <family val="2"/>
        <charset val="177"/>
        <scheme val="minor"/>
      </rPr>
      <t>67% במינימום</t>
    </r>
  </si>
  <si>
    <t>רמה 0 - לקראת 1 (נדחי סיעוד)</t>
  </si>
  <si>
    <t>סבסוד 50%, הצעת שירות מותאם למצב הקשיש וחשיפה בחינם</t>
  </si>
  <si>
    <t>הנתונים בידי בריאות וקופ"ח</t>
  </si>
  <si>
    <t>קופח/רווחה</t>
  </si>
  <si>
    <t>מיקוד בהכשרה ובטיפול בבעיה הספציפית ושיקום מותאם</t>
  </si>
  <si>
    <t>מיקוד בשירותים חברתיים ובזקנה פעילה</t>
  </si>
  <si>
    <t>תמרוץ שירותים</t>
  </si>
  <si>
    <t>מדידה</t>
  </si>
  <si>
    <t>שירות מרכזי</t>
  </si>
  <si>
    <t>סבסוד מוצע</t>
  </si>
  <si>
    <t>מה נדרש לשם כך</t>
  </si>
  <si>
    <t>מועדון חברתי/מועשר/ מופת/חדר קפה וכושר/ הפגת בדידות</t>
  </si>
  <si>
    <t>מועשר/ מופת/חדר קפה וכושר/ הפגת בדידות</t>
  </si>
  <si>
    <t>עלויות מעטפת (15%)</t>
  </si>
  <si>
    <t>סה"כ</t>
  </si>
  <si>
    <t>מערכת תומכת</t>
  </si>
  <si>
    <t>פיקוח</t>
  </si>
  <si>
    <t>יעד לשנתיים</t>
  </si>
  <si>
    <t xml:space="preserve">מהלך קידום ויישום למימוש מ2023 </t>
  </si>
  <si>
    <t>קידום בריאות בקהילה</t>
  </si>
  <si>
    <t>טופס 17 במרכזים</t>
  </si>
  <si>
    <t>תיאום טיפול, קידום בריאות וטופס 17 במרכזים</t>
  </si>
  <si>
    <t>נדרש לתמחר</t>
  </si>
  <si>
    <t>קהילה תומכת כשירות בסיס</t>
  </si>
  <si>
    <t>קהל היעד</t>
  </si>
  <si>
    <t>תקציב נדרש</t>
  </si>
  <si>
    <r>
      <t>ברירת מחדל בגמלה-</t>
    </r>
    <r>
      <rPr>
        <sz val="11"/>
        <color theme="1"/>
        <rFont val="Arial"/>
        <family val="2"/>
        <charset val="177"/>
        <scheme val="minor"/>
      </rPr>
      <t xml:space="preserve"> קהילה תומכת, סל גמיש מותאם.
 </t>
    </r>
    <r>
      <rPr>
        <sz val="11"/>
        <color theme="1"/>
        <rFont val="Arial"/>
        <family val="2"/>
        <scheme val="minor"/>
      </rPr>
      <t>מיקוד</t>
    </r>
    <r>
      <rPr>
        <sz val="11"/>
        <color theme="1"/>
        <rFont val="Arial"/>
        <family val="2"/>
        <charset val="177"/>
        <scheme val="minor"/>
      </rPr>
      <t xml:space="preserve"> ב: פיקוח, קשר, חיבור לשירותים וסיוע בצרכים</t>
    </r>
  </si>
  <si>
    <t>ברירת מחדל בגמלה- קהילה תומכת, סל גמיש מותאם.
 מיקוד ב: מרותקי בית, סיוע ויעוץ למשפחה, פיקוח, קשר, מענה לצרכים, איתור מקרי הזנחה והתעללות.</t>
  </si>
  <si>
    <t>מרכז יום משודרג ומקדם בריאות ומניעה, הפגת בדידות, חד"כ וקפה מותאם, הרחבת מעגלי השייכות ורווחה מרחוק</t>
  </si>
  <si>
    <t>מרכז יום,תכניות למרותקי בית, רווחה מרחוק, סיוע לבני משפחה מטפלים בהדרכה והכוונה, איתור ומענה למקרי הזנחה והתעללות</t>
  </si>
  <si>
    <t>התנסות והיכרות חינם לנדחי ולקראת סיעוד, לאלמנים, ולקשישים אחר אשפוז. 
וואצר חודשי 70 ₪ למימוש בחודש בשירותים.</t>
  </si>
  <si>
    <t xml:space="preserve">חצי מעלות המופת=350 ₪ וחצי מהגמלה.
מנוי חדר קפה וכושר במרכז היום ב 5 יח' </t>
  </si>
  <si>
    <t>חצי מעלות המופת=350 ₪ וחצי מהגמלה. 
מנוי חדר קפה וכושר במרכז היום ב 5 יח'.</t>
  </si>
  <si>
    <t>סבסוד עלות השדרוג, 
סבסוד מעבר לחודשי, 
פיתוח שירותים מותאמים (מופת משודרג)</t>
  </si>
  <si>
    <t>דאטה, 
הפניה והצעה מקופח, בטלא ורווחה, 
הרחבת והתאמת השירותים,
הרחבת מעטפת תומכת,
פיקוח</t>
  </si>
  <si>
    <t>הרחבת לוח ח2,
דאטה,
פניה והצעה מקופח, בטלא ורווחה,
טופס 17 לשירותים
הרחבת והתאמת השירותים,
תוכניות להתאמת שירותים</t>
  </si>
  <si>
    <r>
      <rPr>
        <sz val="11"/>
        <color theme="9"/>
        <rFont val="Arial"/>
        <family val="2"/>
        <scheme val="minor"/>
      </rPr>
      <t>שינוי השתתפות משרד במופת- תאפשר פתיחת מופתים נוספים,</t>
    </r>
    <r>
      <rPr>
        <sz val="11"/>
        <color theme="1"/>
        <rFont val="Arial"/>
        <family val="2"/>
        <charset val="177"/>
        <scheme val="minor"/>
      </rPr>
      <t xml:space="preserve">
הרחבת והתאמת לוח ח2,
דאטה, 
הפניה והצעה מקופח, בטלא ורווחה, 
הרחבת והתאמת השירותים,
הרחבת מעטפת תומכת,
פיקוח</t>
    </r>
  </si>
  <si>
    <t>פיתוח ושיפור השירותים, 
הנגשת השירותים ותמרוץ לזכאים, 
פיתוח דאטה ושילובו במנגנון, 
תגבור כ"א יעודי במחלקות למניעה, 
התאמת חבילת השירות.</t>
  </si>
  <si>
    <t>פיתוח ושיפור השירותים, 
הנגשת השירותים ותמרוץ לזכאים, 
התאמה למרותקי בית,
פיתוח דאטה ושילובו במנגנון, 
תגבור כ"א יעודי במחלקות למניעה, 
התאמת חבילת השירות.</t>
  </si>
  <si>
    <t>הנגשת השירותים ותמרוץ לזכאים, 
התאמה למרותקי בית,
מתן שירותי בריאות בשירות,
איתור הזנחה והתעללות,
פיתוח דאטה ושילובו במנגנון, 
תגבור כ"א יעודי במחלקות למניעה, 
התאמת חבילת השירות.</t>
  </si>
  <si>
    <r>
      <t xml:space="preserve">1. מקדמות שמ"ע (שייכות, משמעות ועצמאות)
 </t>
    </r>
    <r>
      <rPr>
        <b/>
        <sz val="11"/>
        <color theme="1"/>
        <rFont val="Arial"/>
        <family val="2"/>
        <scheme val="minor"/>
      </rPr>
      <t xml:space="preserve">זקנה פעילה- </t>
    </r>
    <r>
      <rPr>
        <sz val="11"/>
        <color theme="1"/>
        <rFont val="Arial"/>
        <family val="2"/>
        <scheme val="minor"/>
      </rPr>
      <t xml:space="preserve">
2. תכנית גלגל- גמלאים למען גמלאים, קשר וניסיון לחיים.
3. תיאום טיפולייט עם עו"ס ואחיות בגמלאות (מועדון יותר).
 4. תעסוקה מקדמת משמעות</t>
    </r>
  </si>
  <si>
    <t>סבסוד למקבלי השלמת הכנסה ועריריים, למעוטי יכולת ונזקקים - 
ישלמו רק 50 ₪ לחודש</t>
  </si>
  <si>
    <t>ברירת מחדל בגמלה- קהילה תומכת, סל גמיש מותאם. 
מיקוד ב: קידום שייכות, מניעה, איתור מוקדם וסיוע בתיקון, מענה.</t>
  </si>
  <si>
    <r>
      <t xml:space="preserve">א. </t>
    </r>
    <r>
      <rPr>
        <b/>
        <sz val="10"/>
        <color theme="1"/>
        <rFont val="Arial"/>
        <family val="2"/>
        <charset val="177"/>
        <scheme val="minor"/>
      </rPr>
      <t>זקנה פעילה</t>
    </r>
    <r>
      <rPr>
        <sz val="10"/>
        <color theme="1"/>
        <rFont val="Arial"/>
        <family val="2"/>
        <charset val="177"/>
        <scheme val="minor"/>
      </rPr>
      <t>- תכנית גלג"ל- גמלאים למען גמלאים, קשר וניסיון לחיים וחיבור לשירותים.             ב. תיאום טיפולייט עם עוס ואחיות בגמלאות (מועדון יותר).                         ג. התאמת סמך מקצועי-מקדמות שמ"ע (שייכות, משמעות ועצמאות/ שייכות ומניעת התדרדרות).      ד.תעסוקה מקדמת משמעות</t>
    </r>
  </si>
  <si>
    <r>
      <t xml:space="preserve">1. התאמת סמך מקצועי-מקדמות שמ"ע (שייכות, משמעות ועצמאות/ שייכות ומניעת התדרדרות).         </t>
    </r>
    <r>
      <rPr>
        <b/>
        <sz val="10"/>
        <color theme="1"/>
        <rFont val="Arial"/>
        <family val="2"/>
        <charset val="177"/>
        <scheme val="minor"/>
      </rPr>
      <t>זקנה פעילה</t>
    </r>
    <r>
      <rPr>
        <sz val="10"/>
        <color theme="1"/>
        <rFont val="Arial"/>
        <family val="2"/>
        <charset val="177"/>
        <scheme val="minor"/>
      </rPr>
      <t>-                                 2 . תכנית גלגל- גמלאים למען גמלאים, קשר וניסיון לחיים.                3. תיאום טיפולייט עם עוס ואחיות בגמלאות (מועדון יותר).                   4. תעסוקה מקדמת משמעות</t>
    </r>
  </si>
  <si>
    <r>
      <rPr>
        <sz val="10"/>
        <color theme="9"/>
        <rFont val="Arial"/>
        <family val="2"/>
        <charset val="177"/>
        <scheme val="minor"/>
      </rPr>
      <t>שינוי השתתפות משרד במופת- תאפשר פתיחת מופתים נוספים,</t>
    </r>
    <r>
      <rPr>
        <sz val="10"/>
        <color theme="1"/>
        <rFont val="Arial"/>
        <family val="2"/>
        <charset val="177"/>
        <scheme val="minor"/>
      </rPr>
      <t xml:space="preserve">
הרחבת והתאמת לוח ח2,
דאטה, 
הפניה והצעה מקופח, בטלא ורווחה, 
הרחבת והתאמת השירותים,
הרחבת מעטפת תומכת,
פיקוח</t>
    </r>
  </si>
  <si>
    <t>שילוב שירותי חברה ובריאות- 67% במינימום</t>
  </si>
  <si>
    <t>אנו מניחים שבאמצעות תגבור וקשר עם קופח ובטלא נוכל להגיע ל12% מקהל היעד תוך מיקוד בקהל נזקק וסבסוד יעודי עבורו על מנת לאפשר לו ולמשפחתו להנות ממרכז היום שיפחית את העומס. 40% יגיעו לקהילה תומכת יעודית שתתמקד במענה למרותקי הבית.  10% נקבע עבור מעטפת של המנגנון- פיקוח, בקרה, מערכות מידע, מחקר, כ"א</t>
  </si>
  <si>
    <t>סבסוד למקבלי השלמת הכנסה ועריריים, למעוטי יכולת ונזקקים - 
ישלמו פחות 40 ₪ ליום- 148 ₪ ליום</t>
  </si>
  <si>
    <t>אנו מניחים שבאמצעות תגבור וקשר עם קופח ובטלא נוכל להגיע ל14% מקהל היעד שיגיע למרכז יום משודרג. 80% ישארו על קהילה תומכת כשירות בברירת המחדל ועוד 10% יבחרו בקהילה המשודרגת.  10% נקבע עבור מעטפת של המנגנון- פיקוח, בקרה, מערכות מידע, מחקר, כ"א</t>
  </si>
  <si>
    <r>
      <t>ברירת מחדל בגמלה-</t>
    </r>
    <r>
      <rPr>
        <sz val="11"/>
        <color theme="1"/>
        <rFont val="Arial"/>
        <family val="2"/>
        <charset val="177"/>
        <scheme val="minor"/>
      </rPr>
      <t xml:space="preserve"> קהילה תומכת, סל גמיש מותאם. ברירת מחדל בגמלה- קהילה תומכת, סל גמיש מותאם. 
מיקוד ב: קידום שייכות, מניעה, איתור מוקדם וסיוע בתיקון, מענה. אפשרות לקהילה תומכת VIP הכוללת שירותי ניקיון בבית ל4 שעות בחודש תמורת 2.75 ש' בשבוע (פיילוט שהצליח)
 </t>
    </r>
    <r>
      <rPr>
        <sz val="11"/>
        <color theme="1"/>
        <rFont val="Arial"/>
        <family val="2"/>
        <scheme val="minor"/>
      </rPr>
      <t>מיקוד</t>
    </r>
    <r>
      <rPr>
        <sz val="11"/>
        <color theme="1"/>
        <rFont val="Arial"/>
        <family val="2"/>
        <charset val="177"/>
        <scheme val="minor"/>
      </rPr>
      <t xml:space="preserve"> ב: פיקוח, קשר, חיבור לשירותים וסיוע בצרכים</t>
    </r>
  </si>
  <si>
    <t>אנו מניחים שבאמצעות תגבור וקשר עם קופח ובטלא נוכל להגיע ל40% מקהל היעד ולתת להם מועדון מוזל ומסובסד ובמקביל 80% ישארו על קהילה תומכת כשירות בברירת המחדל ועוד 10% יבחרו בקהילה המשודרגת. 10% נקבע עבור מעטפת של המנגנון- פיקוח, בקרה, מערכות מידע, מחקר, כ"א</t>
  </si>
  <si>
    <r>
      <t xml:space="preserve">1. התאמת סמך מקצועי-מקדמות שמ"ע (שייכות, משמעות ועצמאות/ שייכות ומניעת התדרדרות).         </t>
    </r>
    <r>
      <rPr>
        <b/>
        <sz val="13"/>
        <color theme="1"/>
        <rFont val="Arial"/>
        <family val="2"/>
        <scheme val="minor"/>
      </rPr>
      <t>זקנה פעילה</t>
    </r>
    <r>
      <rPr>
        <sz val="13"/>
        <color theme="1"/>
        <rFont val="Arial"/>
        <family val="2"/>
        <scheme val="minor"/>
      </rPr>
      <t>-                                 2 . תכנית גלגל- גמלאים למען גמלאים, קשר וניסיון לחיים.                3. תיאום טיפולייט עם עוס ואחיות בגמלאות (מועדון יותר).                   4. תעסוקה מקדמת משמעות</t>
    </r>
  </si>
  <si>
    <t>אנו מניחים שבאמצעות תגבור וקשר עם קופח ובטלא נוכל להגיע ל30% מקהל היעד ולתת להם וואצר וקהילה תומכת מסובסדת- למימוש בשירותים</t>
  </si>
  <si>
    <r>
      <t xml:space="preserve">א. </t>
    </r>
    <r>
      <rPr>
        <b/>
        <sz val="13"/>
        <color theme="1"/>
        <rFont val="Arial"/>
        <family val="2"/>
        <scheme val="minor"/>
      </rPr>
      <t>זקנה פעילה</t>
    </r>
    <r>
      <rPr>
        <sz val="13"/>
        <color theme="1"/>
        <rFont val="Arial"/>
        <family val="2"/>
        <scheme val="minor"/>
      </rPr>
      <t xml:space="preserve">- תכנית גלג"ל- גמלאים למען גמלאים, קשר וניסיון לחיים וחיבור לשירותים.             ב. תיאום טיפולייט עם עוס ואחיות בגמלאות (מועדון יותר).                         ג. התאמת סמך מקצועי-מקדמות שמ"ע (שייכות, משמעות ועצמאות/ שייכות ומניעת התדרדרות).      </t>
    </r>
    <r>
      <rPr>
        <sz val="12"/>
        <color theme="1"/>
        <rFont val="Arial"/>
        <family val="2"/>
        <scheme val="minor"/>
      </rPr>
      <t>ד.תעסוקה מקדמת משמעות</t>
    </r>
  </si>
  <si>
    <r>
      <t>ברירת מחדל בגמלה</t>
    </r>
    <r>
      <rPr>
        <sz val="11"/>
        <color theme="1"/>
        <rFont val="Arial"/>
        <family val="2"/>
        <charset val="177"/>
        <scheme val="minor"/>
      </rPr>
      <t>- קהילה תומכת, סל גמיש מותאם. 
מיקוד ב: קידום שייכות, מניעה, איתור מוקדם וסיוע בתיקון, מענה. אפשרות לקהילה תומכת VIP הכוללת שירותי ניקיון בבית ל4 שעות בחודש תמורת 2.75 ש' בשבוע (פיילוט שהצליח)</t>
    </r>
  </si>
  <si>
    <t xml:space="preserve">הסבר </t>
  </si>
  <si>
    <t>עלויות מעטפת (10%)</t>
  </si>
  <si>
    <t>עקרונות מנחים מול קופ"ח:</t>
  </si>
  <si>
    <t>אנו מאמינים כי כולם, ובפרט הוותיקים, עשויים להרוויח משיתוף פעולה נכון בין הגופים.</t>
  </si>
  <si>
    <r>
      <rPr>
        <sz val="11"/>
        <color theme="1"/>
        <rFont val="Times New Roman"/>
        <family val="1"/>
      </rPr>
      <t xml:space="preserve"> </t>
    </r>
    <r>
      <rPr>
        <b/>
        <sz val="11"/>
        <color theme="1"/>
        <rFont val="Arial"/>
        <family val="2"/>
      </rPr>
      <t>זיהוי והתאמה מניעתית</t>
    </r>
    <r>
      <rPr>
        <sz val="11"/>
        <color theme="1"/>
        <rFont val="Arial"/>
        <family val="2"/>
      </rPr>
      <t xml:space="preserve"> – על הקופ"ח לייצר מערכת איתור המזהה ירידה תפקודית ובריאותית אצל הקשיש ומתאימה לו טיפול תואם. יש לשים דגש על מניעה לצד טיפול בזקוקים לכך. ייתכן כי זהו שינוי פרדיגמה עבור קופ"ח שרגילה לעסוק בטיפול בבעיה קיימת כמחויב מחוק בריאות ממלכתית, ולא במניעה שלה.</t>
    </r>
  </si>
  <si>
    <r>
      <rPr>
        <b/>
        <sz val="11"/>
        <color theme="1"/>
        <rFont val="Arial"/>
        <family val="2"/>
      </rPr>
      <t>תגבור בריאות ממוקד בעיה</t>
    </r>
    <r>
      <rPr>
        <sz val="11"/>
        <color theme="1"/>
        <rFont val="Arial"/>
        <family val="2"/>
      </rPr>
      <t xml:space="preserve"> – אוכלוסיית הוותיקים מאופיינת ברצף רחב של צרכים ומצבי חיים, וכל מטופל זקוק לטיפול בריאותי שונה בהתאם לבעיות ולצורך המניעתי. על קופ"ח לייצר שירותי בריאות רחבים המתאימים לשלל מצבים, כגון: פעולות לקידום בריאות ומניעה בתחומים ממוקדים: קושי בתנועה, תזונה מתאימה, קשיי זיכרון, ועוד, ולהפנות אליהם מטופלים לצרכי טיפול ומניעה. התגבורים השונים והיקפיהם ייקבעו ע"י אנשי מקצוע מתחום הבריאות.</t>
    </r>
  </si>
  <si>
    <r>
      <rPr>
        <b/>
        <sz val="11"/>
        <color theme="1"/>
        <rFont val="Arial"/>
        <family val="2"/>
      </rPr>
      <t>דאטה להתאמת שירות ומחקר</t>
    </r>
    <r>
      <rPr>
        <sz val="11"/>
        <color theme="1"/>
        <rFont val="Arial"/>
        <family val="2"/>
      </rPr>
      <t xml:space="preserve"> – בידי הקופ"ח מידע חיוני והכרחי על מצב הקשישים. על מנת לייצר רצף טיפולי המדויק למצב הקשיש, יש לייצר שיתוף הדדי של מידע הכרחי- בין אם על ידי הקמת מאגר דאטה משותף ובין אם על ידי תיאום מעבר מידע בזמנים קבועים. העברת המידע תחייב גם את בטל"א והרווחה. אנו מאמינים שדאטה משותפת תבטיח שירות מותאם אישית ותעניק בסיס הכרחי למחקר ולשיפור השירותים שמעניקים כלל הגופים. כולם ירוויחו מכך.</t>
    </r>
  </si>
  <si>
    <r>
      <rPr>
        <b/>
        <sz val="11"/>
        <color theme="1"/>
        <rFont val="Arial"/>
        <family val="2"/>
      </rPr>
      <t>הפניות לשירותים חברתיים –</t>
    </r>
    <r>
      <rPr>
        <sz val="11"/>
        <color theme="1"/>
        <rFont val="Arial"/>
        <family val="2"/>
      </rPr>
      <t xml:space="preserve"> השירותים החברתיים הקיימים ברשויות מהווים מענה משמעותי עבור ותיקים, אך רבים אחרים שזקוקים להם לא חשופים לקיומם. על הקופ"ח להקים מערך הפניות לשירותים ולראות בהם כחלק מהרצף הטיפולי. על הקופה להתעדכן בשירותים הקיימים בסביבתו. הקופה תתומרץ בהתאם להפניות והשתתפות בפועל של הזקנים בשירותים.</t>
    </r>
  </si>
  <si>
    <r>
      <rPr>
        <b/>
        <sz val="11"/>
        <color theme="1"/>
        <rFont val="Arial"/>
        <family val="2"/>
      </rPr>
      <t>טופס 17 במרכזי היום</t>
    </r>
    <r>
      <rPr>
        <sz val="11"/>
        <color theme="1"/>
        <rFont val="Arial"/>
        <family val="2"/>
      </rPr>
      <t xml:space="preserve"> – מרכזי היום מעניקים שירות פרא-רפואי לצד שירות חברתי. אנו שואפים כי רופא המשפחה יפנה את מטופליו לשירות זה דרך השתתפות הקופה במסגרת טופס 17.</t>
    </r>
  </si>
  <si>
    <r>
      <rPr>
        <b/>
        <sz val="11"/>
        <color theme="1"/>
        <rFont val="Times New Roman"/>
        <family val="1"/>
      </rPr>
      <t xml:space="preserve">  </t>
    </r>
    <r>
      <rPr>
        <b/>
        <sz val="11"/>
        <color theme="1"/>
        <rFont val="Arial"/>
        <family val="2"/>
      </rPr>
      <t>קידום בריאות בשירותים החברתיים</t>
    </r>
    <r>
      <rPr>
        <sz val="11"/>
        <color theme="1"/>
        <rFont val="Arial"/>
        <family val="2"/>
      </rPr>
      <t xml:space="preserve"> – השירותים החברתיים מרכזים מספר רב של ותיקים. קופות החולים יכולות להגיע אליהם ולפתח שירותי בריאות בתוך המרכזים, וכך להבטיח טיפול ומעקב אחר כמות גבוהה של מטופלים הנמצאים במקום אחד.</t>
    </r>
  </si>
  <si>
    <r>
      <rPr>
        <b/>
        <sz val="11"/>
        <color theme="1"/>
        <rFont val="Arial"/>
        <family val="2"/>
      </rPr>
      <t>התקציב-</t>
    </r>
    <r>
      <rPr>
        <sz val="11"/>
        <color theme="1"/>
        <rFont val="Arial"/>
        <family val="2"/>
      </rPr>
      <t xml:space="preserve"> 30% מהתקציב יהיה לקופות בתנאי שיהיו מטרות ברורות ומדידות לפעילותן, על מנת להבטיח טיפול משולב ומתאים בוותיקים ואת שיתוף הפעולה ההכרחי בין כלל הגופים.</t>
    </r>
  </si>
  <si>
    <t>תשומות ומדידה:</t>
  </si>
  <si>
    <t>הקמת מערך טיפולים מונעים ייעודים - מגוון חבילות שירות וטיפול לקשיש, אליהן מפנים טרם הירידה התפקודית. הן שירותים חברתיים המופעלים ע"י הרווחה ובהם ישולבו תשומות בריאות של הקופות והן שירותים חדשים שיוקמו ע"י הקופות- תחילה כפיילוט ובהמשך לפי זיהוי צרכים.</t>
  </si>
  <si>
    <t>הקמת מערכת איתור, זיהוי X קשישים בשנה לפני ירידה תפקודית, שילוב מלא שלהם בטיפולים מונעים ייעודים. הקופה תתומרץ על כל איתור "מוצלח" ששולב בטיפול מונע.</t>
  </si>
  <si>
    <t>ברירת מחדל</t>
  </si>
  <si>
    <t>שירותים לא מפותחים בכל מקום</t>
  </si>
  <si>
    <t>רשויות חלשות ובעייתיות</t>
  </si>
  <si>
    <t>כסף/שירותים/טיפול</t>
  </si>
  <si>
    <t>שירותים יעלו פחות</t>
  </si>
  <si>
    <t>3,6</t>
  </si>
  <si>
    <t>חודשיים ניסיון בהתחלה</t>
  </si>
  <si>
    <t>שירותים עולה פחות וכסף פחות שהולך לשירותים</t>
  </si>
  <si>
    <t>רווחה ושירותים רמה 2 (כשאם השירות לא טוב עובר לקופה)</t>
  </si>
  <si>
    <t>אחוז מהגמלה</t>
  </si>
  <si>
    <t>גורם מפעיל</t>
  </si>
  <si>
    <t>עקרונות פעולה בלשונית "קופות חולים"</t>
  </si>
  <si>
    <t>רווחה</t>
  </si>
  <si>
    <t>20% רווחה</t>
  </si>
  <si>
    <t>שירותים חברתיים (או כסף?). באם השירות לא מוצלח ברשות - יעבור לקופה (להגדיר מדידה ל"לא מוצלח")</t>
  </si>
  <si>
    <t>תוך 3 שנים - רווחה וקופ"ח יציעו חבילות שירותים לבחירת הזקן על סך 70% בשילוב חברתי ובריאותי</t>
  </si>
  <si>
    <t>כסף בעין/שירותים חברתיים/ טיפול בית - עם תמרוץ לצריכת שירותים. היתרה- לקרן שלם לבניית ושיפור שירותים</t>
  </si>
  <si>
    <t>מה ניתן?</t>
  </si>
  <si>
    <t xml:space="preserve"> יינתנו שירותי בסיס לכולם ושירותים בברירת מחדל</t>
  </si>
  <si>
    <t>הקמת רשות לאומית 360 למניעת התדרדרות - קידום מענה שלם בשיתוף פעולה בין כלל הגורמים (יישב תחת בטל"א ורווחה)</t>
  </si>
  <si>
    <t>קהילה תומכת כשירות בסיס לכל הרמות לטובת יישום תכנית הטיפול, שמירה על קשר ושייכות לקהילה, זיהוי מוקדם, תכלול בין הגופים, פיקוח בשטח, הפניה והתרעה במקרה של חריגות ואפשרות לניקיון בית כשירות בקהילה.</t>
  </si>
  <si>
    <t xml:space="preserve">הרחבת השירותים ובניית תכנית טיפול אישית לכל קשיש </t>
  </si>
  <si>
    <t>רמת סיעוד לבדידות- הגמלה תיצבע לשירותים חברתיים מונעי בדידות</t>
  </si>
  <si>
    <t>כל יום ביקור במופת -1 יחידה - יום בשבוע, קהילה תומכת בחודש - 2 יחידות. סה"כ: 1.5 יחידה בשבוע.</t>
  </si>
  <si>
    <t>או: שלב א - פעמיים בחודש ביקור במופת  - סה"כ 2 יחידות + 2 יחידות ק.תומכת</t>
  </si>
  <si>
    <t>ושלב ב- כשייכנסו גם מועדונים חברתיים ומועשרי לח2, יהיה מודל צבוע</t>
  </si>
  <si>
    <t>או: רמה 1- פעמיים בחודש מופת (2+2 = 18%), או: 3 פעמים בשבוע מ.חברתי (18%), רמה 2- פעם בשבוע מופת (14%) או: פעמיים בחודש מופת + 3 פעמים בשבוע מועדון חברתי . שדרוגים: יוכל לבחור שירותים נוספים במופת, שירותים נוספים במועדון חברתי, שירותים נוספים בקהילה תומכת, או שירותי ארוחה חמה. תוך שנתיים יווצרו מודלים היברידיים משודרגים: הכוללים קהילה תומכת משודרגת ומופת משודרג</t>
  </si>
  <si>
    <t xml:space="preserve"> -</t>
  </si>
  <si>
    <t>קהילה תומכת: 2 יח' בחודש + מועדון מופת או חברתי: 2 בחודש = סה"כ 4 יח' מתוך 22</t>
  </si>
  <si>
    <t xml:space="preserve"> - </t>
  </si>
  <si>
    <t>רמה:</t>
  </si>
  <si>
    <t>שירותי בסיס לבחירת הזקן:</t>
  </si>
  <si>
    <t>עלות שירותי הבסיס במונחי ג.סיעוד:</t>
  </si>
  <si>
    <t>אחוז קבלת כסף מתוך 33% ביטוח לאומי:</t>
  </si>
  <si>
    <t>אחריות קופות החולים - 33%:</t>
  </si>
  <si>
    <t>מודלים לשדרוגים עתידיים:</t>
  </si>
  <si>
    <t>בחירה בכסף - 90% מתוך ה-30% (כשהיתרה מופנית לפיתוח שירותים- קרן שלם לזקנה)</t>
  </si>
  <si>
    <t>בחירה בכסף - 70% מתוך ה-30% (כשהיתרה מופנית לפיתוח שירותים- קרן שלם לזקנה)</t>
  </si>
  <si>
    <t>בחירה בכסף - 50% מתוך ה-30% (כשהיתרה מופנית לפיתוח שירותים- קרן שלם לזקנה)</t>
  </si>
  <si>
    <t>מועדונים חברתיים, בתים חמים, פינות חמות</t>
  </si>
  <si>
    <t>הרחבת ההשתתפות במועדון מופת, מועדון חברתי או מועדון מועשר - לבחירת הקשיש ובהתאם לקיים ברשות;
חדרי קפה וכושר ייעודיים;
תוכניות להפגת בדידות- תוך דגש על רמת בדידות בגמלה.</t>
  </si>
  <si>
    <t>אפשרויות כיום לשירותים דרך הגמלה:</t>
  </si>
  <si>
    <t>הצעות לאפשרויות, הרחבות ושדרוגים נוספים לבחירת הזקן:</t>
  </si>
  <si>
    <t>אין</t>
  </si>
  <si>
    <t>השתתפות במרכז יום</t>
  </si>
  <si>
    <t>1. קהילה תומכת: 2 יח' בחודש + מועדון מופת אחת לשבוע: 4  בחודש = 6 יח' מתוך 40
2. קהילה תומכת: 2 יח' + מופת אחת לשבועיים: 2 בחודש + 3 פעמים בשבוע מועדון חברתי: 2 בחודש = 6 יח' מתוך 40</t>
  </si>
  <si>
    <r>
      <t xml:space="preserve">קהילה תומכת + שובר למועדון מופת אחת לשבועיים, 
</t>
    </r>
    <r>
      <rPr>
        <b/>
        <sz val="10"/>
        <color theme="1"/>
        <rFont val="Arial"/>
        <family val="2"/>
        <scheme val="minor"/>
      </rPr>
      <t xml:space="preserve">או: </t>
    </r>
    <r>
      <rPr>
        <sz val="10"/>
        <color theme="1"/>
        <rFont val="Arial"/>
        <family val="2"/>
        <scheme val="minor"/>
      </rPr>
      <t>קהילה תומכת</t>
    </r>
    <r>
      <rPr>
        <b/>
        <sz val="10"/>
        <color theme="1"/>
        <rFont val="Arial"/>
        <family val="2"/>
        <scheme val="minor"/>
      </rPr>
      <t xml:space="preserve"> </t>
    </r>
    <r>
      <rPr>
        <sz val="10"/>
        <color theme="1"/>
        <rFont val="Arial"/>
        <family val="2"/>
        <scheme val="minor"/>
      </rPr>
      <t xml:space="preserve">+ </t>
    </r>
    <r>
      <rPr>
        <sz val="10"/>
        <color theme="1"/>
        <rFont val="Arial"/>
        <family val="2"/>
        <charset val="177"/>
        <scheme val="minor"/>
      </rPr>
      <t>שובר למועדון חברתי 3 פעמים בשבוע</t>
    </r>
  </si>
  <si>
    <r>
      <t xml:space="preserve">קהילה תומכת + שובר למועדון מופת אחת לשבוע, 
</t>
    </r>
    <r>
      <rPr>
        <b/>
        <sz val="10"/>
        <color theme="1"/>
        <rFont val="Arial"/>
        <family val="2"/>
        <scheme val="minor"/>
      </rPr>
      <t xml:space="preserve">או: </t>
    </r>
    <r>
      <rPr>
        <sz val="10"/>
        <color theme="1"/>
        <rFont val="Arial"/>
        <family val="2"/>
        <scheme val="minor"/>
      </rPr>
      <t xml:space="preserve">קהילה תומכת + </t>
    </r>
    <r>
      <rPr>
        <sz val="10"/>
        <color theme="1"/>
        <rFont val="Arial"/>
        <family val="2"/>
        <charset val="177"/>
        <scheme val="minor"/>
      </rPr>
      <t>שובר למועדון מופת אחת לשבועיים + 3 פעמים בשבוע מועדון חברתי</t>
    </r>
  </si>
  <si>
    <t>קהילה תומכת + שובר להגעה למרכז יום</t>
  </si>
  <si>
    <t>יוכל לבחור שירותים נוספים שיינתנו במועדון מופת, שירותים נוספים שייתנו במועדון חברתי, שירותים נוספים בקהילה תומכת משודרגת, או שירותי ארוחה חמה לבחירתו. תוך שנתיים יווצרו מודלים היברידיים משודרגים המציגים חבילות שירות לקשיש</t>
  </si>
  <si>
    <t>עלות שירותים באחוזים מתוך הגמלה:</t>
  </si>
  <si>
    <t>סבסוד 50%, 
הצעת שירות מותאם למצב הקשיש</t>
  </si>
  <si>
    <r>
      <rPr>
        <sz val="10"/>
        <rFont val="Arial"/>
        <family val="2"/>
        <scheme val="minor"/>
      </rPr>
      <t>קהילה תומכת מובנה,</t>
    </r>
    <r>
      <rPr>
        <sz val="10"/>
        <color theme="1"/>
        <rFont val="Arial"/>
        <family val="2"/>
        <scheme val="minor"/>
      </rPr>
      <t xml:space="preserve">
סבסוד רבע במסגרות</t>
    </r>
  </si>
  <si>
    <t>3-6</t>
  </si>
  <si>
    <t>עלות שירותי בסיס באחוזים מתוך הגמלה:</t>
  </si>
  <si>
    <t>מרכז יום</t>
  </si>
  <si>
    <t>חבילות שירות בסיס לבחירת הזקן:</t>
  </si>
  <si>
    <t>שדרוגים נוספים לבחירת הזקן:</t>
  </si>
  <si>
    <t>עלות השירותים לעומת שעות סיעוד</t>
  </si>
  <si>
    <t>1. קהילה תומכת משודרגת
2.  או שירותי ארוחה חמה לבחירתו. תוך שנתיים יווצרו מודלים היברידיים משודרגים המציגים חבילות שירות לקשיש</t>
  </si>
  <si>
    <r>
      <rPr>
        <b/>
        <sz val="10"/>
        <color theme="1"/>
        <rFont val="Arial"/>
        <family val="2"/>
        <scheme val="minor"/>
      </rPr>
      <t>1.</t>
    </r>
    <r>
      <rPr>
        <sz val="10"/>
        <color theme="1"/>
        <rFont val="Arial"/>
        <family val="2"/>
        <charset val="177"/>
        <scheme val="minor"/>
      </rPr>
      <t xml:space="preserve"> קהילה תומכת: שווה ל-2 שעות טיפול בחודש + מועדון מופת אחת לשבוע: 4 שעות בחודש = 6 שעות מתוך 40
</t>
    </r>
    <r>
      <rPr>
        <b/>
        <sz val="10"/>
        <color theme="1"/>
        <rFont val="Arial"/>
        <family val="2"/>
        <scheme val="minor"/>
      </rPr>
      <t>2.</t>
    </r>
    <r>
      <rPr>
        <sz val="10"/>
        <color theme="1"/>
        <rFont val="Arial"/>
        <family val="2"/>
        <charset val="177"/>
        <scheme val="minor"/>
      </rPr>
      <t xml:space="preserve"> קהילה תומכת: 2 שעות + מופת אחת לשבועיים: 2 בחודש + 3 פעמים בשבוע מועדון חברתי: 2 בחודש
 = </t>
    </r>
    <r>
      <rPr>
        <b/>
        <sz val="10"/>
        <color theme="1"/>
        <rFont val="Arial"/>
        <family val="2"/>
        <scheme val="minor"/>
      </rPr>
      <t>סה"כ 6 שעות מתוך 40</t>
    </r>
  </si>
  <si>
    <t>קהילה תומכת + מועדון חברתי במינוי חודשי</t>
  </si>
  <si>
    <r>
      <t xml:space="preserve">קהילה תומכת + מועדון מופת אחת לשבועיים, 
</t>
    </r>
    <r>
      <rPr>
        <b/>
        <sz val="10"/>
        <color theme="1"/>
        <rFont val="Arial"/>
        <family val="2"/>
        <scheme val="minor"/>
      </rPr>
      <t xml:space="preserve">או: </t>
    </r>
    <r>
      <rPr>
        <sz val="10"/>
        <color theme="1"/>
        <rFont val="Arial"/>
        <family val="2"/>
        <scheme val="minor"/>
      </rPr>
      <t>קהילה תומכת</t>
    </r>
    <r>
      <rPr>
        <b/>
        <sz val="10"/>
        <color theme="1"/>
        <rFont val="Arial"/>
        <family val="2"/>
        <scheme val="minor"/>
      </rPr>
      <t xml:space="preserve"> </t>
    </r>
    <r>
      <rPr>
        <sz val="10"/>
        <color theme="1"/>
        <rFont val="Arial"/>
        <family val="2"/>
        <scheme val="minor"/>
      </rPr>
      <t xml:space="preserve">+ </t>
    </r>
    <r>
      <rPr>
        <sz val="10"/>
        <color theme="1"/>
        <rFont val="Arial"/>
        <family val="2"/>
        <charset val="177"/>
        <scheme val="minor"/>
      </rPr>
      <t xml:space="preserve">מועדון חברתי במינוי חודשי
</t>
    </r>
    <r>
      <rPr>
        <b/>
        <sz val="10"/>
        <color theme="1"/>
        <rFont val="Arial"/>
        <family val="2"/>
        <scheme val="minor"/>
      </rPr>
      <t>או:</t>
    </r>
    <r>
      <rPr>
        <sz val="10"/>
        <color theme="1"/>
        <rFont val="Arial"/>
        <family val="2"/>
        <charset val="177"/>
        <scheme val="minor"/>
      </rPr>
      <t xml:space="preserve"> קהילה תומכת + השמה מלאה במועדון מופת- 3 ימים בשבוע </t>
    </r>
  </si>
  <si>
    <t>1. הרחבת ימי ההשתתפות במופת ל-3 ימים
2. מרכז יום
3. מועדון מועשר
4. מועדון חברתי
5. בית חם</t>
  </si>
  <si>
    <r>
      <t xml:space="preserve">קהילה תומכת + מועדון מופת אחת לשבוע, 
</t>
    </r>
    <r>
      <rPr>
        <b/>
        <sz val="10"/>
        <color theme="1"/>
        <rFont val="Arial"/>
        <family val="2"/>
        <scheme val="minor"/>
      </rPr>
      <t xml:space="preserve">או: </t>
    </r>
    <r>
      <rPr>
        <sz val="10"/>
        <color theme="1"/>
        <rFont val="Arial"/>
        <family val="2"/>
        <scheme val="minor"/>
      </rPr>
      <t xml:space="preserve">קהילה תומכת + </t>
    </r>
    <r>
      <rPr>
        <sz val="10"/>
        <color theme="1"/>
        <rFont val="Arial"/>
        <family val="2"/>
        <charset val="177"/>
        <scheme val="minor"/>
      </rPr>
      <t xml:space="preserve">מועדון מופת אחת לשבועיים + מועדון חברתי במינוי חודשי
</t>
    </r>
    <r>
      <rPr>
        <b/>
        <sz val="10"/>
        <color theme="1"/>
        <rFont val="Arial"/>
        <family val="2"/>
        <scheme val="minor"/>
      </rPr>
      <t>או:</t>
    </r>
    <r>
      <rPr>
        <sz val="10"/>
        <color theme="1"/>
        <rFont val="Arial"/>
        <family val="2"/>
        <charset val="177"/>
        <scheme val="minor"/>
      </rPr>
      <t xml:space="preserve"> קהילה תומכת + השמה מלאה במועדון מופת- 3 ימים בשבוע - </t>
    </r>
    <r>
      <rPr>
        <b/>
        <sz val="10"/>
        <color theme="1"/>
        <rFont val="Arial"/>
        <family val="2"/>
        <scheme val="minor"/>
      </rPr>
      <t>בסבסוד רווחה</t>
    </r>
  </si>
  <si>
    <r>
      <t xml:space="preserve">קהילה תומכת + מרכז יום 3 פעמים בחודש
</t>
    </r>
    <r>
      <rPr>
        <b/>
        <sz val="10"/>
        <color theme="1"/>
        <rFont val="Arial"/>
        <family val="2"/>
        <scheme val="minor"/>
      </rPr>
      <t>או:</t>
    </r>
    <r>
      <rPr>
        <sz val="10"/>
        <color theme="1"/>
        <rFont val="Arial"/>
        <family val="2"/>
        <charset val="177"/>
        <scheme val="minor"/>
      </rPr>
      <t xml:space="preserve"> קהילה תומכת + השמה מלאה במרכז יום - 3 ימים בשבוע - </t>
    </r>
    <r>
      <rPr>
        <b/>
        <sz val="10"/>
        <color theme="1"/>
        <rFont val="Arial"/>
        <family val="2"/>
        <scheme val="minor"/>
      </rPr>
      <t>בסבסוד רווחה</t>
    </r>
  </si>
  <si>
    <r>
      <t xml:space="preserve">קהילה תומכת + מועדון חברתי במינוי חודשי - </t>
    </r>
    <r>
      <rPr>
        <sz val="10"/>
        <color rgb="FFFF0000"/>
        <rFont val="Arial"/>
        <family val="2"/>
        <scheme val="minor"/>
      </rPr>
      <t>פירוט תשלום ובסבסוד?</t>
    </r>
  </si>
  <si>
    <r>
      <rPr>
        <b/>
        <sz val="10"/>
        <color theme="1"/>
        <rFont val="Arial"/>
        <family val="2"/>
        <scheme val="minor"/>
      </rPr>
      <t>1+2</t>
    </r>
    <r>
      <rPr>
        <sz val="10"/>
        <color theme="1"/>
        <rFont val="Arial"/>
        <family val="2"/>
        <charset val="177"/>
        <scheme val="minor"/>
      </rPr>
      <t xml:space="preserve">. קהילה תומכת שווה ל-2 שעות בחודש + מועדון מופת או חברתי: 2 שעות בחודש = </t>
    </r>
    <r>
      <rPr>
        <b/>
        <sz val="10"/>
        <color theme="1"/>
        <rFont val="Arial"/>
        <family val="2"/>
        <scheme val="minor"/>
      </rPr>
      <t xml:space="preserve">סה"כ 4 שעות מתוך 22 
3. </t>
    </r>
    <r>
      <rPr>
        <sz val="10"/>
        <color theme="1"/>
        <rFont val="Arial"/>
        <family val="2"/>
        <scheme val="minor"/>
      </rPr>
      <t xml:space="preserve">קהילה תומכת: 2 שעות + מופת אחת לשבוע: 4 שעות + השלמה להשמה מלאה במופת ע"י הרווחה = </t>
    </r>
    <r>
      <rPr>
        <b/>
        <sz val="10"/>
        <color theme="1"/>
        <rFont val="Arial"/>
        <family val="2"/>
        <scheme val="minor"/>
      </rPr>
      <t>סה"כ 6 שעות מתוך 22</t>
    </r>
  </si>
  <si>
    <r>
      <t>קהילה תומכת + מועדון מופת אחת לשבועיים</t>
    </r>
    <r>
      <rPr>
        <sz val="10"/>
        <color theme="1"/>
        <rFont val="Arial"/>
        <family val="2"/>
        <charset val="177"/>
        <scheme val="minor"/>
      </rPr>
      <t/>
    </r>
  </si>
  <si>
    <r>
      <t xml:space="preserve"> קהילה תומכת: 2 שעות + מופת אחת לשבועיים: 2 בחודש + 3 פעמים בשבוע מועדון חברתי: 2 בחודש =
</t>
    </r>
    <r>
      <rPr>
        <b/>
        <sz val="10"/>
        <color theme="1"/>
        <rFont val="Arial"/>
        <family val="2"/>
        <scheme val="minor"/>
      </rPr>
      <t xml:space="preserve"> סה"כ 6 שעות מתוך 40</t>
    </r>
  </si>
  <si>
    <t xml:space="preserve">קהילה תומכת + מרכז יום אחת לשבועיים
</t>
  </si>
  <si>
    <r>
      <t>קהילה תומכת: 2 שעות + מרכז יום אחת לשבוע: 9 שעות + השלמה להשמה מלאה ע"י הרווחה =</t>
    </r>
    <r>
      <rPr>
        <b/>
        <sz val="10"/>
        <color theme="1"/>
        <rFont val="Arial"/>
        <family val="2"/>
        <scheme val="minor"/>
      </rPr>
      <t xml:space="preserve"> 11 שעות</t>
    </r>
  </si>
  <si>
    <t>1. מועדונים חברתיים
2. בתים חמים
3. פינות חמות</t>
  </si>
  <si>
    <t>קהילה תומכת + מועדון מופת אחת לשבוע</t>
  </si>
  <si>
    <t>כמה "שעות סיעוד" משלם הקשיש בחודש תמורת חבילת השירותים?</t>
  </si>
  <si>
    <t xml:space="preserve"> </t>
  </si>
  <si>
    <t>שירותים נוספים לבחירת הקשיש:</t>
  </si>
  <si>
    <t>חבילות שירות בסיסיות לקשיש 
אפשרויות בחירה:</t>
  </si>
  <si>
    <t>עקרונות פעולה ואחריות בלשונית "קופות חולים"</t>
  </si>
  <si>
    <t>בחירה בין טיפול בית ע"י מטפלת לקבלת גמלה בכסף.
בבחירה בכסף - יקבל 90% מתוך ה-33% (כשהיתרה מופנית לפיתוח שירותים- קרן שלם לזקנה)</t>
  </si>
  <si>
    <t>בחירה בין טיפול בית ע"י מטפלת לקבלת גמלה בכסף.
בבחירה בכסף - יקבל 70% מתוך ה-30% (כשהיתרה מופנית לפיתוח שירותים- קרן שלם לזקנה)</t>
  </si>
  <si>
    <t>בחירה בין טיפול בית ע"י מטפלת לקבלת גמלה בכסף.
בבחירה בכסף - יקבל 50% מתוך ה-30% (כשהיתרה מופנית לפיתוח שירותים- קרן שלם לזקנה)</t>
  </si>
  <si>
    <t>1. קהילה תומכת משודרגת כולל ניקיון
2. מרכז יום משודרג
3. מועדון מופת משודרג
4. השמות בריאות בשירותים
5. חדרי קפה וכושר ייעודיים
6. תוכניות להפגת בדידות
7. מקדמות שמ"ע- שייכות, מניעה ועצמאות</t>
  </si>
  <si>
    <t>1. הרחבת ימי ההשתתפות במופת ל-3 ימים
2. מרכז יום+
3. מועדון מועשר
4. מועדון חברתי
5. בית חם
6. ארוחה חמה</t>
  </si>
  <si>
    <t>מסובסד</t>
  </si>
  <si>
    <r>
      <t xml:space="preserve"> קהילה תומכת: שעתיים + מופת אחת לשבוע: 4 שעות בחודש + השלמה להשמה מלאה ע"י הרווחה (סבסוד של 206 ₪)=</t>
    </r>
    <r>
      <rPr>
        <b/>
        <sz val="10"/>
        <color theme="1"/>
        <rFont val="Arial"/>
        <family val="2"/>
        <scheme val="minor"/>
      </rPr>
      <t xml:space="preserve">
סה"כ 6 שעות מתוך 40</t>
    </r>
    <r>
      <rPr>
        <sz val="10"/>
        <color theme="1"/>
        <rFont val="Arial"/>
        <family val="2"/>
        <charset val="177"/>
        <scheme val="minor"/>
      </rPr>
      <t xml:space="preserve">
</t>
    </r>
  </si>
  <si>
    <t>האחוז מתוך הגמלה שיצבע לחבילת השירותים:</t>
  </si>
  <si>
    <t>בונוס לחבילת שירות מורחבת:</t>
  </si>
  <si>
    <t>בפיתוח: חבילות שירות נוספות לבחירה</t>
  </si>
  <si>
    <r>
      <t xml:space="preserve">קשיש שיבחר בחבילה זו, יקבל הנחה בהשתתפות הפונה </t>
    </r>
    <r>
      <rPr>
        <b/>
        <sz val="10"/>
        <rFont val="Arial"/>
        <family val="2"/>
        <scheme val="minor"/>
      </rPr>
      <t>סבסוד של 50% בסבסוד הרווחה והרשויות במצינג אוניברסלי</t>
    </r>
  </si>
  <si>
    <t>חבילת שירות מורחבת:</t>
  </si>
  <si>
    <t>קהילה תומכת + השמה מלאה במועדון מופת - 3 ימים בשבוע</t>
  </si>
  <si>
    <t>האחוז מתוך הגמלה שייצבע לחבילה מורחבת:</t>
  </si>
  <si>
    <t>בסיס- צבוע לכולם</t>
  </si>
  <si>
    <t>קהילה תומכת + מועדון מופת פעם בחודש</t>
  </si>
  <si>
    <t>קהילה תומכת</t>
  </si>
  <si>
    <r>
      <t xml:space="preserve">בבחירת גמלה מלאה בכסף,  הקשיש יקבל 70% מהסכום מתוך 33%, כשהיתרה מופנית להשתתפותו במועדון מופת אחת לשבועיים ובקהילה תומכת:
קהילה תומכת: שעתיים, מופת אחת לחודש: שעתיים =
</t>
    </r>
    <r>
      <rPr>
        <b/>
        <sz val="10"/>
        <color theme="1"/>
        <rFont val="Arial"/>
        <family val="2"/>
        <scheme val="minor"/>
      </rPr>
      <t xml:space="preserve">סה"כ 4 שעות מתוך 40 </t>
    </r>
  </si>
  <si>
    <r>
      <t xml:space="preserve">קהילה תומכת: שעתיים + מופת אחת לשבוע: 4 שעות = </t>
    </r>
    <r>
      <rPr>
        <b/>
        <sz val="10"/>
        <color theme="1"/>
        <rFont val="Arial"/>
        <family val="2"/>
        <scheme val="minor"/>
      </rPr>
      <t>סה"כ 6 שעות מתוך 40</t>
    </r>
  </si>
  <si>
    <t>קהילה תומכת + מועדון מופת אחת לשבועיים + מועדון חברתי במינוי חודשי</t>
  </si>
  <si>
    <t xml:space="preserve">
יום בשבוע חינם במועדון מופת = סבסוד של 4 שעות סיעוד!</t>
  </si>
  <si>
    <t>יום בשבוע חינם במועדון מופת = סבסוד של 4 שעות סיעוד!</t>
  </si>
  <si>
    <r>
      <t xml:space="preserve">קהילה תומכת: שעתיים + מופת אחת לשבוע: 4 שעות + השלמה להשמה מלאה ע"י הרווחה (סבסוד של 374 ₪)= 
</t>
    </r>
    <r>
      <rPr>
        <b/>
        <sz val="10"/>
        <color theme="1"/>
        <rFont val="Arial"/>
        <family val="2"/>
        <scheme val="minor"/>
      </rPr>
      <t>סה"כ 6 שעות מתוך 22</t>
    </r>
  </si>
  <si>
    <t>קהילה תומכת + מרכז יום אחת לחודש</t>
  </si>
  <si>
    <r>
      <t xml:space="preserve"> קהילה תומכת + השמה מלאה במועדון מופת- 3 ימים בשבוע 
בסבסוד רווחה
</t>
    </r>
    <r>
      <rPr>
        <b/>
        <sz val="10"/>
        <color theme="1"/>
        <rFont val="Arial"/>
        <family val="2"/>
        <scheme val="minor"/>
      </rPr>
      <t/>
    </r>
  </si>
  <si>
    <r>
      <t>קהילה תומכת: שעתיים + מרכז יום אחת לשבועיים: 4.5 שעות =</t>
    </r>
    <r>
      <rPr>
        <b/>
        <sz val="10"/>
        <color theme="1"/>
        <rFont val="Arial"/>
        <family val="2"/>
        <scheme val="minor"/>
      </rPr>
      <t xml:space="preserve"> 6.5 שעות</t>
    </r>
  </si>
  <si>
    <r>
      <t xml:space="preserve">בבחירת גמלה מלאה בכסף,  הקשיש יקבל 50% מהסכום מתוך 33%, כשהיתרה מופנית להשתתפותו במרכז יום אחת לחודש ובקהילה תומכת:
קהילה תומכת: שעתיים, מרכז יום אחת לחודש: שעתיים =
</t>
    </r>
    <r>
      <rPr>
        <b/>
        <sz val="10"/>
        <color theme="1"/>
        <rFont val="Arial"/>
        <family val="2"/>
        <scheme val="minor"/>
      </rPr>
      <t xml:space="preserve">סה"כ 4 שעות </t>
    </r>
  </si>
  <si>
    <t>3-4</t>
  </si>
  <si>
    <r>
      <t xml:space="preserve">בבחירת גמלה מלאה בכסף,  הקשיש יקבל 90% מהסכום מתוך 33%, כשהיתרה מופנית להשתתפותו בקהילה תומכת: שעתיים בחודש,
</t>
    </r>
    <r>
      <rPr>
        <b/>
        <sz val="10"/>
        <rFont val="Arial"/>
        <family val="2"/>
        <scheme val="minor"/>
      </rPr>
      <t xml:space="preserve">שעתיים בחודש מתוך 22 </t>
    </r>
  </si>
  <si>
    <t>יום בשבוע חינם במרכז יום = סבסוד של 9 שעות סיעוד!</t>
  </si>
  <si>
    <t>קהילה תומכת + השמה מלאה במרכז יום - 3 ימים בשבוע
בסבסוד רווחה</t>
  </si>
  <si>
    <t xml:space="preserve"> קהילה תומכת + השמה מלאה במועדון מופת- 3 ימים בשבוע
בסבסוד רווחה
</t>
  </si>
  <si>
    <t>שעות סיעוד:</t>
  </si>
  <si>
    <t>אחוז אפשרי- משיכת גמלה בכסף:</t>
  </si>
  <si>
    <t>שווי משיכת גמלה בכסף:</t>
  </si>
  <si>
    <t>שווי שעות סיעוד סה"כ:</t>
  </si>
  <si>
    <t>אחוז אפשרי שנותר- צריכת שירותים:</t>
  </si>
  <si>
    <t>שווי צריכת שירותים במשיכת גמלה בכסף:</t>
  </si>
  <si>
    <r>
      <t xml:space="preserve">קהילה תומכת: שעתיים בחודש + מועדון מופת או חברתי: שעתיים בחודש= 
</t>
    </r>
    <r>
      <rPr>
        <b/>
        <sz val="10"/>
        <color theme="1"/>
        <rFont val="Arial"/>
        <family val="2"/>
        <scheme val="minor"/>
      </rPr>
      <t xml:space="preserve">סה"כ 4 שעות מתוך 22 
</t>
    </r>
    <r>
      <rPr>
        <sz val="10"/>
        <color theme="1"/>
        <rFont val="Arial"/>
        <family val="2"/>
        <scheme val="minor"/>
      </rPr>
      <t/>
    </r>
  </si>
  <si>
    <t>קהילה תומכת:</t>
  </si>
  <si>
    <t>שווי שעות טיפול בחודש</t>
  </si>
  <si>
    <t>שווי כספי</t>
  </si>
  <si>
    <t>מצטרפים בשנה</t>
  </si>
  <si>
    <t>מתוכם רמה 1-2</t>
  </si>
  <si>
    <t>יצטרפו לקהילה תומכת</t>
  </si>
  <si>
    <t>הערכה</t>
  </si>
  <si>
    <t>רק כסף</t>
  </si>
  <si>
    <t xml:space="preserve">יום בשבוע </t>
  </si>
  <si>
    <t>שלושה ימים</t>
  </si>
  <si>
    <t>מופת פעם בשבועיים כברירת מחדל</t>
  </si>
  <si>
    <t>40% יבחרו בגמלה בכסף:</t>
  </si>
  <si>
    <t>כספים שישמשו לצריכת שירותים:</t>
  </si>
  <si>
    <t>צבוע לקהילה תומכת</t>
  </si>
  <si>
    <t xml:space="preserve">צבוע לקופח </t>
  </si>
  <si>
    <t>לבחירת שירותים בשעות סיעוד</t>
  </si>
  <si>
    <t>לבחירת שירותים בכסף</t>
  </si>
  <si>
    <t>שדרוג מסובסד למופת 3 ימים</t>
  </si>
  <si>
    <t>כמה הרווחה מסבסדת</t>
  </si>
  <si>
    <t>כמה כסף נשאר ביד (אחרי הצביעה)</t>
  </si>
  <si>
    <t>לבחירה יום בחודש במופת או מועדון חברתי</t>
  </si>
  <si>
    <t>אחוז מימוש בכסף מתקציב לשירותים</t>
  </si>
  <si>
    <t>לבחירה יום בשבוע במופת או מועדון חברתי</t>
  </si>
  <si>
    <t>שווי שעת סיעוד</t>
  </si>
  <si>
    <t>שעות סיעוד</t>
  </si>
  <si>
    <t>שווי שעות סיעוד</t>
  </si>
  <si>
    <t>יום בחודש במועדון מופת</t>
  </si>
  <si>
    <t>צבוע לכולם</t>
  </si>
  <si>
    <t>יום בשבוע מופת, או מועדון חברתי חודשי</t>
  </si>
  <si>
    <t>כסף ביד שנותר אחרי הצביעה</t>
  </si>
  <si>
    <t>משודרג ומסובסד</t>
  </si>
  <si>
    <t>כסף ביד בלבד</t>
  </si>
  <si>
    <t>סבסוד רווחה:</t>
  </si>
  <si>
    <t>רווחה, אפשרויות:</t>
  </si>
  <si>
    <t>יומיים בחודש במועדון מופת</t>
  </si>
  <si>
    <t>צבועות עבור:</t>
  </si>
  <si>
    <t>ביטוח לאומי-כסף</t>
  </si>
  <si>
    <t>קופח- שירותים</t>
  </si>
  <si>
    <t>שלושה ימי מופת (אחד על חשבון הרווחה)</t>
  </si>
  <si>
    <t>תוספת</t>
  </si>
  <si>
    <t>תשלום  75% מתוך הכסף לשירותים</t>
  </si>
  <si>
    <t>שירותים עפ"י בחירה:</t>
  </si>
  <si>
    <t>קופח-שירותים</t>
  </si>
  <si>
    <t>0 - נדחי סיעוד ועצמאיים</t>
  </si>
  <si>
    <t>אחוז קבלת כסף:</t>
  </si>
  <si>
    <t>חבילות שירות בסיסיות לקשיש, 
אפשרויות בחירה:</t>
  </si>
  <si>
    <r>
      <t xml:space="preserve">בבחירת גמלה מלאה בכסף,  
הקשיש יקבל 90% מהסכום, כשהיתרה מופנית להשתתפותו בקהילה תומכת (=שעתיים בחודש),
</t>
    </r>
    <r>
      <rPr>
        <b/>
        <sz val="10"/>
        <rFont val="Arial"/>
        <family val="2"/>
        <scheme val="minor"/>
      </rPr>
      <t xml:space="preserve">שעתיים בחודש מתוך 22 </t>
    </r>
  </si>
  <si>
    <t>בבחירה בגמלה מלאה בכסף - יקבל 90%, כשהיתרה מופנית לפיתוח שירותים</t>
  </si>
  <si>
    <t>בבחירה בגמלה מלאה בכסף - יקבל 70%, כשהיתרה מופנית לפיתוח שירותים</t>
  </si>
  <si>
    <t xml:space="preserve">
יום בשבוע חינם במועדון מופת = סבסוד של 4 שעות סיעוד בחודש!</t>
  </si>
  <si>
    <t>יום בשבוע חינם במועדון מופת = סבסוד של 4 שעות סיעוד בחודש!</t>
  </si>
  <si>
    <r>
      <t xml:space="preserve">בבחירת גמלה מלאה בכסף, 
הקשיש יקבל 70% מהסכום, כשהיתרה מופנית להשתתפותו במועדון מופת אחת לשבועיים ובקהילה תומכת:
קהילה תומכת: שעתיים, מופת אחת לחודש: שעתיים =
</t>
    </r>
    <r>
      <rPr>
        <b/>
        <sz val="10"/>
        <color theme="1"/>
        <rFont val="Arial"/>
        <family val="2"/>
        <scheme val="minor"/>
      </rPr>
      <t xml:space="preserve">סה"כ 4 שעות מתוך 40 </t>
    </r>
  </si>
  <si>
    <t>קושי בפיקוח ומדידה מבוססת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</si>
</sst>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4" formatCode="_ &quot;₪&quot;\ * #,##0.00_ ;_ &quot;₪&quot;\ * \-#,##0.00_ ;_ &quot;₪&quot;\ * &quot;-&quot;??_ ;_ @_ "/>
    <numFmt numFmtId="43" formatCode="_ * #,##0.00_ ;_ * \-#,##0.00_ ;_ * &quot;-&quot;??_ ;_ @_ "/>
    <numFmt numFmtId="164" formatCode="_ * #,##0_ ;_ * \-#,##0_ ;_ * &quot;-&quot;??_ ;_ @_ "/>
    <numFmt numFmtId="165" formatCode="_ * #,##0_ ;_ * \-#,##0_ ;_ * &quot;-&quot;?_ ;_ @_ "/>
    <numFmt numFmtId="166" formatCode="_ &quot;₪&quot;\ * #,##0_ ;_ &quot;₪&quot;\ * \-#,##0_ ;_ &quot;₪&quot;\ * &quot;-&quot;??_ ;_ @_ "/>
    <numFmt numFmtId="167" formatCode="0.0%"/>
    <numFmt numFmtId="168" formatCode="_ &quot;₪&quot;\ * #,##0.0_ ;_ &quot;₪&quot;\ * \-#,##0.0_ ;_ &quot;₪&quot;\ * &quot;-&quot;??_ ;_ @_ "/>
    <numFmt numFmtId="169" formatCode="_ &quot;₪&quot;\ * #,##0.0_ ;_ &quot;₪&quot;\ * \-#,##0.0_ ;_ &quot;₪&quot;\ * &quot;-&quot;?_ ;_ @_ "/>
    <numFmt numFmtId="170" formatCode="0.0"/>
  </numFmts>
  <fonts count="38" x14ac:knownFonts="1">
    <font>
      <sz val="11"/>
      <color theme="1"/>
      <name val="Arial"/>
      <family val="2"/>
      <charset val="177"/>
      <scheme val="minor"/>
    </font>
    <font>
      <sz val="11"/>
      <color theme="1"/>
      <name val="Arial"/>
      <family val="2"/>
      <charset val="177"/>
      <scheme val="minor"/>
    </font>
    <font>
      <b/>
      <sz val="11"/>
      <color theme="1"/>
      <name val="Arial"/>
      <family val="2"/>
      <scheme val="minor"/>
    </font>
    <font>
      <sz val="10"/>
      <color theme="1"/>
      <name val="Arial"/>
      <family val="2"/>
      <charset val="177"/>
      <scheme val="minor"/>
    </font>
    <font>
      <sz val="9"/>
      <color theme="1"/>
      <name val="Arial"/>
      <family val="2"/>
      <scheme val="minor"/>
    </font>
    <font>
      <sz val="8"/>
      <color theme="1"/>
      <name val="Arial"/>
      <family val="2"/>
      <scheme val="minor"/>
    </font>
    <font>
      <sz val="11"/>
      <color theme="1"/>
      <name val="Arial"/>
      <family val="2"/>
      <scheme val="minor"/>
    </font>
    <font>
      <b/>
      <sz val="10"/>
      <color theme="1"/>
      <name val="Arial"/>
      <family val="2"/>
      <charset val="177"/>
      <scheme val="minor"/>
    </font>
    <font>
      <sz val="11"/>
      <color rgb="FF000000"/>
      <name val="Arial"/>
      <family val="2"/>
      <scheme val="minor"/>
    </font>
    <font>
      <sz val="11"/>
      <name val="Arial"/>
      <family val="2"/>
      <charset val="177"/>
      <scheme val="minor"/>
    </font>
    <font>
      <sz val="10"/>
      <name val="Arial"/>
      <family val="2"/>
      <charset val="177"/>
      <scheme val="minor"/>
    </font>
    <font>
      <sz val="9"/>
      <name val="Arial"/>
      <family val="2"/>
      <charset val="177"/>
      <scheme val="minor"/>
    </font>
    <font>
      <sz val="11"/>
      <name val="Arial"/>
      <family val="2"/>
      <scheme val="minor"/>
    </font>
    <font>
      <sz val="10"/>
      <color theme="1"/>
      <name val="Arial"/>
      <family val="2"/>
      <scheme val="minor"/>
    </font>
    <font>
      <sz val="12"/>
      <color theme="1"/>
      <name val="Arial"/>
      <family val="2"/>
      <scheme val="minor"/>
    </font>
    <font>
      <sz val="11"/>
      <color theme="9"/>
      <name val="Arial"/>
      <family val="2"/>
      <scheme val="minor"/>
    </font>
    <font>
      <sz val="12"/>
      <name val="Arial"/>
      <family val="2"/>
      <scheme val="minor"/>
    </font>
    <font>
      <b/>
      <sz val="11"/>
      <color theme="1"/>
      <name val="Arial"/>
      <family val="2"/>
      <charset val="177"/>
      <scheme val="minor"/>
    </font>
    <font>
      <sz val="10"/>
      <color theme="9"/>
      <name val="Arial"/>
      <family val="2"/>
      <charset val="177"/>
      <scheme val="minor"/>
    </font>
    <font>
      <b/>
      <sz val="16"/>
      <color theme="1"/>
      <name val="Arial"/>
      <family val="2"/>
      <scheme val="minor"/>
    </font>
    <font>
      <sz val="12"/>
      <name val="Arial"/>
      <family val="2"/>
      <charset val="177"/>
      <scheme val="minor"/>
    </font>
    <font>
      <sz val="12"/>
      <color theme="1"/>
      <name val="Arial"/>
      <family val="2"/>
      <charset val="177"/>
      <scheme val="minor"/>
    </font>
    <font>
      <sz val="13"/>
      <color theme="1"/>
      <name val="Arial"/>
      <family val="2"/>
      <scheme val="minor"/>
    </font>
    <font>
      <b/>
      <sz val="13"/>
      <color theme="1"/>
      <name val="Arial"/>
      <family val="2"/>
      <scheme val="minor"/>
    </font>
    <font>
      <b/>
      <sz val="14"/>
      <color theme="1"/>
      <name val="Arial"/>
      <family val="2"/>
      <scheme val="minor"/>
    </font>
    <font>
      <b/>
      <sz val="12"/>
      <color theme="1"/>
      <name val="Arial"/>
      <family val="2"/>
      <scheme val="minor"/>
    </font>
    <font>
      <sz val="11"/>
      <color theme="1"/>
      <name val="Calibri"/>
      <family val="2"/>
    </font>
    <font>
      <sz val="11"/>
      <color theme="1"/>
      <name val="Arial"/>
      <family val="2"/>
    </font>
    <font>
      <b/>
      <sz val="11"/>
      <color theme="1"/>
      <name val="Arial"/>
      <family val="2"/>
    </font>
    <font>
      <sz val="11"/>
      <color theme="1"/>
      <name val="Times New Roman"/>
      <family val="1"/>
    </font>
    <font>
      <b/>
      <sz val="11"/>
      <color theme="1"/>
      <name val="Times New Roman"/>
      <family val="1"/>
    </font>
    <font>
      <i/>
      <sz val="11"/>
      <color theme="1"/>
      <name val="Arial"/>
      <family val="2"/>
      <scheme val="minor"/>
    </font>
    <font>
      <b/>
      <sz val="10"/>
      <color theme="1"/>
      <name val="Arial"/>
      <family val="2"/>
      <scheme val="minor"/>
    </font>
    <font>
      <sz val="10"/>
      <name val="Arial"/>
      <family val="2"/>
      <scheme val="minor"/>
    </font>
    <font>
      <sz val="10"/>
      <color rgb="FFFF0000"/>
      <name val="Arial"/>
      <family val="2"/>
      <scheme val="minor"/>
    </font>
    <font>
      <b/>
      <i/>
      <sz val="11"/>
      <color theme="1"/>
      <name val="Arial"/>
      <family val="2"/>
      <scheme val="minor"/>
    </font>
    <font>
      <i/>
      <sz val="11"/>
      <name val="Arial"/>
      <family val="2"/>
      <scheme val="minor"/>
    </font>
    <font>
      <b/>
      <sz val="10"/>
      <name val="Arial"/>
      <family val="2"/>
      <scheme val="minor"/>
    </font>
  </fonts>
  <fills count="21">
    <fill>
      <patternFill patternType="none"/>
    </fill>
    <fill>
      <patternFill patternType="gray125"/>
    </fill>
    <fill>
      <patternFill patternType="solid">
        <fgColor rgb="FFFFC000"/>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rgb="FFFFFF00"/>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0"/>
        <bgColor indexed="64"/>
      </patternFill>
    </fill>
    <fill>
      <patternFill patternType="solid">
        <fgColor theme="0" tint="-4.9989318521683403E-2"/>
        <bgColor indexed="64"/>
      </patternFill>
    </fill>
    <fill>
      <patternFill patternType="solid">
        <fgColor theme="8" tint="0.59999389629810485"/>
        <bgColor indexed="64"/>
      </patternFill>
    </fill>
    <fill>
      <patternFill patternType="solid">
        <fgColor theme="2" tint="-9.9978637043366805E-2"/>
        <bgColor indexed="64"/>
      </patternFill>
    </fill>
    <fill>
      <patternFill patternType="solid">
        <fgColor theme="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5" tint="0.39997558519241921"/>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right style="medium">
        <color indexed="64"/>
      </right>
      <top/>
      <bottom/>
      <diagonal/>
    </border>
    <border>
      <left style="medium">
        <color indexed="64"/>
      </left>
      <right style="thin">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style="medium">
        <color indexed="64"/>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4">
    <xf numFmtId="0" fontId="0" fillId="0" borderId="0"/>
    <xf numFmtId="9"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476">
    <xf numFmtId="0" fontId="0" fillId="0" borderId="0" xfId="0"/>
    <xf numFmtId="0" fontId="0" fillId="0" borderId="1" xfId="0" applyBorder="1"/>
    <xf numFmtId="3" fontId="0" fillId="0" borderId="1" xfId="0" applyNumberFormat="1" applyBorder="1"/>
    <xf numFmtId="0" fontId="0" fillId="0" borderId="6" xfId="0" applyBorder="1"/>
    <xf numFmtId="0" fontId="2" fillId="4" borderId="9" xfId="0" applyFont="1" applyFill="1" applyBorder="1"/>
    <xf numFmtId="0" fontId="2" fillId="4" borderId="10" xfId="0" applyFont="1" applyFill="1" applyBorder="1"/>
    <xf numFmtId="0" fontId="2" fillId="5" borderId="9" xfId="0" applyFont="1" applyFill="1" applyBorder="1"/>
    <xf numFmtId="0" fontId="2" fillId="5" borderId="10" xfId="0" applyFont="1" applyFill="1" applyBorder="1"/>
    <xf numFmtId="0" fontId="6" fillId="0" borderId="0" xfId="0" applyFont="1"/>
    <xf numFmtId="0" fontId="0" fillId="0" borderId="0" xfId="0" applyAlignment="1">
      <alignment horizontal="center" vertical="center"/>
    </xf>
    <xf numFmtId="0" fontId="2" fillId="4" borderId="1" xfId="0" applyFont="1" applyFill="1" applyBorder="1" applyAlignment="1">
      <alignment horizontal="center" vertical="center"/>
    </xf>
    <xf numFmtId="0" fontId="0" fillId="0" borderId="1" xfId="0" applyBorder="1" applyAlignment="1">
      <alignment horizontal="center" vertical="center"/>
    </xf>
    <xf numFmtId="0" fontId="3" fillId="0" borderId="1" xfId="0" applyFont="1" applyBorder="1" applyAlignment="1">
      <alignment horizontal="center" vertical="center" wrapText="1"/>
    </xf>
    <xf numFmtId="9" fontId="0" fillId="0" borderId="1" xfId="1" applyFont="1" applyBorder="1" applyAlignment="1">
      <alignment horizontal="center" vertical="center"/>
    </xf>
    <xf numFmtId="9" fontId="0" fillId="0" borderId="1" xfId="1" applyFont="1" applyBorder="1" applyAlignment="1">
      <alignment horizontal="center" vertical="center" wrapText="1"/>
    </xf>
    <xf numFmtId="9" fontId="3" fillId="0" borderId="1" xfId="1" applyFont="1" applyBorder="1" applyAlignment="1">
      <alignment horizontal="center" vertical="center" wrapText="1"/>
    </xf>
    <xf numFmtId="2" fontId="3" fillId="0" borderId="1" xfId="0" applyNumberFormat="1" applyFont="1" applyBorder="1" applyAlignment="1">
      <alignment horizontal="center" vertical="center" wrapText="1"/>
    </xf>
    <xf numFmtId="2" fontId="0" fillId="0" borderId="1" xfId="0" applyNumberFormat="1" applyBorder="1" applyAlignment="1">
      <alignment horizontal="center" vertical="center" wrapText="1"/>
    </xf>
    <xf numFmtId="2" fontId="0" fillId="0" borderId="1" xfId="0" applyNumberFormat="1" applyBorder="1" applyAlignment="1">
      <alignment horizontal="center" vertical="center"/>
    </xf>
    <xf numFmtId="0" fontId="6" fillId="0" borderId="7" xfId="0" applyFont="1" applyBorder="1"/>
    <xf numFmtId="0" fontId="2" fillId="4" borderId="11" xfId="0" applyFont="1" applyFill="1" applyBorder="1" applyAlignment="1">
      <alignment vertical="center"/>
    </xf>
    <xf numFmtId="0" fontId="2" fillId="4" borderId="12" xfId="0" applyFont="1" applyFill="1" applyBorder="1" applyAlignment="1">
      <alignment vertical="center"/>
    </xf>
    <xf numFmtId="0" fontId="2" fillId="4" borderId="13" xfId="0" applyFont="1" applyFill="1" applyBorder="1" applyAlignment="1">
      <alignment vertical="center"/>
    </xf>
    <xf numFmtId="0" fontId="2" fillId="4" borderId="14" xfId="0" applyFont="1" applyFill="1" applyBorder="1" applyAlignment="1">
      <alignment vertical="center"/>
    </xf>
    <xf numFmtId="0" fontId="3" fillId="0" borderId="0" xfId="0" applyFont="1" applyAlignment="1">
      <alignment horizontal="center"/>
    </xf>
    <xf numFmtId="0" fontId="7" fillId="0" borderId="0" xfId="0" applyFont="1"/>
    <xf numFmtId="0" fontId="3" fillId="0" borderId="0" xfId="0" applyFont="1"/>
    <xf numFmtId="0" fontId="0" fillId="0" borderId="0" xfId="0" applyAlignment="1">
      <alignment horizontal="center" vertical="center" wrapText="1"/>
    </xf>
    <xf numFmtId="9" fontId="0" fillId="0" borderId="22" xfId="1" applyFont="1" applyBorder="1" applyAlignment="1">
      <alignment horizontal="center" vertical="center"/>
    </xf>
    <xf numFmtId="9" fontId="3" fillId="0" borderId="22" xfId="1" applyFont="1" applyBorder="1" applyAlignment="1">
      <alignment horizontal="center" vertical="center" wrapText="1"/>
    </xf>
    <xf numFmtId="9" fontId="0" fillId="0" borderId="22" xfId="1" applyFont="1" applyBorder="1" applyAlignment="1">
      <alignment horizontal="center" vertical="center" wrapText="1"/>
    </xf>
    <xf numFmtId="2" fontId="0" fillId="0" borderId="22" xfId="0" applyNumberFormat="1" applyBorder="1" applyAlignment="1">
      <alignment horizontal="center" vertical="center" wrapText="1"/>
    </xf>
    <xf numFmtId="2" fontId="3" fillId="0" borderId="22" xfId="0" applyNumberFormat="1" applyFont="1" applyBorder="1" applyAlignment="1">
      <alignment horizontal="center" vertical="center" wrapText="1"/>
    </xf>
    <xf numFmtId="2" fontId="0" fillId="0" borderId="22" xfId="0" applyNumberFormat="1" applyBorder="1" applyAlignment="1">
      <alignment horizontal="center" vertical="center"/>
    </xf>
    <xf numFmtId="0" fontId="0" fillId="0" borderId="22" xfId="0" applyBorder="1" applyAlignment="1">
      <alignment horizontal="center" vertical="center" wrapText="1"/>
    </xf>
    <xf numFmtId="0" fontId="3" fillId="0" borderId="0" xfId="0" applyFont="1" applyAlignment="1">
      <alignment horizontal="center" vertical="center"/>
    </xf>
    <xf numFmtId="0" fontId="7" fillId="3" borderId="1" xfId="0" applyFont="1" applyFill="1" applyBorder="1" applyAlignment="1">
      <alignment horizontal="center" vertical="center"/>
    </xf>
    <xf numFmtId="0" fontId="7" fillId="4" borderId="1" xfId="0" applyFont="1" applyFill="1" applyBorder="1" applyAlignment="1">
      <alignment horizontal="center" vertical="center"/>
    </xf>
    <xf numFmtId="0" fontId="3" fillId="0" borderId="1" xfId="0" applyFont="1" applyBorder="1" applyAlignment="1">
      <alignment horizontal="center" vertical="center"/>
    </xf>
    <xf numFmtId="9" fontId="3" fillId="0" borderId="1" xfId="1" applyFont="1" applyBorder="1" applyAlignment="1">
      <alignment horizontal="center" vertical="center"/>
    </xf>
    <xf numFmtId="2" fontId="3" fillId="0" borderId="1" xfId="0" applyNumberFormat="1" applyFont="1" applyBorder="1" applyAlignment="1">
      <alignment horizontal="center" vertical="center"/>
    </xf>
    <xf numFmtId="9" fontId="3" fillId="0" borderId="1" xfId="0" applyNumberFormat="1" applyFont="1" applyBorder="1" applyAlignment="1">
      <alignment horizontal="center" vertical="center"/>
    </xf>
    <xf numFmtId="9" fontId="0" fillId="0" borderId="0" xfId="1" applyFont="1" applyBorder="1" applyAlignment="1">
      <alignment horizontal="center" vertical="center"/>
    </xf>
    <xf numFmtId="9" fontId="3" fillId="0" borderId="0" xfId="1" applyFont="1" applyBorder="1" applyAlignment="1">
      <alignment horizontal="center" vertical="center" wrapText="1"/>
    </xf>
    <xf numFmtId="9" fontId="0" fillId="0" borderId="0" xfId="1" applyFont="1" applyBorder="1" applyAlignment="1">
      <alignment horizontal="center" vertical="center" wrapText="1"/>
    </xf>
    <xf numFmtId="2" fontId="0" fillId="0" borderId="0" xfId="0" applyNumberFormat="1" applyAlignment="1">
      <alignment horizontal="center" vertical="center" wrapText="1"/>
    </xf>
    <xf numFmtId="2" fontId="3" fillId="0" borderId="0" xfId="0" applyNumberFormat="1" applyFont="1" applyAlignment="1">
      <alignment horizontal="center" vertical="center" wrapText="1"/>
    </xf>
    <xf numFmtId="2" fontId="0" fillId="0" borderId="0" xfId="0" applyNumberFormat="1" applyAlignment="1">
      <alignment horizontal="center" vertical="center"/>
    </xf>
    <xf numFmtId="0" fontId="0" fillId="0" borderId="6" xfId="0" applyBorder="1" applyAlignment="1">
      <alignment vertical="top"/>
    </xf>
    <xf numFmtId="0" fontId="0" fillId="0" borderId="6" xfId="0" applyBorder="1" applyAlignment="1">
      <alignment vertical="top" wrapText="1"/>
    </xf>
    <xf numFmtId="0" fontId="0" fillId="0" borderId="1" xfId="0" applyBorder="1" applyAlignment="1">
      <alignment vertical="top"/>
    </xf>
    <xf numFmtId="0" fontId="0" fillId="0" borderId="1" xfId="0" applyBorder="1" applyAlignment="1">
      <alignment vertical="top" wrapText="1"/>
    </xf>
    <xf numFmtId="0" fontId="2" fillId="2" borderId="6" xfId="0" applyFont="1" applyFill="1" applyBorder="1"/>
    <xf numFmtId="0" fontId="2" fillId="2" borderId="4" xfId="0" applyFont="1" applyFill="1" applyBorder="1"/>
    <xf numFmtId="0" fontId="2" fillId="2" borderId="0" xfId="0" applyFont="1" applyFill="1"/>
    <xf numFmtId="0" fontId="0" fillId="0" borderId="1" xfId="0" applyBorder="1" applyAlignment="1">
      <alignment horizontal="center" vertical="center" wrapText="1"/>
    </xf>
    <xf numFmtId="9" fontId="3" fillId="0" borderId="1" xfId="0" applyNumberFormat="1" applyFont="1" applyBorder="1" applyAlignment="1">
      <alignment horizontal="center" vertical="center" wrapText="1" readingOrder="2"/>
    </xf>
    <xf numFmtId="9" fontId="3" fillId="0" borderId="22" xfId="0" applyNumberFormat="1" applyFont="1" applyBorder="1" applyAlignment="1">
      <alignment horizontal="center" vertical="center" wrapText="1" readingOrder="2"/>
    </xf>
    <xf numFmtId="0" fontId="0" fillId="0" borderId="2" xfId="0" applyBorder="1" applyAlignment="1">
      <alignment horizontal="center" vertical="center" wrapText="1"/>
    </xf>
    <xf numFmtId="0" fontId="0" fillId="0" borderId="25" xfId="0" applyBorder="1" applyAlignment="1">
      <alignment horizontal="center" vertical="center" wrapText="1"/>
    </xf>
    <xf numFmtId="0" fontId="2" fillId="3" borderId="27" xfId="0" applyFont="1" applyFill="1" applyBorder="1" applyAlignment="1">
      <alignment horizontal="center" vertical="center"/>
    </xf>
    <xf numFmtId="0" fontId="2" fillId="4" borderId="11" xfId="0" applyFont="1" applyFill="1" applyBorder="1" applyAlignment="1">
      <alignment horizontal="center" vertical="center"/>
    </xf>
    <xf numFmtId="0" fontId="2" fillId="4" borderId="20" xfId="0" applyFont="1" applyFill="1" applyBorder="1" applyAlignment="1">
      <alignment horizontal="center" vertical="center"/>
    </xf>
    <xf numFmtId="0" fontId="2" fillId="4" borderId="26" xfId="0" applyFont="1" applyFill="1" applyBorder="1" applyAlignment="1">
      <alignment horizontal="center" vertical="center"/>
    </xf>
    <xf numFmtId="0" fontId="0" fillId="0" borderId="21" xfId="0" applyBorder="1" applyAlignment="1">
      <alignment vertical="top" wrapText="1"/>
    </xf>
    <xf numFmtId="0" fontId="0" fillId="0" borderId="32" xfId="0" applyBorder="1" applyAlignment="1">
      <alignment vertical="top" wrapText="1"/>
    </xf>
    <xf numFmtId="0" fontId="0" fillId="0" borderId="23" xfId="0" applyBorder="1" applyAlignment="1">
      <alignment vertical="top" wrapText="1"/>
    </xf>
    <xf numFmtId="0" fontId="2" fillId="4" borderId="20" xfId="0" applyFont="1" applyFill="1" applyBorder="1" applyAlignment="1">
      <alignment horizontal="center" vertical="center" wrapText="1"/>
    </xf>
    <xf numFmtId="0" fontId="2" fillId="4" borderId="20" xfId="0" applyFont="1" applyFill="1" applyBorder="1" applyAlignment="1">
      <alignment horizontal="center" vertical="center" wrapText="1" readingOrder="2"/>
    </xf>
    <xf numFmtId="0" fontId="6" fillId="0" borderId="0" xfId="0" applyFont="1" applyAlignment="1">
      <alignment horizontal="center"/>
    </xf>
    <xf numFmtId="3" fontId="8" fillId="0" borderId="0" xfId="0" applyNumberFormat="1" applyFont="1"/>
    <xf numFmtId="0" fontId="9" fillId="0" borderId="1" xfId="0" applyFont="1" applyBorder="1" applyAlignment="1">
      <alignment horizontal="center" vertical="center"/>
    </xf>
    <xf numFmtId="9" fontId="9" fillId="0" borderId="1" xfId="0" applyNumberFormat="1" applyFont="1" applyBorder="1" applyAlignment="1">
      <alignment horizontal="center" vertical="center"/>
    </xf>
    <xf numFmtId="9" fontId="9" fillId="0" borderId="1" xfId="1" applyFont="1" applyBorder="1" applyAlignment="1">
      <alignment horizontal="center" vertical="center"/>
    </xf>
    <xf numFmtId="9" fontId="9" fillId="0" borderId="1" xfId="1" applyFont="1" applyBorder="1" applyAlignment="1">
      <alignment horizontal="center" vertical="center" wrapText="1"/>
    </xf>
    <xf numFmtId="9" fontId="10" fillId="0" borderId="1" xfId="1" applyFont="1" applyBorder="1" applyAlignment="1">
      <alignment horizontal="center" vertical="center" wrapText="1"/>
    </xf>
    <xf numFmtId="0" fontId="9" fillId="0" borderId="1" xfId="0" applyFont="1" applyBorder="1"/>
    <xf numFmtId="0" fontId="12" fillId="0" borderId="1" xfId="0" applyFont="1" applyBorder="1"/>
    <xf numFmtId="0" fontId="0" fillId="0" borderId="3" xfId="0" applyBorder="1" applyAlignment="1">
      <alignment horizontal="center" vertical="center" wrapText="1"/>
    </xf>
    <xf numFmtId="16" fontId="0" fillId="0" borderId="3" xfId="0" applyNumberFormat="1" applyBorder="1" applyAlignment="1">
      <alignment horizontal="center" vertical="center"/>
    </xf>
    <xf numFmtId="0" fontId="0" fillId="0" borderId="3" xfId="0" applyBorder="1" applyAlignment="1">
      <alignment horizontal="center" vertical="center"/>
    </xf>
    <xf numFmtId="0" fontId="0" fillId="0" borderId="33" xfId="0" applyBorder="1" applyAlignment="1">
      <alignment horizontal="center" vertical="center"/>
    </xf>
    <xf numFmtId="0" fontId="0" fillId="0" borderId="33" xfId="0" applyBorder="1" applyAlignment="1">
      <alignment horizontal="center" vertical="center" wrapText="1"/>
    </xf>
    <xf numFmtId="166" fontId="0" fillId="0" borderId="3" xfId="3" applyNumberFormat="1" applyFont="1" applyBorder="1" applyAlignment="1">
      <alignment horizontal="center" vertical="center" wrapText="1"/>
    </xf>
    <xf numFmtId="0" fontId="6" fillId="0" borderId="3" xfId="0" applyFont="1" applyBorder="1" applyAlignment="1">
      <alignment horizontal="center" vertical="center" wrapText="1"/>
    </xf>
    <xf numFmtId="0" fontId="2" fillId="0" borderId="1" xfId="0" applyFont="1" applyBorder="1" applyAlignment="1">
      <alignment horizontal="center" vertical="center" wrapText="1"/>
    </xf>
    <xf numFmtId="164" fontId="0" fillId="0" borderId="3" xfId="0" applyNumberFormat="1" applyBorder="1" applyAlignment="1">
      <alignment horizontal="center" vertical="center"/>
    </xf>
    <xf numFmtId="166" fontId="0" fillId="0" borderId="3" xfId="3" applyNumberFormat="1" applyFont="1" applyBorder="1" applyAlignment="1">
      <alignment horizontal="center" vertical="center"/>
    </xf>
    <xf numFmtId="166" fontId="0" fillId="0" borderId="0" xfId="0" applyNumberFormat="1"/>
    <xf numFmtId="164" fontId="0" fillId="0" borderId="33" xfId="0" applyNumberFormat="1" applyBorder="1" applyAlignment="1">
      <alignment horizontal="center" vertical="center"/>
    </xf>
    <xf numFmtId="0" fontId="3" fillId="0" borderId="33" xfId="0" applyFont="1" applyBorder="1" applyAlignment="1">
      <alignment horizontal="center" vertical="center" wrapText="1"/>
    </xf>
    <xf numFmtId="0" fontId="0" fillId="7" borderId="39" xfId="0" applyFill="1" applyBorder="1" applyAlignment="1">
      <alignment horizontal="center" vertical="center" wrapText="1"/>
    </xf>
    <xf numFmtId="0" fontId="6" fillId="7" borderId="3" xfId="0" applyFont="1" applyFill="1" applyBorder="1" applyAlignment="1">
      <alignment horizontal="center" vertical="center" wrapText="1"/>
    </xf>
    <xf numFmtId="164" fontId="0" fillId="0" borderId="3" xfId="2" applyNumberFormat="1" applyFont="1" applyBorder="1" applyAlignment="1">
      <alignment horizontal="center" vertical="center" wrapText="1"/>
    </xf>
    <xf numFmtId="164" fontId="0" fillId="0" borderId="0" xfId="0" applyNumberFormat="1"/>
    <xf numFmtId="164" fontId="0" fillId="0" borderId="22" xfId="0" applyNumberFormat="1" applyBorder="1" applyAlignment="1">
      <alignment horizontal="center" vertical="center"/>
    </xf>
    <xf numFmtId="164" fontId="0" fillId="0" borderId="22" xfId="2" applyNumberFormat="1" applyFont="1" applyBorder="1" applyAlignment="1">
      <alignment horizontal="center" vertical="center" wrapText="1"/>
    </xf>
    <xf numFmtId="0" fontId="13" fillId="0" borderId="22" xfId="0" applyFont="1" applyBorder="1" applyAlignment="1">
      <alignment horizontal="center" vertical="center" wrapText="1"/>
    </xf>
    <xf numFmtId="165" fontId="6" fillId="0" borderId="3" xfId="0" applyNumberFormat="1" applyFont="1" applyBorder="1" applyAlignment="1">
      <alignment horizontal="center" vertical="center" wrapText="1"/>
    </xf>
    <xf numFmtId="0" fontId="0" fillId="0" borderId="32" xfId="0" applyBorder="1" applyAlignment="1">
      <alignment horizontal="center" vertical="center" wrapText="1"/>
    </xf>
    <xf numFmtId="0" fontId="0" fillId="0" borderId="23" xfId="0" applyBorder="1" applyAlignment="1">
      <alignment horizontal="center" vertical="center" wrapText="1"/>
    </xf>
    <xf numFmtId="0" fontId="16" fillId="0" borderId="15" xfId="0" applyFont="1" applyBorder="1" applyAlignment="1">
      <alignment horizontal="center"/>
    </xf>
    <xf numFmtId="0" fontId="14" fillId="0" borderId="7" xfId="0" applyFont="1" applyBorder="1"/>
    <xf numFmtId="0" fontId="14" fillId="0" borderId="0" xfId="0" applyFont="1"/>
    <xf numFmtId="0" fontId="14" fillId="0" borderId="16" xfId="0" applyFont="1" applyBorder="1"/>
    <xf numFmtId="0" fontId="14" fillId="0" borderId="15" xfId="0" applyFont="1" applyBorder="1" applyAlignment="1">
      <alignment horizontal="center"/>
    </xf>
    <xf numFmtId="0" fontId="14" fillId="0" borderId="18" xfId="0" applyFont="1" applyBorder="1"/>
    <xf numFmtId="0" fontId="14" fillId="0" borderId="19" xfId="0" applyFont="1" applyBorder="1"/>
    <xf numFmtId="0" fontId="9" fillId="0" borderId="3" xfId="0" applyFont="1" applyBorder="1" applyAlignment="1">
      <alignment horizontal="center" vertical="center" wrapText="1"/>
    </xf>
    <xf numFmtId="0" fontId="9" fillId="0" borderId="33" xfId="0" applyFont="1" applyBorder="1" applyAlignment="1">
      <alignment horizontal="center" vertical="center" wrapText="1"/>
    </xf>
    <xf numFmtId="0" fontId="2" fillId="3" borderId="26" xfId="0" applyFont="1" applyFill="1" applyBorder="1" applyAlignment="1">
      <alignment horizontal="center" vertical="center"/>
    </xf>
    <xf numFmtId="0" fontId="7" fillId="4" borderId="11" xfId="0" applyFont="1" applyFill="1" applyBorder="1" applyAlignment="1">
      <alignment horizontal="center" vertical="center"/>
    </xf>
    <xf numFmtId="0" fontId="7" fillId="4" borderId="35" xfId="0" applyFont="1" applyFill="1" applyBorder="1" applyAlignment="1">
      <alignment horizontal="center" vertical="center" wrapText="1"/>
    </xf>
    <xf numFmtId="0" fontId="7" fillId="4" borderId="35" xfId="0" applyFont="1" applyFill="1" applyBorder="1" applyAlignment="1">
      <alignment horizontal="center" vertical="center"/>
    </xf>
    <xf numFmtId="0" fontId="7" fillId="4" borderId="20" xfId="0" applyFont="1" applyFill="1" applyBorder="1" applyAlignment="1">
      <alignment horizontal="center" vertical="center" wrapText="1"/>
    </xf>
    <xf numFmtId="0" fontId="7" fillId="4" borderId="20" xfId="0" applyFont="1" applyFill="1" applyBorder="1" applyAlignment="1">
      <alignment horizontal="center" vertical="center" wrapText="1" readingOrder="2"/>
    </xf>
    <xf numFmtId="0" fontId="7" fillId="4" borderId="20" xfId="0" applyFont="1" applyFill="1" applyBorder="1" applyAlignment="1">
      <alignment horizontal="center" vertical="center"/>
    </xf>
    <xf numFmtId="0" fontId="3" fillId="0" borderId="3" xfId="0" applyFont="1" applyBorder="1" applyAlignment="1">
      <alignment horizontal="center" vertical="center" wrapText="1"/>
    </xf>
    <xf numFmtId="0" fontId="10" fillId="0" borderId="3" xfId="0" applyFont="1" applyBorder="1" applyAlignment="1">
      <alignment horizontal="center" vertical="center" wrapText="1"/>
    </xf>
    <xf numFmtId="164" fontId="3" fillId="0" borderId="3" xfId="2" applyNumberFormat="1" applyFont="1" applyBorder="1" applyAlignment="1">
      <alignment horizontal="center" vertical="center" wrapText="1"/>
    </xf>
    <xf numFmtId="166" fontId="3" fillId="0" borderId="3" xfId="3" applyNumberFormat="1" applyFont="1" applyBorder="1" applyAlignment="1">
      <alignment horizontal="center" vertical="center" wrapText="1"/>
    </xf>
    <xf numFmtId="165" fontId="3" fillId="0" borderId="3" xfId="0" applyNumberFormat="1" applyFont="1" applyBorder="1" applyAlignment="1">
      <alignment horizontal="center" vertical="center" wrapText="1"/>
    </xf>
    <xf numFmtId="0" fontId="3" fillId="0" borderId="21" xfId="0" applyFont="1" applyBorder="1" applyAlignment="1">
      <alignment horizontal="center" vertical="center" wrapText="1"/>
    </xf>
    <xf numFmtId="0" fontId="10" fillId="0" borderId="1" xfId="0" applyFont="1" applyBorder="1" applyAlignment="1">
      <alignment horizontal="center" vertical="center"/>
    </xf>
    <xf numFmtId="9" fontId="10" fillId="0" borderId="1" xfId="0" applyNumberFormat="1" applyFont="1" applyBorder="1" applyAlignment="1">
      <alignment horizontal="center" vertical="center"/>
    </xf>
    <xf numFmtId="16" fontId="3" fillId="0" borderId="3" xfId="0" applyNumberFormat="1" applyFont="1" applyBorder="1" applyAlignment="1">
      <alignment horizontal="center" vertical="center"/>
    </xf>
    <xf numFmtId="9" fontId="10" fillId="0" borderId="1" xfId="1" applyFont="1" applyBorder="1" applyAlignment="1">
      <alignment horizontal="center" vertical="center"/>
    </xf>
    <xf numFmtId="0" fontId="17" fillId="3" borderId="27" xfId="0" applyFont="1" applyFill="1" applyBorder="1" applyAlignment="1">
      <alignment horizontal="center" vertical="center"/>
    </xf>
    <xf numFmtId="0" fontId="17" fillId="3" borderId="34" xfId="0" applyFont="1" applyFill="1" applyBorder="1" applyAlignment="1">
      <alignment horizontal="center" vertical="center"/>
    </xf>
    <xf numFmtId="0" fontId="9" fillId="0" borderId="15" xfId="0" applyFont="1" applyBorder="1" applyAlignment="1">
      <alignment horizontal="center"/>
    </xf>
    <xf numFmtId="0" fontId="0" fillId="0" borderId="15" xfId="0" applyBorder="1" applyAlignment="1">
      <alignment horizontal="center"/>
    </xf>
    <xf numFmtId="0" fontId="0" fillId="0" borderId="16" xfId="0" applyBorder="1"/>
    <xf numFmtId="0" fontId="9" fillId="0" borderId="17" xfId="0" applyFont="1" applyBorder="1" applyAlignment="1">
      <alignment horizontal="center"/>
    </xf>
    <xf numFmtId="0" fontId="0" fillId="0" borderId="18" xfId="0" applyBorder="1"/>
    <xf numFmtId="0" fontId="0" fillId="0" borderId="19" xfId="0" applyBorder="1"/>
    <xf numFmtId="166" fontId="19" fillId="9" borderId="0" xfId="3" applyNumberFormat="1" applyFont="1" applyFill="1" applyAlignment="1">
      <alignment horizontal="left" vertical="center"/>
    </xf>
    <xf numFmtId="0" fontId="19" fillId="6" borderId="0" xfId="0" applyFont="1" applyFill="1"/>
    <xf numFmtId="0" fontId="0" fillId="7" borderId="8" xfId="0" applyFill="1" applyBorder="1" applyAlignment="1">
      <alignment horizontal="center" vertical="center" wrapText="1"/>
    </xf>
    <xf numFmtId="0" fontId="0" fillId="0" borderId="22" xfId="0" applyBorder="1" applyAlignment="1">
      <alignment horizontal="center" vertical="top" wrapText="1"/>
    </xf>
    <xf numFmtId="166" fontId="0" fillId="0" borderId="33" xfId="3" applyNumberFormat="1" applyFont="1" applyBorder="1" applyAlignment="1">
      <alignment horizontal="center" vertical="center" wrapText="1"/>
    </xf>
    <xf numFmtId="0" fontId="0" fillId="7" borderId="33" xfId="0" applyFill="1" applyBorder="1" applyAlignment="1">
      <alignment horizontal="center" vertical="center" wrapText="1"/>
    </xf>
    <xf numFmtId="0" fontId="20" fillId="0" borderId="33" xfId="0" applyFont="1" applyBorder="1" applyAlignment="1">
      <alignment horizontal="center" vertical="center" wrapText="1"/>
    </xf>
    <xf numFmtId="0" fontId="6" fillId="0" borderId="22" xfId="0" applyFont="1" applyBorder="1" applyAlignment="1">
      <alignment horizontal="center" vertical="center" wrapText="1"/>
    </xf>
    <xf numFmtId="166" fontId="0" fillId="0" borderId="1" xfId="3" applyNumberFormat="1" applyFont="1" applyBorder="1" applyAlignment="1">
      <alignment horizontal="center" vertical="center" wrapText="1"/>
    </xf>
    <xf numFmtId="0" fontId="20" fillId="0" borderId="3" xfId="0" applyFont="1" applyBorder="1" applyAlignment="1">
      <alignment horizontal="center" vertical="center" wrapText="1"/>
    </xf>
    <xf numFmtId="0" fontId="21" fillId="0" borderId="3" xfId="0" applyFont="1" applyBorder="1" applyAlignment="1">
      <alignment horizontal="center" vertical="center" wrapText="1"/>
    </xf>
    <xf numFmtId="0" fontId="0" fillId="0" borderId="21" xfId="0" applyBorder="1" applyAlignment="1">
      <alignment horizontal="center" vertical="center" wrapText="1"/>
    </xf>
    <xf numFmtId="165" fontId="0" fillId="0" borderId="3" xfId="0" applyNumberFormat="1" applyBorder="1" applyAlignment="1">
      <alignment horizontal="center" vertical="center" wrapText="1"/>
    </xf>
    <xf numFmtId="0" fontId="2" fillId="4" borderId="35" xfId="0" applyFont="1" applyFill="1" applyBorder="1" applyAlignment="1">
      <alignment horizontal="center" vertical="center"/>
    </xf>
    <xf numFmtId="0" fontId="2" fillId="4" borderId="14" xfId="0" applyFont="1" applyFill="1" applyBorder="1" applyAlignment="1">
      <alignment horizontal="center" vertical="center"/>
    </xf>
    <xf numFmtId="0" fontId="2" fillId="4" borderId="35" xfId="0" applyFont="1" applyFill="1" applyBorder="1" applyAlignment="1">
      <alignment horizontal="center" vertical="center" wrapText="1"/>
    </xf>
    <xf numFmtId="0" fontId="0" fillId="0" borderId="42" xfId="0" applyBorder="1" applyAlignment="1">
      <alignment horizontal="center" vertical="center"/>
    </xf>
    <xf numFmtId="0" fontId="2" fillId="3" borderId="34" xfId="0" applyFont="1" applyFill="1" applyBorder="1" applyAlignment="1">
      <alignment horizontal="center" vertical="center"/>
    </xf>
    <xf numFmtId="0" fontId="25" fillId="3" borderId="27" xfId="0" applyFont="1" applyFill="1" applyBorder="1" applyAlignment="1">
      <alignment horizontal="center" vertical="center"/>
    </xf>
    <xf numFmtId="0" fontId="0" fillId="0" borderId="30" xfId="0" applyBorder="1" applyAlignment="1">
      <alignment horizontal="center" vertical="center"/>
    </xf>
    <xf numFmtId="0" fontId="2" fillId="0" borderId="1" xfId="0" applyFont="1" applyBorder="1" applyAlignment="1">
      <alignment horizontal="center" vertical="center"/>
    </xf>
    <xf numFmtId="0" fontId="17" fillId="8" borderId="27" xfId="0" applyFont="1" applyFill="1" applyBorder="1" applyAlignment="1">
      <alignment vertical="center"/>
    </xf>
    <xf numFmtId="0" fontId="17" fillId="8" borderId="31" xfId="0" applyFont="1" applyFill="1" applyBorder="1" applyAlignment="1">
      <alignment vertical="center"/>
    </xf>
    <xf numFmtId="0" fontId="17" fillId="8" borderId="26" xfId="0" applyFont="1" applyFill="1" applyBorder="1" applyAlignment="1">
      <alignment vertical="center"/>
    </xf>
    <xf numFmtId="0" fontId="9" fillId="0" borderId="27" xfId="0" applyFont="1" applyBorder="1" applyAlignment="1">
      <alignment horizontal="center"/>
    </xf>
    <xf numFmtId="0" fontId="0" fillId="0" borderId="31" xfId="0" applyBorder="1"/>
    <xf numFmtId="0" fontId="0" fillId="0" borderId="26" xfId="0" applyBorder="1"/>
    <xf numFmtId="0" fontId="26" fillId="0" borderId="0" xfId="0" applyFont="1" applyAlignment="1">
      <alignment horizontal="right" vertical="center" readingOrder="2"/>
    </xf>
    <xf numFmtId="0" fontId="27" fillId="0" borderId="31" xfId="0" applyFont="1" applyBorder="1" applyAlignment="1">
      <alignment horizontal="right" vertical="center" readingOrder="2"/>
    </xf>
    <xf numFmtId="0" fontId="27" fillId="0" borderId="0" xfId="0" applyFont="1" applyAlignment="1">
      <alignment horizontal="right" vertical="center" readingOrder="2"/>
    </xf>
    <xf numFmtId="0" fontId="26" fillId="0" borderId="0" xfId="0" applyFont="1" applyAlignment="1">
      <alignment horizontal="right" vertical="center" wrapText="1" readingOrder="2"/>
    </xf>
    <xf numFmtId="0" fontId="28" fillId="0" borderId="0" xfId="0" applyFont="1" applyAlignment="1">
      <alignment horizontal="right" vertical="center" readingOrder="2"/>
    </xf>
    <xf numFmtId="0" fontId="25" fillId="0" borderId="41" xfId="0" applyFont="1" applyBorder="1" applyAlignment="1">
      <alignment horizontal="center" vertical="center" wrapText="1"/>
    </xf>
    <xf numFmtId="0" fontId="25" fillId="0" borderId="40" xfId="0" applyFont="1" applyBorder="1" applyAlignment="1">
      <alignment horizontal="center" vertical="center" wrapText="1"/>
    </xf>
    <xf numFmtId="0" fontId="25" fillId="0" borderId="3" xfId="0" applyFont="1" applyBorder="1" applyAlignment="1">
      <alignment horizontal="center" vertical="center" wrapText="1"/>
    </xf>
    <xf numFmtId="16" fontId="25" fillId="0" borderId="3" xfId="0" applyNumberFormat="1" applyFont="1" applyBorder="1" applyAlignment="1">
      <alignment horizontal="center" vertical="center"/>
    </xf>
    <xf numFmtId="0" fontId="25" fillId="0" borderId="3" xfId="0" applyFont="1" applyBorder="1" applyAlignment="1">
      <alignment horizontal="center" vertical="center"/>
    </xf>
    <xf numFmtId="0" fontId="25" fillId="0" borderId="33" xfId="0" applyFont="1" applyBorder="1" applyAlignment="1">
      <alignment horizontal="center" vertical="center"/>
    </xf>
    <xf numFmtId="9" fontId="13" fillId="0" borderId="1" xfId="1" applyFont="1" applyBorder="1" applyAlignment="1">
      <alignment horizontal="center" vertical="center" wrapText="1"/>
    </xf>
    <xf numFmtId="0" fontId="0" fillId="0" borderId="0" xfId="0" applyAlignment="1">
      <alignment horizontal="right" readingOrder="2"/>
    </xf>
    <xf numFmtId="0" fontId="0" fillId="10" borderId="1" xfId="0" applyFill="1" applyBorder="1"/>
    <xf numFmtId="0" fontId="3" fillId="10" borderId="1" xfId="0" applyFont="1" applyFill="1" applyBorder="1"/>
    <xf numFmtId="0" fontId="2" fillId="10" borderId="11" xfId="0" applyFont="1" applyFill="1" applyBorder="1" applyAlignment="1">
      <alignment horizontal="center" vertical="center" wrapText="1"/>
    </xf>
    <xf numFmtId="0" fontId="2" fillId="10" borderId="20" xfId="0" applyFont="1" applyFill="1" applyBorder="1"/>
    <xf numFmtId="9" fontId="0" fillId="10" borderId="41" xfId="0" applyNumberFormat="1" applyFill="1" applyBorder="1"/>
    <xf numFmtId="0" fontId="3" fillId="10" borderId="21" xfId="0" applyFont="1" applyFill="1" applyBorder="1"/>
    <xf numFmtId="0" fontId="13" fillId="10" borderId="40" xfId="0" applyFont="1" applyFill="1" applyBorder="1"/>
    <xf numFmtId="0" fontId="0" fillId="10" borderId="25" xfId="0" applyFill="1" applyBorder="1"/>
    <xf numFmtId="0" fontId="0" fillId="10" borderId="46" xfId="0" applyFill="1" applyBorder="1"/>
    <xf numFmtId="0" fontId="0" fillId="10" borderId="47" xfId="0" applyFill="1" applyBorder="1"/>
    <xf numFmtId="0" fontId="6" fillId="0" borderId="0" xfId="0" applyFont="1" applyAlignment="1">
      <alignment horizontal="right"/>
    </xf>
    <xf numFmtId="0" fontId="2" fillId="0" borderId="0" xfId="0" applyFont="1" applyAlignment="1">
      <alignment horizontal="right"/>
    </xf>
    <xf numFmtId="0" fontId="3" fillId="0" borderId="0" xfId="0" applyFont="1" applyAlignment="1">
      <alignment horizontal="right"/>
    </xf>
    <xf numFmtId="0" fontId="3" fillId="0" borderId="0" xfId="0" applyFont="1" applyAlignment="1">
      <alignment horizontal="center" vertical="center" wrapText="1"/>
    </xf>
    <xf numFmtId="9" fontId="3" fillId="0" borderId="1" xfId="1" applyFont="1" applyFill="1" applyBorder="1" applyAlignment="1">
      <alignment horizontal="center" vertical="center" wrapText="1"/>
    </xf>
    <xf numFmtId="9" fontId="3" fillId="0" borderId="1" xfId="1" applyFont="1" applyFill="1" applyBorder="1" applyAlignment="1">
      <alignment horizontal="center" vertical="center" wrapText="1" readingOrder="2"/>
    </xf>
    <xf numFmtId="0" fontId="2" fillId="0" borderId="1" xfId="0" applyFont="1" applyBorder="1" applyAlignment="1">
      <alignment horizontal="center" wrapText="1"/>
    </xf>
    <xf numFmtId="0" fontId="2" fillId="0" borderId="1" xfId="0" applyFont="1" applyBorder="1" applyAlignment="1">
      <alignment horizontal="center" wrapText="1" readingOrder="2"/>
    </xf>
    <xf numFmtId="0" fontId="2" fillId="0" borderId="1" xfId="0" applyFont="1" applyBorder="1" applyAlignment="1">
      <alignment horizontal="center"/>
    </xf>
    <xf numFmtId="0" fontId="31" fillId="0" borderId="1" xfId="0" applyFont="1" applyBorder="1" applyAlignment="1">
      <alignment horizontal="center"/>
    </xf>
    <xf numFmtId="0" fontId="13" fillId="0" borderId="1" xfId="0" applyFont="1" applyBorder="1" applyAlignment="1">
      <alignment horizontal="center" wrapText="1"/>
    </xf>
    <xf numFmtId="1" fontId="2" fillId="0" borderId="1" xfId="0" applyNumberFormat="1" applyFont="1" applyBorder="1" applyAlignment="1">
      <alignment horizontal="center"/>
    </xf>
    <xf numFmtId="0" fontId="3" fillId="0" borderId="1" xfId="0" applyFont="1" applyBorder="1" applyAlignment="1">
      <alignment horizontal="center" vertical="center" wrapText="1" readingOrder="2"/>
    </xf>
    <xf numFmtId="0" fontId="3" fillId="0" borderId="1" xfId="0" applyFont="1" applyBorder="1" applyAlignment="1">
      <alignment horizontal="center"/>
    </xf>
    <xf numFmtId="0" fontId="10" fillId="0" borderId="1" xfId="0" applyFont="1" applyBorder="1" applyAlignment="1">
      <alignment horizontal="center" vertical="center" wrapText="1"/>
    </xf>
    <xf numFmtId="2" fontId="9" fillId="0" borderId="1" xfId="0" applyNumberFormat="1" applyFont="1" applyBorder="1" applyAlignment="1">
      <alignment horizontal="center" vertical="center" wrapText="1"/>
    </xf>
    <xf numFmtId="2" fontId="9" fillId="0" borderId="22" xfId="0" applyNumberFormat="1" applyFont="1" applyBorder="1" applyAlignment="1">
      <alignment horizontal="center" vertical="center" wrapText="1"/>
    </xf>
    <xf numFmtId="0" fontId="2" fillId="0" borderId="1" xfId="0" applyFont="1" applyBorder="1" applyAlignment="1">
      <alignment horizontal="center" vertical="center" wrapText="1" readingOrder="2"/>
    </xf>
    <xf numFmtId="0" fontId="31" fillId="0" borderId="1" xfId="0" applyFont="1" applyBorder="1" applyAlignment="1">
      <alignment horizontal="center" vertical="center"/>
    </xf>
    <xf numFmtId="0" fontId="13" fillId="0" borderId="1" xfId="0" applyFont="1" applyBorder="1" applyAlignment="1">
      <alignment horizontal="center" vertical="center" wrapText="1"/>
    </xf>
    <xf numFmtId="1" fontId="2" fillId="0" borderId="1" xfId="0" applyNumberFormat="1" applyFont="1" applyBorder="1" applyAlignment="1">
      <alignment horizontal="center" vertical="center"/>
    </xf>
    <xf numFmtId="9" fontId="32" fillId="0" borderId="1" xfId="1" applyFont="1" applyFill="1" applyBorder="1" applyAlignment="1">
      <alignment horizontal="center" vertical="center" wrapText="1"/>
    </xf>
    <xf numFmtId="9" fontId="32" fillId="0" borderId="1" xfId="1" applyFont="1" applyFill="1" applyBorder="1" applyAlignment="1">
      <alignment horizontal="center" vertical="center" wrapText="1" readingOrder="2"/>
    </xf>
    <xf numFmtId="0" fontId="13" fillId="0" borderId="1" xfId="0" applyFont="1" applyBorder="1" applyAlignment="1">
      <alignment horizontal="center" vertical="center" wrapText="1" readingOrder="2"/>
    </xf>
    <xf numFmtId="0" fontId="3" fillId="0" borderId="1" xfId="0" applyFont="1" applyBorder="1" applyAlignment="1">
      <alignment vertical="center" wrapText="1" readingOrder="2"/>
    </xf>
    <xf numFmtId="0" fontId="13" fillId="0" borderId="5" xfId="0" applyFont="1" applyBorder="1" applyAlignment="1">
      <alignment vertical="center" wrapText="1"/>
    </xf>
    <xf numFmtId="9" fontId="3" fillId="0" borderId="5" xfId="1" applyFont="1" applyFill="1" applyBorder="1" applyAlignment="1">
      <alignment vertical="center" wrapText="1"/>
    </xf>
    <xf numFmtId="0" fontId="3" fillId="11" borderId="1" xfId="0" applyFont="1" applyFill="1" applyBorder="1" applyAlignment="1">
      <alignment horizontal="center" vertical="center" wrapText="1" readingOrder="2"/>
    </xf>
    <xf numFmtId="0" fontId="2" fillId="3" borderId="1" xfId="0" applyFont="1" applyFill="1" applyBorder="1" applyAlignment="1">
      <alignment horizontal="center" vertical="center"/>
    </xf>
    <xf numFmtId="0" fontId="13" fillId="3" borderId="1" xfId="0" applyFont="1" applyFill="1" applyBorder="1" applyAlignment="1">
      <alignment horizontal="center" vertical="center" wrapText="1"/>
    </xf>
    <xf numFmtId="0" fontId="13" fillId="11" borderId="1" xfId="0" applyFont="1" applyFill="1" applyBorder="1" applyAlignment="1">
      <alignment horizontal="center" vertical="center" wrapText="1" readingOrder="2"/>
    </xf>
    <xf numFmtId="0" fontId="3" fillId="4" borderId="1" xfId="0" applyFont="1" applyFill="1" applyBorder="1" applyAlignment="1">
      <alignment horizontal="center" vertical="center" wrapText="1" readingOrder="2"/>
    </xf>
    <xf numFmtId="0" fontId="13" fillId="4" borderId="1" xfId="0" applyFont="1" applyFill="1" applyBorder="1" applyAlignment="1">
      <alignment horizontal="center" vertical="center" wrapText="1" readingOrder="2"/>
    </xf>
    <xf numFmtId="0" fontId="2" fillId="12" borderId="1" xfId="0" applyFont="1" applyFill="1" applyBorder="1" applyAlignment="1">
      <alignment horizontal="center" vertical="center" wrapText="1"/>
    </xf>
    <xf numFmtId="0" fontId="2" fillId="12" borderId="1" xfId="0" applyFont="1" applyFill="1" applyBorder="1" applyAlignment="1">
      <alignment horizontal="center" vertical="center" wrapText="1" readingOrder="2"/>
    </xf>
    <xf numFmtId="9" fontId="32" fillId="5" borderId="1" xfId="1" applyFont="1" applyFill="1" applyBorder="1" applyAlignment="1">
      <alignment horizontal="center" vertical="center"/>
    </xf>
    <xf numFmtId="0" fontId="13" fillId="3" borderId="1" xfId="0" applyFont="1" applyFill="1" applyBorder="1" applyAlignment="1">
      <alignment horizontal="center" vertical="center" wrapText="1" readingOrder="2"/>
    </xf>
    <xf numFmtId="1" fontId="2" fillId="11" borderId="1" xfId="0" applyNumberFormat="1" applyFont="1" applyFill="1" applyBorder="1" applyAlignment="1">
      <alignment horizontal="center" vertical="center"/>
    </xf>
    <xf numFmtId="0" fontId="2" fillId="12" borderId="3" xfId="0" applyFont="1" applyFill="1" applyBorder="1" applyAlignment="1">
      <alignment horizontal="center" vertical="center" wrapText="1"/>
    </xf>
    <xf numFmtId="0" fontId="36" fillId="3" borderId="1" xfId="0" applyFont="1" applyFill="1" applyBorder="1" applyAlignment="1">
      <alignment horizontal="center" vertical="center"/>
    </xf>
    <xf numFmtId="0" fontId="33" fillId="3" borderId="1" xfId="0" applyFont="1" applyFill="1" applyBorder="1" applyAlignment="1">
      <alignment horizontal="center" vertical="center" wrapText="1"/>
    </xf>
    <xf numFmtId="0" fontId="3" fillId="11" borderId="1" xfId="0" applyFont="1" applyFill="1" applyBorder="1" applyAlignment="1">
      <alignment vertical="center" wrapText="1" readingOrder="2"/>
    </xf>
    <xf numFmtId="0" fontId="3" fillId="4" borderId="1" xfId="0" applyFont="1" applyFill="1" applyBorder="1" applyAlignment="1">
      <alignment vertical="center" wrapText="1" readingOrder="2"/>
    </xf>
    <xf numFmtId="9" fontId="32" fillId="4" borderId="1" xfId="1" applyFont="1" applyFill="1" applyBorder="1" applyAlignment="1">
      <alignment vertical="center" wrapText="1" readingOrder="2"/>
    </xf>
    <xf numFmtId="0" fontId="3" fillId="13" borderId="1" xfId="0" applyFont="1" applyFill="1" applyBorder="1" applyAlignment="1">
      <alignment vertical="center" wrapText="1" readingOrder="2"/>
    </xf>
    <xf numFmtId="9" fontId="32" fillId="13" borderId="1" xfId="1" applyFont="1" applyFill="1" applyBorder="1" applyAlignment="1">
      <alignment vertical="center" wrapText="1" readingOrder="2"/>
    </xf>
    <xf numFmtId="0" fontId="3" fillId="5" borderId="1" xfId="0" applyFont="1" applyFill="1" applyBorder="1" applyAlignment="1">
      <alignment vertical="center" wrapText="1"/>
    </xf>
    <xf numFmtId="0" fontId="3" fillId="13" borderId="1" xfId="0" applyFont="1" applyFill="1" applyBorder="1" applyAlignment="1">
      <alignment vertical="center" wrapText="1"/>
    </xf>
    <xf numFmtId="9" fontId="32" fillId="11" borderId="1" xfId="1" applyFont="1" applyFill="1" applyBorder="1" applyAlignment="1">
      <alignment horizontal="center" vertical="center" wrapText="1"/>
    </xf>
    <xf numFmtId="0" fontId="35" fillId="3" borderId="1" xfId="0" applyFont="1" applyFill="1" applyBorder="1" applyAlignment="1">
      <alignment horizontal="center" vertical="center"/>
    </xf>
    <xf numFmtId="0" fontId="35" fillId="13" borderId="5" xfId="0" applyFont="1" applyFill="1" applyBorder="1" applyAlignment="1">
      <alignment horizontal="center" vertical="center"/>
    </xf>
    <xf numFmtId="0" fontId="33" fillId="13" borderId="5" xfId="0" applyFont="1" applyFill="1" applyBorder="1" applyAlignment="1">
      <alignment horizontal="center" vertical="center" wrapText="1"/>
    </xf>
    <xf numFmtId="0" fontId="3" fillId="14" borderId="1" xfId="0" applyFont="1" applyFill="1" applyBorder="1" applyAlignment="1">
      <alignment horizontal="center" vertical="center" wrapText="1" readingOrder="2"/>
    </xf>
    <xf numFmtId="0" fontId="2" fillId="15" borderId="1" xfId="0" applyFont="1" applyFill="1" applyBorder="1" applyAlignment="1">
      <alignment horizontal="center" vertical="center" wrapText="1"/>
    </xf>
    <xf numFmtId="0" fontId="13" fillId="15" borderId="1" xfId="0" applyFont="1" applyFill="1" applyBorder="1" applyAlignment="1">
      <alignment horizontal="center" vertical="center" wrapText="1"/>
    </xf>
    <xf numFmtId="0" fontId="33" fillId="15" borderId="1" xfId="0" applyFont="1" applyFill="1" applyBorder="1" applyAlignment="1">
      <alignment horizontal="center" vertical="center" wrapText="1"/>
    </xf>
    <xf numFmtId="1" fontId="2" fillId="15" borderId="1" xfId="0" applyNumberFormat="1" applyFont="1" applyFill="1" applyBorder="1" applyAlignment="1">
      <alignment horizontal="center" vertical="center"/>
    </xf>
    <xf numFmtId="0" fontId="3" fillId="15" borderId="1" xfId="0" applyFont="1" applyFill="1" applyBorder="1" applyAlignment="1">
      <alignment horizontal="center" vertical="center" wrapText="1" readingOrder="2"/>
    </xf>
    <xf numFmtId="1" fontId="2" fillId="14" borderId="1" xfId="0" applyNumberFormat="1" applyFont="1" applyFill="1" applyBorder="1" applyAlignment="1">
      <alignment horizontal="center" vertical="center" wrapText="1"/>
    </xf>
    <xf numFmtId="0" fontId="13" fillId="14" borderId="1" xfId="0" applyFont="1" applyFill="1" applyBorder="1" applyAlignment="1">
      <alignment horizontal="center" vertical="center" wrapText="1" readingOrder="2"/>
    </xf>
    <xf numFmtId="0" fontId="2" fillId="14" borderId="1" xfId="0" applyFont="1" applyFill="1" applyBorder="1" applyAlignment="1">
      <alignment horizontal="center" vertical="center"/>
    </xf>
    <xf numFmtId="0" fontId="2" fillId="7" borderId="1" xfId="0" applyFont="1" applyFill="1" applyBorder="1" applyAlignment="1">
      <alignment horizontal="center" vertical="center" wrapText="1"/>
    </xf>
    <xf numFmtId="0" fontId="3" fillId="7" borderId="1" xfId="0" applyFont="1" applyFill="1" applyBorder="1" applyAlignment="1">
      <alignment horizontal="center" vertical="center" wrapText="1" readingOrder="2"/>
    </xf>
    <xf numFmtId="0" fontId="13" fillId="7" borderId="1" xfId="0" applyFont="1" applyFill="1" applyBorder="1" applyAlignment="1">
      <alignment horizontal="center" vertical="center" wrapText="1" readingOrder="2"/>
    </xf>
    <xf numFmtId="9" fontId="32" fillId="7" borderId="1" xfId="1" applyFont="1" applyFill="1" applyBorder="1" applyAlignment="1">
      <alignment vertical="center" wrapText="1" readingOrder="2"/>
    </xf>
    <xf numFmtId="167" fontId="32" fillId="7" borderId="1" xfId="1" applyNumberFormat="1" applyFont="1" applyFill="1" applyBorder="1" applyAlignment="1">
      <alignment horizontal="center" vertical="center"/>
    </xf>
    <xf numFmtId="0" fontId="0" fillId="0" borderId="0" xfId="0" applyAlignment="1">
      <alignment readingOrder="2"/>
    </xf>
    <xf numFmtId="44" fontId="0" fillId="0" borderId="0" xfId="3" applyFont="1" applyAlignment="1">
      <alignment readingOrder="2"/>
    </xf>
    <xf numFmtId="168" fontId="0" fillId="0" borderId="0" xfId="3" applyNumberFormat="1" applyFont="1" applyAlignment="1">
      <alignment readingOrder="2"/>
    </xf>
    <xf numFmtId="166" fontId="0" fillId="0" borderId="0" xfId="3" applyNumberFormat="1" applyFont="1" applyAlignment="1">
      <alignment readingOrder="2"/>
    </xf>
    <xf numFmtId="44" fontId="0" fillId="0" borderId="0" xfId="0" applyNumberFormat="1"/>
    <xf numFmtId="44" fontId="0" fillId="7" borderId="0" xfId="0" applyNumberFormat="1" applyFill="1"/>
    <xf numFmtId="9" fontId="0" fillId="0" borderId="0" xfId="0" applyNumberFormat="1"/>
    <xf numFmtId="0" fontId="0" fillId="0" borderId="0" xfId="0" applyAlignment="1">
      <alignment wrapText="1"/>
    </xf>
    <xf numFmtId="9" fontId="0" fillId="0" borderId="0" xfId="0" applyNumberFormat="1" applyAlignment="1">
      <alignment horizontal="right" readingOrder="2"/>
    </xf>
    <xf numFmtId="0" fontId="0" fillId="0" borderId="0" xfId="0" applyAlignment="1">
      <alignment vertical="center"/>
    </xf>
    <xf numFmtId="0" fontId="0" fillId="0" borderId="0" xfId="0" applyAlignment="1">
      <alignment vertical="center" wrapText="1"/>
    </xf>
    <xf numFmtId="168" fontId="0" fillId="0" borderId="0" xfId="0" applyNumberFormat="1"/>
    <xf numFmtId="168" fontId="0" fillId="0" borderId="0" xfId="0" applyNumberFormat="1" applyAlignment="1">
      <alignment readingOrder="2"/>
    </xf>
    <xf numFmtId="0" fontId="0" fillId="14" borderId="0" xfId="0" applyFill="1" applyAlignment="1">
      <alignment vertical="center"/>
    </xf>
    <xf numFmtId="44" fontId="0" fillId="14" borderId="0" xfId="3" applyFont="1" applyFill="1" applyAlignment="1">
      <alignment readingOrder="2"/>
    </xf>
    <xf numFmtId="9" fontId="0" fillId="0" borderId="0" xfId="1" applyFont="1" applyAlignment="1">
      <alignment readingOrder="2"/>
    </xf>
    <xf numFmtId="0" fontId="0" fillId="0" borderId="51" xfId="0" applyBorder="1"/>
    <xf numFmtId="0" fontId="0" fillId="0" borderId="52" xfId="0" applyBorder="1"/>
    <xf numFmtId="0" fontId="7" fillId="17" borderId="1" xfId="0" applyFont="1" applyFill="1" applyBorder="1"/>
    <xf numFmtId="0" fontId="3" fillId="17" borderId="1" xfId="0" applyFont="1" applyFill="1" applyBorder="1"/>
    <xf numFmtId="166" fontId="3" fillId="17" borderId="1" xfId="3" applyNumberFormat="1" applyFont="1" applyFill="1" applyBorder="1"/>
    <xf numFmtId="0" fontId="3" fillId="0" borderId="1" xfId="0" applyFont="1" applyBorder="1"/>
    <xf numFmtId="0" fontId="7" fillId="18" borderId="1" xfId="0" applyFont="1" applyFill="1" applyBorder="1"/>
    <xf numFmtId="2" fontId="7" fillId="18" borderId="1" xfId="0" applyNumberFormat="1" applyFont="1" applyFill="1" applyBorder="1"/>
    <xf numFmtId="0" fontId="7" fillId="18" borderId="1" xfId="0" applyFont="1" applyFill="1" applyBorder="1" applyAlignment="1">
      <alignment horizontal="right"/>
    </xf>
    <xf numFmtId="0" fontId="3" fillId="18" borderId="1" xfId="0" applyFont="1" applyFill="1" applyBorder="1"/>
    <xf numFmtId="166" fontId="3" fillId="18" borderId="1" xfId="0" applyNumberFormat="1" applyFont="1" applyFill="1" applyBorder="1"/>
    <xf numFmtId="0" fontId="3" fillId="18" borderId="1" xfId="0" applyFont="1" applyFill="1" applyBorder="1" applyAlignment="1">
      <alignment horizontal="right" readingOrder="2"/>
    </xf>
    <xf numFmtId="166" fontId="3" fillId="18" borderId="1" xfId="3" applyNumberFormat="1" applyFont="1" applyFill="1" applyBorder="1"/>
    <xf numFmtId="169" fontId="3" fillId="0" borderId="0" xfId="0" applyNumberFormat="1" applyFont="1"/>
    <xf numFmtId="0" fontId="7" fillId="19" borderId="1" xfId="0" applyFont="1" applyFill="1" applyBorder="1"/>
    <xf numFmtId="170" fontId="7" fillId="19" borderId="1" xfId="0" applyNumberFormat="1" applyFont="1" applyFill="1" applyBorder="1"/>
    <xf numFmtId="0" fontId="3" fillId="19" borderId="1" xfId="0" applyFont="1" applyFill="1" applyBorder="1"/>
    <xf numFmtId="0" fontId="7" fillId="7" borderId="1" xfId="0" applyFont="1" applyFill="1" applyBorder="1"/>
    <xf numFmtId="170" fontId="7" fillId="7" borderId="1" xfId="0" applyNumberFormat="1" applyFont="1" applyFill="1" applyBorder="1"/>
    <xf numFmtId="166" fontId="3" fillId="7" borderId="1" xfId="0" applyNumberFormat="1" applyFont="1" applyFill="1" applyBorder="1"/>
    <xf numFmtId="0" fontId="3" fillId="7" borderId="1" xfId="0" applyFont="1" applyFill="1" applyBorder="1"/>
    <xf numFmtId="0" fontId="3" fillId="7" borderId="1" xfId="0" applyFont="1" applyFill="1" applyBorder="1" applyAlignment="1">
      <alignment horizontal="right" readingOrder="2"/>
    </xf>
    <xf numFmtId="0" fontId="7" fillId="20" borderId="1" xfId="0" applyFont="1" applyFill="1" applyBorder="1"/>
    <xf numFmtId="0" fontId="3" fillId="20" borderId="1" xfId="0" applyFont="1" applyFill="1" applyBorder="1"/>
    <xf numFmtId="166" fontId="3" fillId="20" borderId="1" xfId="3" applyNumberFormat="1" applyFont="1" applyFill="1" applyBorder="1"/>
    <xf numFmtId="2" fontId="7" fillId="19" borderId="1" xfId="0" applyNumberFormat="1" applyFont="1" applyFill="1" applyBorder="1"/>
    <xf numFmtId="0" fontId="17" fillId="0" borderId="1" xfId="0" applyFont="1" applyBorder="1"/>
    <xf numFmtId="0" fontId="2" fillId="3"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2" fillId="0" borderId="1" xfId="0" applyFont="1" applyBorder="1" applyAlignment="1">
      <alignment horizontal="center" vertical="center" wrapText="1"/>
    </xf>
    <xf numFmtId="0" fontId="2" fillId="3" borderId="28" xfId="0" applyFont="1" applyFill="1" applyBorder="1" applyAlignment="1">
      <alignment horizontal="center" vertical="center"/>
    </xf>
    <xf numFmtId="0" fontId="2" fillId="3" borderId="29" xfId="0" applyFont="1" applyFill="1" applyBorder="1" applyAlignment="1">
      <alignment horizontal="center" vertical="center"/>
    </xf>
    <xf numFmtId="0" fontId="2" fillId="3" borderId="30" xfId="0" applyFont="1" applyFill="1" applyBorder="1" applyAlignment="1">
      <alignment horizontal="center" vertical="center"/>
    </xf>
    <xf numFmtId="0" fontId="2" fillId="3" borderId="31" xfId="0" applyFont="1" applyFill="1" applyBorder="1" applyAlignment="1">
      <alignment horizontal="center" vertical="center"/>
    </xf>
    <xf numFmtId="0" fontId="2" fillId="3" borderId="26" xfId="0" applyFont="1" applyFill="1" applyBorder="1" applyAlignment="1">
      <alignment horizontal="center" vertical="center"/>
    </xf>
    <xf numFmtId="0" fontId="0" fillId="0" borderId="32" xfId="0" applyBorder="1" applyAlignment="1">
      <alignment horizontal="right" vertical="top" wrapText="1"/>
    </xf>
    <xf numFmtId="0" fontId="0" fillId="0" borderId="24" xfId="0" applyBorder="1" applyAlignment="1">
      <alignment horizontal="right" vertical="top" wrapText="1"/>
    </xf>
    <xf numFmtId="0" fontId="6" fillId="0" borderId="5" xfId="0" applyFont="1" applyBorder="1" applyAlignment="1">
      <alignment horizontal="center" vertical="center" wrapText="1" readingOrder="2"/>
    </xf>
    <xf numFmtId="0" fontId="6" fillId="0" borderId="4" xfId="0" applyFont="1" applyBorder="1" applyAlignment="1">
      <alignment horizontal="center" vertical="center" wrapText="1" readingOrder="2"/>
    </xf>
    <xf numFmtId="0" fontId="6" fillId="0" borderId="6" xfId="0" applyFont="1" applyBorder="1" applyAlignment="1">
      <alignment horizontal="center" vertical="center" wrapText="1" readingOrder="2"/>
    </xf>
    <xf numFmtId="0" fontId="17" fillId="3" borderId="28" xfId="0" applyFont="1" applyFill="1" applyBorder="1" applyAlignment="1">
      <alignment horizontal="center" vertical="center"/>
    </xf>
    <xf numFmtId="0" fontId="17" fillId="3" borderId="29" xfId="0" applyFont="1" applyFill="1" applyBorder="1" applyAlignment="1">
      <alignment horizontal="center" vertical="center"/>
    </xf>
    <xf numFmtId="0" fontId="7" fillId="0" borderId="1" xfId="0" applyFont="1" applyBorder="1" applyAlignment="1">
      <alignment horizontal="center" vertical="center" wrapText="1"/>
    </xf>
    <xf numFmtId="0" fontId="3" fillId="0" borderId="5" xfId="0" applyFont="1" applyBorder="1" applyAlignment="1">
      <alignment horizontal="right" vertical="top" wrapText="1" readingOrder="2"/>
    </xf>
    <xf numFmtId="0" fontId="3" fillId="0" borderId="4" xfId="0" applyFont="1" applyBorder="1" applyAlignment="1">
      <alignment horizontal="right" vertical="top" wrapText="1" readingOrder="2"/>
    </xf>
    <xf numFmtId="0" fontId="3" fillId="0" borderId="6" xfId="0" applyFont="1" applyBorder="1" applyAlignment="1">
      <alignment horizontal="right" vertical="top" wrapText="1" readingOrder="2"/>
    </xf>
    <xf numFmtId="0" fontId="17" fillId="3" borderId="36" xfId="0" applyFont="1" applyFill="1" applyBorder="1" applyAlignment="1">
      <alignment horizontal="center" vertical="center"/>
    </xf>
    <xf numFmtId="0" fontId="17" fillId="3" borderId="37" xfId="0" applyFont="1" applyFill="1" applyBorder="1" applyAlignment="1">
      <alignment horizontal="center" vertical="center"/>
    </xf>
    <xf numFmtId="0" fontId="17" fillId="3" borderId="38" xfId="0" applyFont="1" applyFill="1" applyBorder="1" applyAlignment="1">
      <alignment horizontal="center" vertical="center"/>
    </xf>
    <xf numFmtId="0" fontId="3" fillId="0" borderId="5" xfId="0" applyFont="1" applyBorder="1" applyAlignment="1">
      <alignment horizontal="center" vertical="center" wrapText="1"/>
    </xf>
    <xf numFmtId="0" fontId="3" fillId="0" borderId="4" xfId="0" applyFont="1" applyBorder="1" applyAlignment="1">
      <alignment horizontal="center" vertical="center" wrapText="1"/>
    </xf>
    <xf numFmtId="0" fontId="3" fillId="0" borderId="6" xfId="0" applyFont="1" applyBorder="1" applyAlignment="1">
      <alignment horizontal="center" vertical="center" wrapText="1"/>
    </xf>
    <xf numFmtId="0" fontId="3" fillId="7" borderId="5" xfId="0" applyFont="1" applyFill="1" applyBorder="1" applyAlignment="1">
      <alignment horizontal="center" vertical="top" wrapText="1" readingOrder="2"/>
    </xf>
    <xf numFmtId="0" fontId="3" fillId="7" borderId="4" xfId="0" applyFont="1" applyFill="1" applyBorder="1" applyAlignment="1">
      <alignment horizontal="center" vertical="top" wrapText="1" readingOrder="2"/>
    </xf>
    <xf numFmtId="0" fontId="3" fillId="7" borderId="6" xfId="0" applyFont="1" applyFill="1" applyBorder="1" applyAlignment="1">
      <alignment horizontal="center" vertical="top" wrapText="1" readingOrder="2"/>
    </xf>
    <xf numFmtId="166" fontId="0" fillId="6" borderId="0" xfId="3" applyNumberFormat="1" applyFont="1" applyFill="1" applyAlignment="1">
      <alignment horizontal="left" vertical="center"/>
    </xf>
    <xf numFmtId="165" fontId="3" fillId="0" borderId="5" xfId="0" applyNumberFormat="1" applyFont="1" applyBorder="1" applyAlignment="1">
      <alignment horizontal="center" vertical="center" wrapText="1"/>
    </xf>
    <xf numFmtId="165" fontId="3" fillId="0" borderId="4" xfId="0" applyNumberFormat="1" applyFont="1" applyBorder="1" applyAlignment="1">
      <alignment horizontal="center" vertical="center" wrapText="1"/>
    </xf>
    <xf numFmtId="165" fontId="3" fillId="0" borderId="6" xfId="0" applyNumberFormat="1" applyFont="1" applyBorder="1" applyAlignment="1">
      <alignment horizontal="center" vertical="center" wrapText="1"/>
    </xf>
    <xf numFmtId="0" fontId="3" fillId="0" borderId="32" xfId="0" applyFont="1" applyBorder="1" applyAlignment="1">
      <alignment horizontal="center" vertical="center" wrapText="1"/>
    </xf>
    <xf numFmtId="0" fontId="3" fillId="0" borderId="24" xfId="0" applyFont="1" applyBorder="1" applyAlignment="1">
      <alignment horizontal="center" vertical="center" wrapText="1"/>
    </xf>
    <xf numFmtId="49" fontId="2" fillId="0" borderId="5" xfId="0" applyNumberFormat="1" applyFont="1" applyBorder="1" applyAlignment="1">
      <alignment horizontal="center" vertical="center"/>
    </xf>
    <xf numFmtId="49" fontId="2" fillId="0" borderId="4" xfId="0" applyNumberFormat="1" applyFont="1" applyBorder="1" applyAlignment="1">
      <alignment horizontal="center" vertical="center"/>
    </xf>
    <xf numFmtId="49" fontId="2" fillId="0" borderId="6" xfId="0" applyNumberFormat="1"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wrapText="1" readingOrder="2"/>
    </xf>
    <xf numFmtId="0" fontId="3" fillId="0" borderId="1" xfId="0" applyFont="1" applyBorder="1" applyAlignment="1">
      <alignment horizontal="center" vertical="center" readingOrder="2"/>
    </xf>
    <xf numFmtId="0" fontId="3" fillId="0" borderId="5" xfId="0" applyFont="1" applyBorder="1" applyAlignment="1">
      <alignment horizontal="center" vertical="center"/>
    </xf>
    <xf numFmtId="0" fontId="3" fillId="0" borderId="4" xfId="0" applyFont="1" applyBorder="1" applyAlignment="1">
      <alignment horizontal="center" vertical="center"/>
    </xf>
    <xf numFmtId="0" fontId="3" fillId="0" borderId="6" xfId="0" applyFont="1" applyBorder="1" applyAlignment="1">
      <alignment horizontal="center" vertical="center"/>
    </xf>
    <xf numFmtId="49" fontId="2" fillId="5" borderId="5" xfId="0" applyNumberFormat="1" applyFont="1" applyFill="1" applyBorder="1" applyAlignment="1">
      <alignment horizontal="center" vertical="center"/>
    </xf>
    <xf numFmtId="49" fontId="2" fillId="5" borderId="4" xfId="0" applyNumberFormat="1" applyFont="1" applyFill="1" applyBorder="1" applyAlignment="1">
      <alignment horizontal="center" vertical="center"/>
    </xf>
    <xf numFmtId="49" fontId="2" fillId="5" borderId="6" xfId="0" applyNumberFormat="1" applyFont="1" applyFill="1" applyBorder="1" applyAlignment="1">
      <alignment horizontal="center" vertical="center"/>
    </xf>
    <xf numFmtId="9" fontId="32" fillId="7" borderId="2" xfId="1" applyFont="1" applyFill="1" applyBorder="1" applyAlignment="1">
      <alignment horizontal="center" vertical="center" wrapText="1" readingOrder="2"/>
    </xf>
    <xf numFmtId="9" fontId="32" fillId="7" borderId="3" xfId="1" applyFont="1" applyFill="1" applyBorder="1" applyAlignment="1">
      <alignment horizontal="center" vertical="center" wrapText="1" readingOrder="2"/>
    </xf>
    <xf numFmtId="9" fontId="32" fillId="7" borderId="49" xfId="1" applyFont="1" applyFill="1" applyBorder="1" applyAlignment="1">
      <alignment horizontal="center" vertical="center" wrapText="1"/>
    </xf>
    <xf numFmtId="9" fontId="32" fillId="7" borderId="39" xfId="1" applyFont="1" applyFill="1" applyBorder="1" applyAlignment="1">
      <alignment horizontal="center" vertical="center" wrapText="1"/>
    </xf>
    <xf numFmtId="9" fontId="32" fillId="7" borderId="7" xfId="1" applyFont="1" applyFill="1" applyBorder="1" applyAlignment="1">
      <alignment horizontal="center" vertical="center" wrapText="1"/>
    </xf>
    <xf numFmtId="9" fontId="32" fillId="7" borderId="8" xfId="1" applyFont="1" applyFill="1" applyBorder="1" applyAlignment="1">
      <alignment horizontal="center" vertical="center" wrapText="1"/>
    </xf>
    <xf numFmtId="9" fontId="32" fillId="7" borderId="50" xfId="1" applyFont="1" applyFill="1" applyBorder="1" applyAlignment="1">
      <alignment horizontal="center" vertical="center" wrapText="1"/>
    </xf>
    <xf numFmtId="9" fontId="32" fillId="7" borderId="48" xfId="1" applyFont="1" applyFill="1" applyBorder="1" applyAlignment="1">
      <alignment horizontal="center" vertical="center" wrapText="1"/>
    </xf>
    <xf numFmtId="0" fontId="2" fillId="12" borderId="1" xfId="0" applyFont="1" applyFill="1" applyBorder="1" applyAlignment="1">
      <alignment horizontal="center" vertical="center" wrapText="1" readingOrder="2"/>
    </xf>
    <xf numFmtId="0" fontId="3" fillId="5" borderId="1" xfId="0" applyFont="1" applyFill="1" applyBorder="1" applyAlignment="1">
      <alignment horizontal="center" vertical="center" wrapText="1" readingOrder="2"/>
    </xf>
    <xf numFmtId="9" fontId="32" fillId="11" borderId="1" xfId="1"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7" borderId="1" xfId="0" applyFont="1" applyFill="1" applyBorder="1" applyAlignment="1">
      <alignment horizontal="center" vertical="center" wrapText="1" readingOrder="2"/>
    </xf>
    <xf numFmtId="0" fontId="3" fillId="7" borderId="1" xfId="0" applyFont="1" applyFill="1" applyBorder="1" applyAlignment="1">
      <alignment horizontal="center" vertical="center" wrapText="1"/>
    </xf>
    <xf numFmtId="0" fontId="3" fillId="15" borderId="1" xfId="0" applyFont="1" applyFill="1" applyBorder="1" applyAlignment="1">
      <alignment horizontal="center" vertical="center" wrapText="1" readingOrder="2"/>
    </xf>
    <xf numFmtId="0" fontId="13" fillId="15" borderId="1" xfId="0" applyFont="1" applyFill="1" applyBorder="1" applyAlignment="1">
      <alignment horizontal="center" vertical="center" wrapText="1" readingOrder="2"/>
    </xf>
    <xf numFmtId="9" fontId="32" fillId="14" borderId="49" xfId="1" applyFont="1" applyFill="1" applyBorder="1" applyAlignment="1">
      <alignment horizontal="center" vertical="center" wrapText="1" readingOrder="2"/>
    </xf>
    <xf numFmtId="9" fontId="32" fillId="14" borderId="39" xfId="1" applyFont="1" applyFill="1" applyBorder="1" applyAlignment="1">
      <alignment horizontal="center" vertical="center" wrapText="1" readingOrder="2"/>
    </xf>
    <xf numFmtId="9" fontId="32" fillId="14" borderId="50" xfId="1" applyFont="1" applyFill="1" applyBorder="1" applyAlignment="1">
      <alignment horizontal="center" vertical="center" wrapText="1" readingOrder="2"/>
    </xf>
    <xf numFmtId="9" fontId="32" fillId="14" borderId="48" xfId="1" applyFont="1" applyFill="1" applyBorder="1" applyAlignment="1">
      <alignment horizontal="center" vertical="center" wrapText="1" readingOrder="2"/>
    </xf>
    <xf numFmtId="9" fontId="2" fillId="15" borderId="2" xfId="1" applyFont="1" applyFill="1" applyBorder="1" applyAlignment="1">
      <alignment horizontal="center" vertical="center"/>
    </xf>
    <xf numFmtId="9" fontId="2" fillId="15" borderId="3" xfId="1" applyFont="1" applyFill="1" applyBorder="1" applyAlignment="1">
      <alignment horizontal="center" vertical="center"/>
    </xf>
    <xf numFmtId="1" fontId="2" fillId="11" borderId="5" xfId="0" applyNumberFormat="1" applyFont="1" applyFill="1" applyBorder="1" applyAlignment="1">
      <alignment horizontal="center" vertical="center"/>
    </xf>
    <xf numFmtId="1" fontId="2" fillId="11" borderId="4" xfId="0" applyNumberFormat="1" applyFont="1" applyFill="1" applyBorder="1" applyAlignment="1">
      <alignment horizontal="center" vertical="center"/>
    </xf>
    <xf numFmtId="1" fontId="2" fillId="11" borderId="6" xfId="0" applyNumberFormat="1" applyFont="1" applyFill="1" applyBorder="1" applyAlignment="1">
      <alignment horizontal="center" vertical="center"/>
    </xf>
    <xf numFmtId="0" fontId="2" fillId="4" borderId="5" xfId="0" applyFont="1" applyFill="1" applyBorder="1" applyAlignment="1">
      <alignment horizontal="center" vertical="center"/>
    </xf>
    <xf numFmtId="0" fontId="2" fillId="4" borderId="4" xfId="0" applyFont="1" applyFill="1" applyBorder="1" applyAlignment="1">
      <alignment horizontal="center" vertical="center"/>
    </xf>
    <xf numFmtId="0" fontId="2" fillId="4" borderId="6" xfId="0" applyFont="1" applyFill="1" applyBorder="1" applyAlignment="1">
      <alignment horizontal="center" vertical="center"/>
    </xf>
    <xf numFmtId="9" fontId="32" fillId="5" borderId="49" xfId="1" applyFont="1" applyFill="1" applyBorder="1" applyAlignment="1">
      <alignment horizontal="center" vertical="center" wrapText="1"/>
    </xf>
    <xf numFmtId="9" fontId="32" fillId="5" borderId="39" xfId="1" applyFont="1" applyFill="1" applyBorder="1" applyAlignment="1">
      <alignment horizontal="center" vertical="center" wrapText="1"/>
    </xf>
    <xf numFmtId="9" fontId="32" fillId="5" borderId="7" xfId="1" applyFont="1" applyFill="1" applyBorder="1" applyAlignment="1">
      <alignment horizontal="center" vertical="center" wrapText="1"/>
    </xf>
    <xf numFmtId="9" fontId="32" fillId="5" borderId="8" xfId="1" applyFont="1" applyFill="1" applyBorder="1" applyAlignment="1">
      <alignment horizontal="center" vertical="center" wrapText="1"/>
    </xf>
    <xf numFmtId="9" fontId="32" fillId="5" borderId="50" xfId="1" applyFont="1" applyFill="1" applyBorder="1" applyAlignment="1">
      <alignment horizontal="center" vertical="center" wrapText="1"/>
    </xf>
    <xf numFmtId="9" fontId="32" fillId="5" borderId="48" xfId="1" applyFont="1" applyFill="1" applyBorder="1" applyAlignment="1">
      <alignment horizontal="center" vertical="center" wrapText="1"/>
    </xf>
    <xf numFmtId="9" fontId="32" fillId="4" borderId="2" xfId="1" applyFont="1" applyFill="1" applyBorder="1" applyAlignment="1">
      <alignment horizontal="center" vertical="center" wrapText="1" readingOrder="2"/>
    </xf>
    <xf numFmtId="9" fontId="32" fillId="4" borderId="3" xfId="1" applyFont="1" applyFill="1" applyBorder="1" applyAlignment="1">
      <alignment horizontal="center" vertical="center" wrapText="1" readingOrder="2"/>
    </xf>
    <xf numFmtId="0" fontId="3" fillId="10" borderId="5" xfId="0" applyFont="1" applyFill="1" applyBorder="1" applyAlignment="1">
      <alignment horizontal="center" vertical="center" wrapText="1"/>
    </xf>
    <xf numFmtId="0" fontId="3" fillId="10" borderId="4" xfId="0" applyFont="1" applyFill="1" applyBorder="1" applyAlignment="1">
      <alignment horizontal="center" vertical="center" wrapText="1"/>
    </xf>
    <xf numFmtId="0" fontId="3" fillId="10" borderId="6" xfId="0" applyFont="1" applyFill="1" applyBorder="1" applyAlignment="1">
      <alignment horizontal="center" vertical="center" wrapText="1"/>
    </xf>
    <xf numFmtId="0" fontId="13" fillId="10" borderId="39" xfId="0" applyFont="1" applyFill="1" applyBorder="1" applyAlignment="1">
      <alignment horizontal="center" vertical="center" wrapText="1" readingOrder="2"/>
    </xf>
    <xf numFmtId="0" fontId="13" fillId="10" borderId="8" xfId="0" applyFont="1" applyFill="1" applyBorder="1" applyAlignment="1">
      <alignment horizontal="center" vertical="center" wrapText="1" readingOrder="2"/>
    </xf>
    <xf numFmtId="0" fontId="13" fillId="10" borderId="48" xfId="0" applyFont="1" applyFill="1" applyBorder="1" applyAlignment="1">
      <alignment horizontal="center" vertical="center" wrapText="1" readingOrder="2"/>
    </xf>
    <xf numFmtId="0" fontId="35" fillId="3" borderId="1" xfId="0" applyFont="1" applyFill="1" applyBorder="1" applyAlignment="1">
      <alignment horizontal="center" vertical="center"/>
    </xf>
    <xf numFmtId="9" fontId="32" fillId="15" borderId="1" xfId="1" applyFont="1" applyFill="1" applyBorder="1" applyAlignment="1">
      <alignment horizontal="center" vertical="center" wrapText="1"/>
    </xf>
    <xf numFmtId="49" fontId="2" fillId="7" borderId="1" xfId="0" applyNumberFormat="1" applyFont="1" applyFill="1" applyBorder="1" applyAlignment="1">
      <alignment horizontal="center" vertical="center" wrapText="1"/>
    </xf>
    <xf numFmtId="49" fontId="2" fillId="5" borderId="1" xfId="0" applyNumberFormat="1" applyFont="1" applyFill="1" applyBorder="1" applyAlignment="1">
      <alignment horizontal="center" vertical="center"/>
    </xf>
    <xf numFmtId="0" fontId="32" fillId="11" borderId="5" xfId="0" applyFont="1" applyFill="1" applyBorder="1" applyAlignment="1">
      <alignment horizontal="center" vertical="center" wrapText="1" readingOrder="2"/>
    </xf>
    <xf numFmtId="0" fontId="3" fillId="11" borderId="4" xfId="0" applyFont="1" applyFill="1" applyBorder="1" applyAlignment="1">
      <alignment horizontal="center" vertical="center" wrapText="1" readingOrder="2"/>
    </xf>
    <xf numFmtId="0" fontId="3" fillId="11" borderId="6" xfId="0" applyFont="1" applyFill="1" applyBorder="1" applyAlignment="1">
      <alignment horizontal="center" vertical="center" wrapText="1" readingOrder="2"/>
    </xf>
    <xf numFmtId="0" fontId="3" fillId="10" borderId="5" xfId="0" applyFont="1" applyFill="1" applyBorder="1" applyAlignment="1">
      <alignment horizontal="center" vertical="center" wrapText="1" readingOrder="2"/>
    </xf>
    <xf numFmtId="0" fontId="3" fillId="10" borderId="4" xfId="0" applyFont="1" applyFill="1" applyBorder="1" applyAlignment="1">
      <alignment horizontal="center" vertical="center" wrapText="1" readingOrder="2"/>
    </xf>
    <xf numFmtId="0" fontId="3" fillId="10" borderId="6" xfId="0" applyFont="1" applyFill="1" applyBorder="1" applyAlignment="1">
      <alignment horizontal="center" vertical="center" wrapText="1" readingOrder="2"/>
    </xf>
    <xf numFmtId="9" fontId="32" fillId="14" borderId="2" xfId="1" applyFont="1" applyFill="1" applyBorder="1" applyAlignment="1">
      <alignment horizontal="center" vertical="center" wrapText="1"/>
    </xf>
    <xf numFmtId="9" fontId="32" fillId="14" borderId="3" xfId="1" applyFont="1" applyFill="1" applyBorder="1" applyAlignment="1">
      <alignment horizontal="center" vertical="center" wrapText="1"/>
    </xf>
    <xf numFmtId="0" fontId="3" fillId="16" borderId="5" xfId="0" applyFont="1" applyFill="1" applyBorder="1" applyAlignment="1">
      <alignment horizontal="center" vertical="center" wrapText="1" readingOrder="2"/>
    </xf>
    <xf numFmtId="0" fontId="3" fillId="16" borderId="4" xfId="0" applyFont="1" applyFill="1" applyBorder="1" applyAlignment="1">
      <alignment horizontal="center" vertical="center" wrapText="1" readingOrder="2"/>
    </xf>
    <xf numFmtId="0" fontId="3" fillId="16" borderId="6" xfId="0" applyFont="1" applyFill="1" applyBorder="1" applyAlignment="1">
      <alignment horizontal="center" vertical="center" wrapText="1" readingOrder="2"/>
    </xf>
    <xf numFmtId="0" fontId="10" fillId="14" borderId="5" xfId="0" applyFont="1" applyFill="1" applyBorder="1" applyAlignment="1">
      <alignment horizontal="center" vertical="center" wrapText="1"/>
    </xf>
    <xf numFmtId="0" fontId="10" fillId="14" borderId="4" xfId="0" applyFont="1" applyFill="1" applyBorder="1" applyAlignment="1">
      <alignment horizontal="center" vertical="center" wrapText="1"/>
    </xf>
    <xf numFmtId="0" fontId="10" fillId="14" borderId="6" xfId="0" applyFont="1" applyFill="1" applyBorder="1" applyAlignment="1">
      <alignment horizontal="center" vertical="center" wrapText="1"/>
    </xf>
    <xf numFmtId="0" fontId="32" fillId="5" borderId="5" xfId="0" applyFont="1" applyFill="1" applyBorder="1" applyAlignment="1">
      <alignment horizontal="center" vertical="center" wrapText="1"/>
    </xf>
    <xf numFmtId="0" fontId="32" fillId="5" borderId="4" xfId="0" applyFont="1" applyFill="1" applyBorder="1" applyAlignment="1">
      <alignment horizontal="center" vertical="center" wrapText="1"/>
    </xf>
    <xf numFmtId="0" fontId="32" fillId="5" borderId="6" xfId="0" applyFont="1" applyFill="1" applyBorder="1" applyAlignment="1">
      <alignment horizontal="center" vertical="center" wrapText="1"/>
    </xf>
    <xf numFmtId="0" fontId="3" fillId="7" borderId="5" xfId="0" applyFont="1" applyFill="1" applyBorder="1" applyAlignment="1">
      <alignment horizontal="center" vertical="center" wrapText="1"/>
    </xf>
    <xf numFmtId="0" fontId="3" fillId="7" borderId="4" xfId="0" applyFont="1" applyFill="1" applyBorder="1" applyAlignment="1">
      <alignment horizontal="center" vertical="center" wrapText="1"/>
    </xf>
    <xf numFmtId="0" fontId="3" fillId="7" borderId="6" xfId="0" applyFont="1" applyFill="1" applyBorder="1" applyAlignment="1">
      <alignment horizontal="center" vertical="center" wrapText="1"/>
    </xf>
    <xf numFmtId="0" fontId="32" fillId="4" borderId="5" xfId="0" applyFont="1" applyFill="1" applyBorder="1" applyAlignment="1">
      <alignment horizontal="center" vertical="center" wrapText="1" readingOrder="2"/>
    </xf>
    <xf numFmtId="0" fontId="3" fillId="4" borderId="4" xfId="0" applyFont="1" applyFill="1" applyBorder="1" applyAlignment="1">
      <alignment horizontal="center" vertical="center" wrapText="1" readingOrder="2"/>
    </xf>
    <xf numFmtId="0" fontId="3" fillId="4" borderId="6" xfId="0" applyFont="1" applyFill="1" applyBorder="1" applyAlignment="1">
      <alignment horizontal="center" vertical="center" wrapText="1" readingOrder="2"/>
    </xf>
    <xf numFmtId="9" fontId="13" fillId="13" borderId="5" xfId="1" applyFont="1" applyFill="1" applyBorder="1" applyAlignment="1">
      <alignment horizontal="center" vertical="center" wrapText="1"/>
    </xf>
    <xf numFmtId="9" fontId="13" fillId="13" borderId="6" xfId="1" applyFont="1" applyFill="1" applyBorder="1" applyAlignment="1">
      <alignment horizontal="center" vertical="center" wrapText="1"/>
    </xf>
    <xf numFmtId="9" fontId="32" fillId="13" borderId="5" xfId="1" applyFont="1" applyFill="1" applyBorder="1" applyAlignment="1">
      <alignment horizontal="center" vertical="center" wrapText="1" readingOrder="2"/>
    </xf>
    <xf numFmtId="9" fontId="32" fillId="13" borderId="6" xfId="1" applyFont="1" applyFill="1" applyBorder="1" applyAlignment="1">
      <alignment horizontal="center" vertical="center" wrapText="1" readingOrder="2"/>
    </xf>
    <xf numFmtId="0" fontId="13" fillId="10" borderId="5" xfId="0" applyFont="1" applyFill="1" applyBorder="1" applyAlignment="1">
      <alignment horizontal="center" vertical="center" wrapText="1" readingOrder="2"/>
    </xf>
    <xf numFmtId="0" fontId="13" fillId="10" borderId="4" xfId="0" applyFont="1" applyFill="1" applyBorder="1" applyAlignment="1">
      <alignment horizontal="center" vertical="center" wrapText="1" readingOrder="2"/>
    </xf>
    <xf numFmtId="0" fontId="13" fillId="10" borderId="6" xfId="0" applyFont="1" applyFill="1" applyBorder="1" applyAlignment="1">
      <alignment horizontal="center" vertical="center" wrapText="1" readingOrder="2"/>
    </xf>
    <xf numFmtId="0" fontId="3" fillId="15" borderId="1" xfId="0" applyFont="1" applyFill="1" applyBorder="1" applyAlignment="1">
      <alignment horizontal="center" wrapText="1" readingOrder="2"/>
    </xf>
    <xf numFmtId="0" fontId="13" fillId="15" borderId="1" xfId="0" applyFont="1" applyFill="1" applyBorder="1" applyAlignment="1">
      <alignment horizontal="center" wrapText="1" readingOrder="2"/>
    </xf>
    <xf numFmtId="0" fontId="3" fillId="19" borderId="5" xfId="0" applyFont="1" applyFill="1" applyBorder="1" applyAlignment="1">
      <alignment horizontal="center"/>
    </xf>
    <xf numFmtId="0" fontId="3" fillId="19" borderId="4" xfId="0" applyFont="1" applyFill="1" applyBorder="1" applyAlignment="1">
      <alignment horizontal="center"/>
    </xf>
    <xf numFmtId="0" fontId="3" fillId="19" borderId="6" xfId="0" applyFont="1" applyFill="1" applyBorder="1" applyAlignment="1">
      <alignment horizontal="center"/>
    </xf>
    <xf numFmtId="0" fontId="3" fillId="19" borderId="5" xfId="0" applyFont="1" applyFill="1" applyBorder="1" applyAlignment="1">
      <alignment horizontal="center" vertical="center"/>
    </xf>
    <xf numFmtId="0" fontId="3" fillId="19" borderId="4" xfId="0" applyFont="1" applyFill="1" applyBorder="1" applyAlignment="1">
      <alignment horizontal="center" vertical="center"/>
    </xf>
    <xf numFmtId="0" fontId="3" fillId="19" borderId="6" xfId="0" applyFont="1" applyFill="1" applyBorder="1" applyAlignment="1">
      <alignment horizontal="center" vertical="center"/>
    </xf>
    <xf numFmtId="166" fontId="3" fillId="19" borderId="5" xfId="0" applyNumberFormat="1" applyFont="1" applyFill="1" applyBorder="1" applyAlignment="1">
      <alignment vertical="center"/>
    </xf>
    <xf numFmtId="166" fontId="3" fillId="19" borderId="4" xfId="0" applyNumberFormat="1" applyFont="1" applyFill="1" applyBorder="1" applyAlignment="1">
      <alignment vertical="center"/>
    </xf>
    <xf numFmtId="166" fontId="3" fillId="19" borderId="6" xfId="0" applyNumberFormat="1" applyFont="1" applyFill="1" applyBorder="1" applyAlignment="1">
      <alignment vertical="center"/>
    </xf>
    <xf numFmtId="166" fontId="19" fillId="6" borderId="0" xfId="3" applyNumberFormat="1" applyFont="1" applyFill="1" applyAlignment="1">
      <alignment horizontal="left" vertical="center"/>
    </xf>
    <xf numFmtId="0" fontId="25" fillId="0" borderId="41" xfId="0" applyFont="1" applyBorder="1" applyAlignment="1">
      <alignment horizontal="center" vertical="center" wrapText="1"/>
    </xf>
    <xf numFmtId="0" fontId="6" fillId="0" borderId="5" xfId="0" applyFont="1" applyBorder="1" applyAlignment="1">
      <alignment horizontal="center" vertical="center" wrapText="1"/>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22" fillId="7" borderId="5" xfId="0" applyFont="1" applyFill="1" applyBorder="1" applyAlignment="1">
      <alignment horizontal="center" vertical="top" wrapText="1" readingOrder="2"/>
    </xf>
    <xf numFmtId="0" fontId="21" fillId="7" borderId="4" xfId="0" applyFont="1" applyFill="1" applyBorder="1" applyAlignment="1">
      <alignment horizontal="center" vertical="top" wrapText="1" readingOrder="2"/>
    </xf>
    <xf numFmtId="0" fontId="21" fillId="7" borderId="6" xfId="0" applyFont="1" applyFill="1" applyBorder="1" applyAlignment="1">
      <alignment horizontal="center" vertical="top" wrapText="1" readingOrder="2"/>
    </xf>
    <xf numFmtId="165" fontId="0" fillId="0" borderId="5" xfId="0" applyNumberFormat="1" applyBorder="1" applyAlignment="1">
      <alignment horizontal="center" vertical="center" wrapText="1"/>
    </xf>
    <xf numFmtId="165" fontId="0" fillId="0" borderId="4" xfId="0" applyNumberFormat="1" applyBorder="1" applyAlignment="1">
      <alignment horizontal="center" vertical="center" wrapText="1"/>
    </xf>
    <xf numFmtId="165" fontId="0" fillId="0" borderId="6" xfId="0" applyNumberFormat="1" applyBorder="1" applyAlignment="1">
      <alignment horizontal="center" vertical="center" wrapText="1"/>
    </xf>
    <xf numFmtId="0" fontId="22" fillId="0" borderId="5" xfId="0" applyFont="1" applyBorder="1" applyAlignment="1">
      <alignment horizontal="right" vertical="top" wrapText="1" readingOrder="2"/>
    </xf>
    <xf numFmtId="0" fontId="21" fillId="0" borderId="4" xfId="0" applyFont="1" applyBorder="1" applyAlignment="1">
      <alignment horizontal="right" vertical="top" wrapText="1" readingOrder="2"/>
    </xf>
    <xf numFmtId="0" fontId="21" fillId="0" borderId="6" xfId="0" applyFont="1" applyBorder="1" applyAlignment="1">
      <alignment horizontal="right" vertical="top" wrapText="1" readingOrder="2"/>
    </xf>
    <xf numFmtId="166" fontId="0" fillId="0" borderId="5" xfId="3" applyNumberFormat="1" applyFont="1" applyBorder="1" applyAlignment="1">
      <alignment horizontal="center" vertical="center" wrapText="1"/>
    </xf>
    <xf numFmtId="166" fontId="0" fillId="0" borderId="6" xfId="3" applyNumberFormat="1" applyFont="1" applyBorder="1" applyAlignment="1">
      <alignment horizontal="center" vertical="center" wrapText="1"/>
    </xf>
    <xf numFmtId="165" fontId="6" fillId="0" borderId="5" xfId="0" applyNumberFormat="1" applyFont="1" applyBorder="1" applyAlignment="1">
      <alignment horizontal="center" vertical="center" wrapText="1"/>
    </xf>
    <xf numFmtId="0" fontId="0" fillId="0" borderId="32" xfId="0" applyBorder="1" applyAlignment="1">
      <alignment horizontal="center" vertical="center" wrapText="1"/>
    </xf>
    <xf numFmtId="0" fontId="0" fillId="0" borderId="24" xfId="0" applyBorder="1" applyAlignment="1">
      <alignment horizontal="center" vertical="center" wrapText="1"/>
    </xf>
    <xf numFmtId="0" fontId="24" fillId="3" borderId="36" xfId="0" applyFont="1" applyFill="1" applyBorder="1" applyAlignment="1">
      <alignment horizontal="center" vertical="center"/>
    </xf>
    <xf numFmtId="0" fontId="24" fillId="3" borderId="37" xfId="0" applyFont="1" applyFill="1" applyBorder="1" applyAlignment="1">
      <alignment horizontal="center" vertical="center"/>
    </xf>
    <xf numFmtId="0" fontId="24" fillId="3" borderId="38" xfId="0" applyFont="1" applyFill="1" applyBorder="1" applyAlignment="1">
      <alignment horizontal="center" vertical="center"/>
    </xf>
    <xf numFmtId="0" fontId="2" fillId="3" borderId="36" xfId="0" applyFont="1" applyFill="1" applyBorder="1" applyAlignment="1">
      <alignment horizontal="center" vertical="center"/>
    </xf>
    <xf numFmtId="0" fontId="2" fillId="3" borderId="38" xfId="0" applyFont="1" applyFill="1" applyBorder="1" applyAlignment="1">
      <alignment horizontal="center" vertical="center"/>
    </xf>
    <xf numFmtId="0" fontId="2" fillId="0" borderId="2" xfId="0" applyFont="1" applyBorder="1" applyAlignment="1">
      <alignment horizontal="center"/>
    </xf>
    <xf numFmtId="0" fontId="2" fillId="0" borderId="43" xfId="0" applyFont="1" applyBorder="1" applyAlignment="1">
      <alignment horizontal="center"/>
    </xf>
    <xf numFmtId="0" fontId="2" fillId="0" borderId="3" xfId="0"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2" fillId="4" borderId="1" xfId="0" applyFont="1" applyFill="1" applyBorder="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xf numFmtId="0" fontId="0" fillId="0" borderId="5" xfId="0" applyBorder="1" applyAlignment="1">
      <alignment horizontal="center" vertical="center" wrapText="1"/>
    </xf>
    <xf numFmtId="0" fontId="13" fillId="0" borderId="5"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6" xfId="0" applyFont="1" applyBorder="1" applyAlignment="1">
      <alignment horizontal="center" vertical="center" wrapText="1"/>
    </xf>
    <xf numFmtId="0" fontId="3" fillId="10" borderId="45" xfId="0" applyFont="1" applyFill="1" applyBorder="1" applyAlignment="1">
      <alignment horizontal="right"/>
    </xf>
    <xf numFmtId="0" fontId="3" fillId="10" borderId="43" xfId="0" applyFont="1" applyFill="1" applyBorder="1" applyAlignment="1">
      <alignment horizontal="right"/>
    </xf>
    <xf numFmtId="0" fontId="3" fillId="10" borderId="44" xfId="0" applyFont="1" applyFill="1" applyBorder="1" applyAlignment="1">
      <alignment horizontal="right"/>
    </xf>
    <xf numFmtId="0" fontId="3" fillId="10" borderId="2" xfId="0" applyFont="1" applyFill="1" applyBorder="1" applyAlignment="1">
      <alignment horizontal="right"/>
    </xf>
    <xf numFmtId="0" fontId="2" fillId="10" borderId="12" xfId="0" applyFont="1" applyFill="1" applyBorder="1" applyAlignment="1">
      <alignment horizontal="right"/>
    </xf>
    <xf numFmtId="0" fontId="2" fillId="10" borderId="13" xfId="0" applyFont="1" applyFill="1" applyBorder="1" applyAlignment="1">
      <alignment horizontal="right"/>
    </xf>
    <xf numFmtId="0" fontId="2" fillId="10" borderId="14" xfId="0" applyFont="1" applyFill="1" applyBorder="1" applyAlignment="1">
      <alignment horizontal="right"/>
    </xf>
    <xf numFmtId="0" fontId="3" fillId="0" borderId="8" xfId="0" applyFont="1" applyBorder="1" applyAlignment="1">
      <alignment horizontal="center" vertical="center"/>
    </xf>
    <xf numFmtId="0" fontId="7" fillId="3" borderId="1" xfId="0" applyFont="1" applyFill="1" applyBorder="1" applyAlignment="1">
      <alignment horizontal="center" vertical="center"/>
    </xf>
    <xf numFmtId="0" fontId="3" fillId="0" borderId="8" xfId="0" applyFont="1" applyBorder="1" applyAlignment="1">
      <alignment horizontal="center" vertical="center" wrapText="1"/>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cellXfs>
  <cellStyles count="4">
    <cellStyle name="Comma" xfId="2" builtinId="3"/>
    <cellStyle name="Currency" xfId="3" builtinId="4"/>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mits\AppData\Local\Microsoft\Windows\INetCache\Content.Outlook\FW4O5MY0\&#1506;&#1493;&#1514;&#1511;%20&#1513;&#1500;%20&#1488;&#1495;&#1512;&#1497;%20&#1514;&#1497;&#1511;&#1493;&#1504;&#1497;&#1501;%20%20&#1514;&#1502;&#1497;%20&#1502;&#1513;&#1497;&#1502;&#1493;&#1514;%20&#1493;&#1488;&#1489;&#1504;&#1497;%20&#1491;&#1512;&#1498;%20-%20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שימות"/>
      <sheetName val="נותנים"/>
      <sheetName val="מבנה ארגוני"/>
    </sheetNames>
    <sheetDataSet>
      <sheetData sheetId="0" refreshError="1"/>
      <sheetData sheetId="1">
        <row r="2">
          <cell r="A2" t="str">
            <v>מניעת והפחתת הצורך בשירותי רווחה</v>
          </cell>
        </row>
        <row r="3">
          <cell r="A3" t="str">
            <v>שירותי רווחה מגוונים המותאמים למגוון האוכלוסיות ולצרכים השונים</v>
          </cell>
        </row>
        <row r="4">
          <cell r="A4" t="str">
            <v>מערכת רווחה אפקטיבית ויעילה</v>
          </cell>
        </row>
        <row r="5">
          <cell r="A5" t="str">
            <v>הון אנושי איכותי ומועצם במערך הרווחה</v>
          </cell>
        </row>
        <row r="6">
          <cell r="A6" t="str">
            <v>שיתופי הפעולה במערכת ומחוצה לה</v>
          </cell>
        </row>
        <row r="7">
          <cell r="A7" t="str">
            <v>צמצום פערים ועיוותי הקצאה</v>
          </cell>
        </row>
        <row r="8">
          <cell r="A8" t="str">
            <v>אחר</v>
          </cell>
        </row>
      </sheetData>
      <sheetData sheetId="2" refreshError="1"/>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
  <sheetViews>
    <sheetView rightToLeft="1" zoomScale="89" zoomScaleNormal="89" workbookViewId="0">
      <pane xSplit="2" topLeftCell="C1" activePane="topRight" state="frozen"/>
      <selection activeCell="B1" sqref="B1"/>
      <selection pane="topRight" activeCell="D5" sqref="D5"/>
    </sheetView>
  </sheetViews>
  <sheetFormatPr defaultRowHeight="14.25" x14ac:dyDescent="0.2"/>
  <cols>
    <col min="1" max="1" width="13.375" customWidth="1"/>
    <col min="3" max="3" width="11.5" customWidth="1"/>
    <col min="4" max="4" width="10.125" customWidth="1"/>
    <col min="5" max="5" width="10.5" customWidth="1"/>
    <col min="6" max="6" width="22.25" customWidth="1"/>
    <col min="7" max="7" width="10.375" customWidth="1"/>
    <col min="8" max="8" width="21.125" customWidth="1"/>
    <col min="9" max="10" width="23.25" customWidth="1"/>
    <col min="11" max="11" width="23.75" customWidth="1"/>
    <col min="12" max="12" width="20" customWidth="1"/>
    <col min="13" max="13" width="28.75" customWidth="1"/>
    <col min="14" max="14" width="24.5" customWidth="1"/>
    <col min="15" max="15" width="25.75" customWidth="1"/>
    <col min="16" max="16" width="57.375" customWidth="1"/>
  </cols>
  <sheetData>
    <row r="1" spans="1:16" ht="15" thickBot="1" x14ac:dyDescent="0.25"/>
    <row r="2" spans="1:16" ht="15.75" thickBot="1" x14ac:dyDescent="0.25">
      <c r="A2" s="9"/>
      <c r="B2" s="60" t="s">
        <v>63</v>
      </c>
      <c r="C2" s="298" t="s">
        <v>23</v>
      </c>
      <c r="D2" s="298"/>
      <c r="E2" s="298" t="s">
        <v>24</v>
      </c>
      <c r="F2" s="298"/>
      <c r="G2" s="298" t="s">
        <v>32</v>
      </c>
      <c r="H2" s="298"/>
      <c r="I2" s="298" t="s">
        <v>27</v>
      </c>
      <c r="J2" s="298"/>
      <c r="K2" s="298"/>
      <c r="L2" s="299"/>
      <c r="M2" s="300" t="s">
        <v>39</v>
      </c>
      <c r="N2" s="301"/>
      <c r="O2" s="301"/>
      <c r="P2" s="302"/>
    </row>
    <row r="3" spans="1:16" ht="45" customHeight="1" x14ac:dyDescent="0.2">
      <c r="A3" s="9"/>
      <c r="B3" s="61" t="s">
        <v>63</v>
      </c>
      <c r="C3" s="67" t="s">
        <v>155</v>
      </c>
      <c r="D3" s="68" t="s">
        <v>149</v>
      </c>
      <c r="E3" s="62" t="s">
        <v>20</v>
      </c>
      <c r="F3" s="62" t="s">
        <v>21</v>
      </c>
      <c r="G3" s="62" t="s">
        <v>1</v>
      </c>
      <c r="H3" s="62" t="s">
        <v>25</v>
      </c>
      <c r="I3" s="62" t="s">
        <v>36</v>
      </c>
      <c r="J3" s="62" t="s">
        <v>2</v>
      </c>
      <c r="K3" s="62" t="s">
        <v>37</v>
      </c>
      <c r="L3" s="62" t="s">
        <v>129</v>
      </c>
      <c r="M3" s="62" t="s">
        <v>34</v>
      </c>
      <c r="N3" s="62" t="s">
        <v>6</v>
      </c>
      <c r="O3" s="10" t="s">
        <v>35</v>
      </c>
      <c r="P3" s="63" t="s">
        <v>146</v>
      </c>
    </row>
    <row r="4" spans="1:16" ht="60.75" customHeight="1" x14ac:dyDescent="0.2">
      <c r="A4" s="297" t="s">
        <v>30</v>
      </c>
      <c r="B4" s="78" t="s">
        <v>161</v>
      </c>
      <c r="C4" s="11">
        <v>0</v>
      </c>
      <c r="D4" s="11">
        <v>0</v>
      </c>
      <c r="E4" s="11">
        <v>0</v>
      </c>
      <c r="F4" s="305" t="s">
        <v>201</v>
      </c>
      <c r="G4" s="12" t="s">
        <v>166</v>
      </c>
      <c r="H4" s="12" t="s">
        <v>282</v>
      </c>
      <c r="I4" s="12" t="s">
        <v>40</v>
      </c>
      <c r="J4" s="55" t="s">
        <v>33</v>
      </c>
      <c r="K4" s="199" t="s">
        <v>104</v>
      </c>
      <c r="L4" s="71" t="s">
        <v>158</v>
      </c>
      <c r="M4" s="55" t="s">
        <v>5</v>
      </c>
      <c r="N4" s="295" t="s">
        <v>48</v>
      </c>
      <c r="O4" s="296" t="s">
        <v>47</v>
      </c>
      <c r="P4" s="64" t="s">
        <v>144</v>
      </c>
    </row>
    <row r="5" spans="1:16" ht="59.25" customHeight="1" x14ac:dyDescent="0.2">
      <c r="A5" s="297"/>
      <c r="B5" s="78" t="s">
        <v>139</v>
      </c>
      <c r="C5" s="72">
        <v>0.25</v>
      </c>
      <c r="D5" s="56" t="s">
        <v>140</v>
      </c>
      <c r="E5" s="74">
        <v>0</v>
      </c>
      <c r="F5" s="306"/>
      <c r="G5" s="75" t="s">
        <v>160</v>
      </c>
      <c r="H5" s="173" t="s">
        <v>283</v>
      </c>
      <c r="I5" s="12" t="s">
        <v>53</v>
      </c>
      <c r="J5" s="16" t="s">
        <v>31</v>
      </c>
      <c r="K5" s="199" t="s">
        <v>89</v>
      </c>
      <c r="L5" s="16" t="s">
        <v>159</v>
      </c>
      <c r="M5" s="17" t="s">
        <v>38</v>
      </c>
      <c r="N5" s="295"/>
      <c r="O5" s="296"/>
      <c r="P5" s="303" t="s">
        <v>145</v>
      </c>
    </row>
    <row r="6" spans="1:16" ht="51" x14ac:dyDescent="0.2">
      <c r="A6" s="297"/>
      <c r="B6" s="79" t="s">
        <v>142</v>
      </c>
      <c r="C6" s="73">
        <v>0.25</v>
      </c>
      <c r="D6" s="56" t="s">
        <v>141</v>
      </c>
      <c r="E6" s="74">
        <v>0</v>
      </c>
      <c r="F6" s="307"/>
      <c r="G6" s="75" t="s">
        <v>160</v>
      </c>
      <c r="H6" s="15" t="s">
        <v>41</v>
      </c>
      <c r="I6" s="12" t="s">
        <v>53</v>
      </c>
      <c r="J6" s="16" t="s">
        <v>31</v>
      </c>
      <c r="K6" s="199" t="s">
        <v>89</v>
      </c>
      <c r="L6" s="16" t="s">
        <v>159</v>
      </c>
      <c r="M6" s="17" t="s">
        <v>38</v>
      </c>
      <c r="N6" s="295"/>
      <c r="O6" s="296"/>
      <c r="P6" s="304"/>
    </row>
    <row r="7" spans="1:16" ht="90" customHeight="1" x14ac:dyDescent="0.2">
      <c r="A7" s="85" t="s">
        <v>136</v>
      </c>
      <c r="B7" s="80" t="s">
        <v>113</v>
      </c>
      <c r="C7" s="13">
        <v>0.33</v>
      </c>
      <c r="D7" s="56" t="s">
        <v>143</v>
      </c>
      <c r="E7" s="14" t="s">
        <v>103</v>
      </c>
      <c r="F7" s="14" t="s">
        <v>165</v>
      </c>
      <c r="G7" s="15" t="s">
        <v>90</v>
      </c>
      <c r="H7" s="15" t="s">
        <v>51</v>
      </c>
      <c r="I7" s="12" t="s">
        <v>53</v>
      </c>
      <c r="J7" s="16" t="s">
        <v>54</v>
      </c>
      <c r="K7" s="200" t="s">
        <v>59</v>
      </c>
      <c r="L7" s="18" t="s">
        <v>55</v>
      </c>
      <c r="M7" s="17" t="s">
        <v>91</v>
      </c>
      <c r="N7" s="55" t="s">
        <v>96</v>
      </c>
      <c r="O7" s="58" t="s">
        <v>105</v>
      </c>
      <c r="P7" s="65" t="s">
        <v>148</v>
      </c>
    </row>
    <row r="8" spans="1:16" ht="80.25" customHeight="1" thickBot="1" x14ac:dyDescent="0.25">
      <c r="A8" s="155" t="s">
        <v>100</v>
      </c>
      <c r="B8" s="81" t="s">
        <v>114</v>
      </c>
      <c r="C8" s="28">
        <v>0.33</v>
      </c>
      <c r="D8" s="57" t="s">
        <v>143</v>
      </c>
      <c r="E8" s="28" t="s">
        <v>28</v>
      </c>
      <c r="F8" s="28" t="s">
        <v>60</v>
      </c>
      <c r="G8" s="29" t="s">
        <v>62</v>
      </c>
      <c r="H8" s="30" t="s">
        <v>61</v>
      </c>
      <c r="I8" s="31" t="s">
        <v>94</v>
      </c>
      <c r="J8" s="32" t="s">
        <v>95</v>
      </c>
      <c r="K8" s="201" t="s">
        <v>106</v>
      </c>
      <c r="L8" s="33" t="s">
        <v>55</v>
      </c>
      <c r="M8" s="31" t="s">
        <v>107</v>
      </c>
      <c r="N8" s="34" t="s">
        <v>97</v>
      </c>
      <c r="O8" s="59" t="s">
        <v>108</v>
      </c>
      <c r="P8" s="66" t="s">
        <v>147</v>
      </c>
    </row>
    <row r="9" spans="1:16" x14ac:dyDescent="0.2">
      <c r="A9" s="9"/>
      <c r="B9" s="9"/>
      <c r="C9" s="42"/>
      <c r="D9" s="42"/>
      <c r="E9" s="42"/>
      <c r="F9" s="42"/>
      <c r="G9" s="43"/>
      <c r="H9" s="44"/>
      <c r="I9" s="45"/>
      <c r="J9" s="46"/>
      <c r="K9" s="45"/>
      <c r="L9" s="47"/>
      <c r="M9" s="45"/>
      <c r="N9" s="27"/>
      <c r="O9" s="27"/>
    </row>
  </sheetData>
  <mergeCells count="10">
    <mergeCell ref="N4:N6"/>
    <mergeCell ref="O4:O6"/>
    <mergeCell ref="A4:A6"/>
    <mergeCell ref="C2:D2"/>
    <mergeCell ref="E2:F2"/>
    <mergeCell ref="G2:H2"/>
    <mergeCell ref="I2:L2"/>
    <mergeCell ref="M2:P2"/>
    <mergeCell ref="P5:P6"/>
    <mergeCell ref="F4:F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27"/>
  <sheetViews>
    <sheetView rightToLeft="1" tabSelected="1" zoomScale="91" zoomScaleNormal="91" workbookViewId="0">
      <selection activeCell="B5" sqref="B5"/>
    </sheetView>
  </sheetViews>
  <sheetFormatPr defaultRowHeight="14.25" x14ac:dyDescent="0.2"/>
  <cols>
    <col min="1" max="1" width="6.125" customWidth="1"/>
    <col min="2" max="2" width="9" customWidth="1"/>
    <col min="9" max="9" width="108.25" customWidth="1"/>
  </cols>
  <sheetData>
    <row r="2" spans="1:13" ht="18.75" customHeight="1" thickBot="1" x14ac:dyDescent="0.25"/>
    <row r="3" spans="1:13" ht="18.75" customHeight="1" x14ac:dyDescent="0.2">
      <c r="A3" s="20" t="s">
        <v>50</v>
      </c>
      <c r="B3" s="21" t="s">
        <v>64</v>
      </c>
      <c r="C3" s="22"/>
      <c r="D3" s="22"/>
      <c r="E3" s="22"/>
      <c r="F3" s="22"/>
      <c r="G3" s="22"/>
      <c r="H3" s="22"/>
      <c r="I3" s="23"/>
      <c r="M3" s="8"/>
    </row>
    <row r="4" spans="1:13" ht="18.75" customHeight="1" x14ac:dyDescent="0.2">
      <c r="A4" s="101">
        <v>1</v>
      </c>
      <c r="B4" s="102" t="s">
        <v>250</v>
      </c>
      <c r="C4" s="103"/>
      <c r="D4" s="103"/>
      <c r="E4" s="103"/>
      <c r="F4" s="103"/>
      <c r="G4" s="103"/>
      <c r="H4" s="103"/>
      <c r="I4" s="104"/>
      <c r="M4" s="8"/>
    </row>
    <row r="5" spans="1:13" ht="18.75" customHeight="1" x14ac:dyDescent="0.2">
      <c r="A5" s="105">
        <v>2</v>
      </c>
      <c r="B5" s="103" t="s">
        <v>251</v>
      </c>
      <c r="C5" s="103"/>
      <c r="D5" s="103"/>
      <c r="E5" s="103"/>
      <c r="F5" s="103"/>
      <c r="G5" s="103"/>
      <c r="H5" s="103"/>
      <c r="I5" s="104"/>
      <c r="M5" s="8"/>
    </row>
    <row r="6" spans="1:13" ht="18.75" customHeight="1" x14ac:dyDescent="0.2">
      <c r="A6" s="101">
        <v>3</v>
      </c>
      <c r="B6" s="103" t="s">
        <v>115</v>
      </c>
      <c r="C6" s="103"/>
      <c r="D6" s="103"/>
      <c r="E6" s="103"/>
      <c r="F6" s="103"/>
      <c r="G6" s="103"/>
      <c r="H6" s="103"/>
      <c r="I6" s="104"/>
      <c r="M6" s="8"/>
    </row>
    <row r="7" spans="1:13" ht="18.75" customHeight="1" x14ac:dyDescent="0.2">
      <c r="A7" s="105">
        <v>4</v>
      </c>
      <c r="B7" s="102" t="s">
        <v>252</v>
      </c>
      <c r="C7" s="103"/>
      <c r="D7" s="103"/>
      <c r="E7" s="103"/>
      <c r="F7" s="103"/>
      <c r="G7" s="103"/>
      <c r="H7" s="103"/>
      <c r="I7" s="104"/>
      <c r="M7" s="8"/>
    </row>
    <row r="8" spans="1:13" ht="18.75" customHeight="1" x14ac:dyDescent="0.2">
      <c r="A8" s="101">
        <v>5</v>
      </c>
      <c r="B8" s="102" t="s">
        <v>138</v>
      </c>
      <c r="C8" s="103"/>
      <c r="D8" s="103"/>
      <c r="E8" s="103"/>
      <c r="F8" s="103"/>
      <c r="G8" s="103"/>
      <c r="H8" s="103"/>
      <c r="I8" s="104"/>
      <c r="M8" s="8"/>
    </row>
    <row r="9" spans="1:13" ht="18.75" customHeight="1" x14ac:dyDescent="0.2">
      <c r="A9" s="105">
        <v>6</v>
      </c>
      <c r="B9" s="102" t="s">
        <v>137</v>
      </c>
      <c r="C9" s="103"/>
      <c r="D9" s="103"/>
      <c r="E9" s="103"/>
      <c r="F9" s="103"/>
      <c r="G9" s="103"/>
      <c r="H9" s="103"/>
      <c r="I9" s="104"/>
      <c r="M9" s="8"/>
    </row>
    <row r="10" spans="1:13" ht="18.75" customHeight="1" x14ac:dyDescent="0.2">
      <c r="A10" s="101">
        <v>7</v>
      </c>
      <c r="B10" s="102" t="s">
        <v>253</v>
      </c>
      <c r="C10" s="103"/>
      <c r="D10" s="103"/>
      <c r="E10" s="103"/>
      <c r="F10" s="103"/>
      <c r="G10" s="103"/>
      <c r="H10" s="103"/>
      <c r="I10" s="104"/>
      <c r="M10" s="8"/>
    </row>
    <row r="11" spans="1:13" ht="18.75" customHeight="1" x14ac:dyDescent="0.2">
      <c r="A11" s="105">
        <v>8</v>
      </c>
      <c r="B11" s="102" t="s">
        <v>88</v>
      </c>
      <c r="C11" s="103"/>
      <c r="D11" s="103"/>
      <c r="E11" s="103"/>
      <c r="F11" s="103"/>
      <c r="G11" s="103"/>
      <c r="H11" s="103"/>
      <c r="I11" s="104"/>
      <c r="M11" s="8"/>
    </row>
    <row r="12" spans="1:13" ht="18.75" customHeight="1" thickBot="1" x14ac:dyDescent="0.25">
      <c r="A12" s="101">
        <v>9</v>
      </c>
      <c r="B12" s="106" t="s">
        <v>87</v>
      </c>
      <c r="C12" s="106"/>
      <c r="D12" s="106"/>
      <c r="E12" s="106"/>
      <c r="F12" s="106"/>
      <c r="G12" s="106"/>
      <c r="H12" s="106"/>
      <c r="I12" s="107"/>
      <c r="M12" s="8"/>
    </row>
    <row r="14" spans="1:13" x14ac:dyDescent="0.2">
      <c r="A14" s="69"/>
      <c r="C14" s="8"/>
      <c r="D14" s="8"/>
      <c r="E14" s="8"/>
      <c r="F14" s="8"/>
      <c r="G14" s="8"/>
      <c r="H14" s="8"/>
      <c r="I14" s="8"/>
    </row>
    <row r="26" spans="1:9" x14ac:dyDescent="0.2">
      <c r="A26" s="26"/>
      <c r="B26" s="26"/>
      <c r="D26" s="26"/>
      <c r="E26" s="26"/>
      <c r="F26" s="26"/>
      <c r="G26" s="26"/>
      <c r="H26" s="26"/>
      <c r="I26" s="26"/>
    </row>
    <row r="27" spans="1:9" x14ac:dyDescent="0.2">
      <c r="B27" s="19"/>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
  <sheetViews>
    <sheetView rightToLeft="1" workbookViewId="0">
      <selection activeCell="E4" sqref="E4"/>
    </sheetView>
  </sheetViews>
  <sheetFormatPr defaultRowHeight="14.25" x14ac:dyDescent="0.2"/>
  <cols>
    <col min="2" max="2" width="18.5" customWidth="1"/>
    <col min="3" max="3" width="22.125" customWidth="1"/>
    <col min="4" max="4" width="18.5" customWidth="1"/>
    <col min="5" max="5" width="21.25" customWidth="1"/>
    <col min="6" max="6" width="22.25" hidden="1" customWidth="1"/>
    <col min="7" max="7" width="12" customWidth="1"/>
    <col min="8" max="8" width="12.75" customWidth="1"/>
    <col min="9" max="9" width="14" bestFit="1" customWidth="1"/>
    <col min="10" max="10" width="17.25" bestFit="1" customWidth="1"/>
    <col min="11" max="11" width="21.25" bestFit="1" customWidth="1"/>
    <col min="12" max="12" width="20.375" customWidth="1"/>
    <col min="13" max="13" width="29.625" customWidth="1"/>
    <col min="14" max="17" width="18.5" hidden="1" customWidth="1"/>
    <col min="18" max="18" width="28.625" hidden="1" customWidth="1"/>
    <col min="19" max="24" width="18.5" hidden="1" customWidth="1"/>
    <col min="25" max="26" width="0" hidden="1" customWidth="1"/>
  </cols>
  <sheetData>
    <row r="1" spans="1:24" s="26" customFormat="1" ht="13.5" thickBot="1" x14ac:dyDescent="0.25"/>
    <row r="2" spans="1:24" ht="41.25" customHeight="1" thickBot="1" x14ac:dyDescent="0.25">
      <c r="A2" s="9"/>
      <c r="B2" s="127" t="s">
        <v>63</v>
      </c>
      <c r="C2" s="314" t="s">
        <v>167</v>
      </c>
      <c r="D2" s="315"/>
      <c r="E2" s="315"/>
      <c r="F2" s="315"/>
      <c r="G2" s="315"/>
      <c r="H2" s="315"/>
      <c r="I2" s="315"/>
      <c r="J2" s="316"/>
      <c r="K2" s="314" t="s">
        <v>179</v>
      </c>
      <c r="L2" s="316"/>
      <c r="M2" s="128" t="s">
        <v>168</v>
      </c>
      <c r="N2" s="128"/>
      <c r="O2" s="308" t="s">
        <v>23</v>
      </c>
      <c r="P2" s="308"/>
      <c r="Q2" s="308" t="s">
        <v>24</v>
      </c>
      <c r="R2" s="308"/>
      <c r="S2" s="308" t="s">
        <v>32</v>
      </c>
      <c r="T2" s="308"/>
      <c r="U2" s="308" t="s">
        <v>27</v>
      </c>
      <c r="V2" s="308"/>
      <c r="W2" s="308"/>
      <c r="X2" s="309"/>
    </row>
    <row r="3" spans="1:24" s="26" customFormat="1" ht="59.25" customHeight="1" x14ac:dyDescent="0.2">
      <c r="A3" s="35"/>
      <c r="B3" s="111" t="s">
        <v>63</v>
      </c>
      <c r="C3" s="112" t="s">
        <v>184</v>
      </c>
      <c r="D3" s="113" t="s">
        <v>169</v>
      </c>
      <c r="E3" s="113" t="s">
        <v>170</v>
      </c>
      <c r="F3" s="113" t="s">
        <v>180</v>
      </c>
      <c r="G3" s="113" t="s">
        <v>185</v>
      </c>
      <c r="H3" s="113" t="s">
        <v>178</v>
      </c>
      <c r="I3" s="113" t="s">
        <v>186</v>
      </c>
      <c r="J3" s="113" t="s">
        <v>174</v>
      </c>
      <c r="K3" s="113" t="s">
        <v>171</v>
      </c>
      <c r="L3" s="113" t="s">
        <v>176</v>
      </c>
      <c r="M3" s="113" t="s">
        <v>168</v>
      </c>
      <c r="N3" s="113" t="s">
        <v>177</v>
      </c>
      <c r="O3" s="114" t="s">
        <v>155</v>
      </c>
      <c r="P3" s="115" t="s">
        <v>149</v>
      </c>
      <c r="Q3" s="116" t="s">
        <v>20</v>
      </c>
      <c r="R3" s="116" t="s">
        <v>21</v>
      </c>
      <c r="S3" s="116" t="s">
        <v>1</v>
      </c>
      <c r="T3" s="116" t="s">
        <v>25</v>
      </c>
      <c r="U3" s="116" t="s">
        <v>36</v>
      </c>
      <c r="V3" s="116" t="s">
        <v>2</v>
      </c>
      <c r="W3" s="116" t="s">
        <v>37</v>
      </c>
      <c r="X3" s="116" t="s">
        <v>129</v>
      </c>
    </row>
    <row r="4" spans="1:24" s="26" customFormat="1" ht="91.5" customHeight="1" x14ac:dyDescent="0.2">
      <c r="A4" s="310" t="s">
        <v>30</v>
      </c>
      <c r="B4" s="117" t="s">
        <v>161</v>
      </c>
      <c r="C4" s="317" t="s">
        <v>203</v>
      </c>
      <c r="D4" s="117" t="s">
        <v>172</v>
      </c>
      <c r="E4" s="118" t="s">
        <v>191</v>
      </c>
      <c r="F4" s="320" t="s">
        <v>204</v>
      </c>
      <c r="G4" s="119">
        <v>110000</v>
      </c>
      <c r="H4" s="119">
        <f>G4*0.4</f>
        <v>44000</v>
      </c>
      <c r="I4" s="120">
        <f>H4*75*12+(G4*0.3*37)</f>
        <v>40821000</v>
      </c>
      <c r="J4" s="120">
        <f>I4*0.15+0.15*(G4*0.9*148*12)</f>
        <v>32496750</v>
      </c>
      <c r="K4" s="121" t="s">
        <v>195</v>
      </c>
      <c r="L4" s="324" t="s">
        <v>198</v>
      </c>
      <c r="M4" s="122" t="s">
        <v>144</v>
      </c>
      <c r="N4" s="117"/>
      <c r="O4" s="38">
        <v>0</v>
      </c>
      <c r="P4" s="38">
        <v>0</v>
      </c>
      <c r="Q4" s="38">
        <v>0</v>
      </c>
      <c r="R4" s="311" t="s">
        <v>205</v>
      </c>
      <c r="S4" s="12" t="s">
        <v>166</v>
      </c>
      <c r="T4" s="12" t="s">
        <v>162</v>
      </c>
      <c r="U4" s="12" t="s">
        <v>40</v>
      </c>
      <c r="V4" s="12" t="s">
        <v>33</v>
      </c>
      <c r="W4" s="12" t="s">
        <v>104</v>
      </c>
      <c r="X4" s="123" t="s">
        <v>158</v>
      </c>
    </row>
    <row r="5" spans="1:24" s="26" customFormat="1" ht="73.5" customHeight="1" x14ac:dyDescent="0.2">
      <c r="A5" s="310"/>
      <c r="B5" s="117" t="s">
        <v>139</v>
      </c>
      <c r="C5" s="318"/>
      <c r="D5" s="117" t="s">
        <v>173</v>
      </c>
      <c r="E5" s="118" t="s">
        <v>192</v>
      </c>
      <c r="F5" s="321"/>
      <c r="G5" s="119">
        <v>40000</v>
      </c>
      <c r="H5" s="119">
        <f>G5*0.4</f>
        <v>16000</v>
      </c>
      <c r="I5" s="120">
        <f>H5*350</f>
        <v>5600000</v>
      </c>
      <c r="J5" s="120">
        <f>I5*0.15+0.15*(G5*0.9*148*12)</f>
        <v>10430400</v>
      </c>
      <c r="K5" s="324" t="s">
        <v>206</v>
      </c>
      <c r="L5" s="325"/>
      <c r="M5" s="327" t="s">
        <v>145</v>
      </c>
      <c r="N5" s="117"/>
      <c r="O5" s="124">
        <v>0.25</v>
      </c>
      <c r="P5" s="56" t="s">
        <v>140</v>
      </c>
      <c r="Q5" s="75">
        <v>0</v>
      </c>
      <c r="R5" s="312"/>
      <c r="S5" s="75" t="s">
        <v>207</v>
      </c>
      <c r="T5" s="15" t="s">
        <v>41</v>
      </c>
      <c r="U5" s="12" t="s">
        <v>52</v>
      </c>
      <c r="V5" s="16" t="s">
        <v>31</v>
      </c>
      <c r="W5" s="12" t="s">
        <v>89</v>
      </c>
      <c r="X5" s="16" t="s">
        <v>159</v>
      </c>
    </row>
    <row r="6" spans="1:24" s="26" customFormat="1" ht="73.5" customHeight="1" x14ac:dyDescent="0.2">
      <c r="A6" s="310"/>
      <c r="B6" s="125" t="s">
        <v>142</v>
      </c>
      <c r="C6" s="319"/>
      <c r="D6" s="117" t="s">
        <v>173</v>
      </c>
      <c r="E6" s="118" t="s">
        <v>193</v>
      </c>
      <c r="F6" s="322"/>
      <c r="G6" s="119">
        <v>70000</v>
      </c>
      <c r="H6" s="119">
        <f>G6*0.4</f>
        <v>28000</v>
      </c>
      <c r="I6" s="120">
        <f>H6*350</f>
        <v>9800000</v>
      </c>
      <c r="J6" s="120">
        <f>I6*0.15+0.15*(G6*0.9*148*12)</f>
        <v>18253200</v>
      </c>
      <c r="K6" s="326"/>
      <c r="L6" s="326"/>
      <c r="M6" s="328"/>
      <c r="N6" s="125"/>
      <c r="O6" s="126">
        <v>0.25</v>
      </c>
      <c r="P6" s="56" t="s">
        <v>141</v>
      </c>
      <c r="Q6" s="75">
        <v>0</v>
      </c>
      <c r="R6" s="313"/>
      <c r="S6" s="75" t="s">
        <v>207</v>
      </c>
      <c r="T6" s="15" t="s">
        <v>41</v>
      </c>
      <c r="U6" s="12" t="s">
        <v>52</v>
      </c>
      <c r="V6" s="16" t="s">
        <v>31</v>
      </c>
      <c r="W6" s="12" t="s">
        <v>89</v>
      </c>
      <c r="X6" s="16" t="s">
        <v>159</v>
      </c>
    </row>
    <row r="7" spans="1:24" ht="171" x14ac:dyDescent="0.2">
      <c r="A7" s="85" t="s">
        <v>136</v>
      </c>
      <c r="B7" s="80" t="s">
        <v>113</v>
      </c>
      <c r="C7" s="84" t="s">
        <v>187</v>
      </c>
      <c r="D7" s="78" t="s">
        <v>189</v>
      </c>
      <c r="E7" s="108" t="s">
        <v>194</v>
      </c>
      <c r="F7" s="92" t="s">
        <v>182</v>
      </c>
      <c r="G7" s="93">
        <v>105000</v>
      </c>
      <c r="H7" s="86">
        <f>G7*0.12</f>
        <v>12600</v>
      </c>
      <c r="I7" s="87">
        <f>H7*(15+20)*12*12.9</f>
        <v>68266800</v>
      </c>
      <c r="J7" s="83">
        <f>I7*0.15+0.15*(G7*0.9*148*12)</f>
        <v>35414820</v>
      </c>
      <c r="K7" s="98" t="s">
        <v>197</v>
      </c>
      <c r="L7" s="78" t="s">
        <v>199</v>
      </c>
      <c r="M7" s="99" t="s">
        <v>148</v>
      </c>
      <c r="N7" s="80"/>
      <c r="O7" s="13">
        <v>0.33</v>
      </c>
      <c r="P7" s="56" t="s">
        <v>143</v>
      </c>
      <c r="Q7" s="14" t="s">
        <v>103</v>
      </c>
      <c r="R7" s="14" t="s">
        <v>165</v>
      </c>
      <c r="S7" s="15" t="s">
        <v>90</v>
      </c>
      <c r="T7" s="15" t="s">
        <v>51</v>
      </c>
      <c r="U7" s="12" t="s">
        <v>52</v>
      </c>
      <c r="V7" s="16" t="s">
        <v>54</v>
      </c>
      <c r="W7" s="17" t="s">
        <v>59</v>
      </c>
      <c r="X7" s="18" t="s">
        <v>55</v>
      </c>
    </row>
    <row r="8" spans="1:24" ht="157.5" thickBot="1" x14ac:dyDescent="0.25">
      <c r="A8" s="85" t="s">
        <v>100</v>
      </c>
      <c r="B8" s="81" t="s">
        <v>114</v>
      </c>
      <c r="C8" s="97" t="s">
        <v>188</v>
      </c>
      <c r="D8" s="90" t="s">
        <v>190</v>
      </c>
      <c r="E8" s="109" t="s">
        <v>202</v>
      </c>
      <c r="F8" s="91" t="s">
        <v>181</v>
      </c>
      <c r="G8" s="96">
        <v>80000</v>
      </c>
      <c r="H8" s="95">
        <f>G8*0.12</f>
        <v>9600</v>
      </c>
      <c r="I8" s="89">
        <f>H8*50*12</f>
        <v>5760000</v>
      </c>
      <c r="J8" s="83">
        <f>I8*0.15+0.15*(G8*0.9*148*12)</f>
        <v>20044800</v>
      </c>
      <c r="K8" s="82" t="s">
        <v>196</v>
      </c>
      <c r="L8" s="82" t="s">
        <v>200</v>
      </c>
      <c r="M8" s="100" t="s">
        <v>147</v>
      </c>
      <c r="N8" s="81"/>
      <c r="O8" s="28">
        <v>0.33</v>
      </c>
      <c r="P8" s="57" t="s">
        <v>143</v>
      </c>
      <c r="Q8" s="28" t="s">
        <v>28</v>
      </c>
      <c r="R8" s="28" t="s">
        <v>60</v>
      </c>
      <c r="S8" s="29" t="s">
        <v>62</v>
      </c>
      <c r="T8" s="30" t="s">
        <v>61</v>
      </c>
      <c r="U8" s="31" t="s">
        <v>94</v>
      </c>
      <c r="V8" s="32" t="s">
        <v>95</v>
      </c>
      <c r="W8" s="31" t="s">
        <v>106</v>
      </c>
      <c r="X8" s="33" t="s">
        <v>55</v>
      </c>
    </row>
    <row r="9" spans="1:24" x14ac:dyDescent="0.2">
      <c r="F9" s="91" t="s">
        <v>183</v>
      </c>
      <c r="H9" s="94">
        <f>SUM(G4:G8)*148+G4*75+(H5+H6)*350+H7*35*12*12.9</f>
        <v>151856800</v>
      </c>
      <c r="I9" s="88">
        <f>SUM(I4:I8)</f>
        <v>130247800</v>
      </c>
      <c r="J9" s="88">
        <f>SUM(J4:J8)</f>
        <v>116639970</v>
      </c>
    </row>
    <row r="10" spans="1:24" x14ac:dyDescent="0.2">
      <c r="H10" t="s">
        <v>175</v>
      </c>
      <c r="I10" s="323">
        <f>I9+J9</f>
        <v>246887770</v>
      </c>
      <c r="J10" s="323"/>
    </row>
  </sheetData>
  <mergeCells count="14">
    <mergeCell ref="I10:J10"/>
    <mergeCell ref="L4:L6"/>
    <mergeCell ref="M5:M6"/>
    <mergeCell ref="K5:K6"/>
    <mergeCell ref="O2:P2"/>
    <mergeCell ref="Q2:R2"/>
    <mergeCell ref="S2:T2"/>
    <mergeCell ref="U2:X2"/>
    <mergeCell ref="A4:A6"/>
    <mergeCell ref="R4:R6"/>
    <mergeCell ref="C2:J2"/>
    <mergeCell ref="C4:C6"/>
    <mergeCell ref="K2:L2"/>
    <mergeCell ref="F4:F6"/>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9"/>
  <sheetViews>
    <sheetView rightToLeft="1" topLeftCell="D1" workbookViewId="0">
      <selection activeCell="B2" sqref="B2:J9"/>
    </sheetView>
  </sheetViews>
  <sheetFormatPr defaultRowHeight="14.25" x14ac:dyDescent="0.2"/>
  <cols>
    <col min="2" max="2" width="7.5" customWidth="1"/>
    <col min="3" max="3" width="23.75" customWidth="1"/>
    <col min="4" max="4" width="27.875" customWidth="1"/>
    <col min="5" max="5" width="14.125" customWidth="1"/>
    <col min="6" max="6" width="12.875" customWidth="1"/>
    <col min="7" max="7" width="19" customWidth="1"/>
    <col min="8" max="8" width="23.875" customWidth="1"/>
    <col min="9" max="9" width="22.875" customWidth="1"/>
    <col min="10" max="10" width="15.625" customWidth="1"/>
  </cols>
  <sheetData>
    <row r="2" spans="2:10" ht="45" x14ac:dyDescent="0.2">
      <c r="B2" s="85" t="s">
        <v>261</v>
      </c>
      <c r="C2" s="85" t="s">
        <v>287</v>
      </c>
      <c r="D2" s="202" t="s">
        <v>289</v>
      </c>
      <c r="E2" s="202" t="s">
        <v>285</v>
      </c>
      <c r="F2" s="202" t="s">
        <v>272</v>
      </c>
      <c r="G2" s="85" t="s">
        <v>288</v>
      </c>
      <c r="H2" s="85" t="s">
        <v>266</v>
      </c>
      <c r="I2" s="85" t="s">
        <v>264</v>
      </c>
      <c r="J2" s="85" t="s">
        <v>265</v>
      </c>
    </row>
    <row r="3" spans="2:10" ht="48.75" customHeight="1" x14ac:dyDescent="0.2">
      <c r="B3" s="155">
        <v>0</v>
      </c>
      <c r="C3" s="204" t="s">
        <v>297</v>
      </c>
      <c r="D3" s="203" t="s">
        <v>258</v>
      </c>
      <c r="E3" s="203" t="s">
        <v>260</v>
      </c>
      <c r="F3" s="203" t="s">
        <v>260</v>
      </c>
      <c r="G3" s="204" t="s">
        <v>270</v>
      </c>
      <c r="H3" s="210" t="s">
        <v>290</v>
      </c>
      <c r="I3" s="203" t="s">
        <v>260</v>
      </c>
      <c r="J3" s="332" t="s">
        <v>242</v>
      </c>
    </row>
    <row r="4" spans="2:10" ht="111.75" customHeight="1" x14ac:dyDescent="0.2">
      <c r="B4" s="205">
        <v>1</v>
      </c>
      <c r="C4" s="197" t="s">
        <v>293</v>
      </c>
      <c r="D4" s="208" t="s">
        <v>298</v>
      </c>
      <c r="E4" s="206">
        <f>4/22</f>
        <v>0.18181818181818182</v>
      </c>
      <c r="F4" s="211" t="s">
        <v>286</v>
      </c>
      <c r="G4" s="209" t="s">
        <v>294</v>
      </c>
      <c r="H4" s="210" t="s">
        <v>290</v>
      </c>
      <c r="I4" s="12" t="s">
        <v>267</v>
      </c>
      <c r="J4" s="332"/>
    </row>
    <row r="5" spans="2:10" ht="105.75" customHeight="1" x14ac:dyDescent="0.2">
      <c r="B5" s="155">
        <v>2</v>
      </c>
      <c r="C5" s="197" t="s">
        <v>295</v>
      </c>
      <c r="D5" s="208" t="s">
        <v>291</v>
      </c>
      <c r="E5" s="207">
        <f>6/40</f>
        <v>0.15</v>
      </c>
      <c r="F5" s="211" t="s">
        <v>286</v>
      </c>
      <c r="G5" s="209" t="s">
        <v>294</v>
      </c>
      <c r="H5" s="210" t="s">
        <v>290</v>
      </c>
      <c r="I5" s="12" t="s">
        <v>268</v>
      </c>
      <c r="J5" s="332"/>
    </row>
    <row r="6" spans="2:10" ht="15" customHeight="1" x14ac:dyDescent="0.2">
      <c r="B6" s="329" t="s">
        <v>284</v>
      </c>
      <c r="C6" s="333" t="s">
        <v>296</v>
      </c>
      <c r="D6" s="335"/>
      <c r="E6" s="335"/>
      <c r="F6" s="211" t="s">
        <v>286</v>
      </c>
      <c r="G6" s="335"/>
      <c r="H6" s="335"/>
      <c r="I6" s="332" t="s">
        <v>269</v>
      </c>
      <c r="J6" s="332"/>
    </row>
    <row r="7" spans="2:10" ht="15" customHeight="1" x14ac:dyDescent="0.2">
      <c r="B7" s="330"/>
      <c r="C7" s="334"/>
      <c r="D7" s="336"/>
      <c r="E7" s="336"/>
      <c r="F7" s="211" t="s">
        <v>286</v>
      </c>
      <c r="G7" s="336"/>
      <c r="H7" s="336"/>
      <c r="I7" s="332"/>
      <c r="J7" s="332"/>
    </row>
    <row r="8" spans="2:10" ht="15" customHeight="1" x14ac:dyDescent="0.2">
      <c r="B8" s="330"/>
      <c r="C8" s="334"/>
      <c r="D8" s="336"/>
      <c r="E8" s="336"/>
      <c r="F8" s="211" t="s">
        <v>286</v>
      </c>
      <c r="G8" s="336"/>
      <c r="H8" s="336"/>
      <c r="I8" s="332"/>
      <c r="J8" s="332"/>
    </row>
    <row r="9" spans="2:10" ht="27" customHeight="1" x14ac:dyDescent="0.2">
      <c r="B9" s="331"/>
      <c r="C9" s="334"/>
      <c r="D9" s="337"/>
      <c r="E9" s="337"/>
      <c r="F9" s="211" t="s">
        <v>286</v>
      </c>
      <c r="G9" s="337"/>
      <c r="H9" s="337"/>
      <c r="I9" s="332"/>
      <c r="J9" s="332"/>
    </row>
  </sheetData>
  <mergeCells count="8">
    <mergeCell ref="B6:B9"/>
    <mergeCell ref="J3:J9"/>
    <mergeCell ref="C6:C9"/>
    <mergeCell ref="I6:I9"/>
    <mergeCell ref="D6:D9"/>
    <mergeCell ref="E6:E9"/>
    <mergeCell ref="G6:G9"/>
    <mergeCell ref="H6:H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21"/>
  <sheetViews>
    <sheetView rightToLeft="1" topLeftCell="A7" zoomScale="90" zoomScaleNormal="90" workbookViewId="0">
      <selection activeCell="E11" sqref="E11"/>
    </sheetView>
  </sheetViews>
  <sheetFormatPr defaultRowHeight="14.25" x14ac:dyDescent="0.2"/>
  <cols>
    <col min="1" max="1" width="4.375" customWidth="1"/>
    <col min="2" max="2" width="7.625" customWidth="1"/>
    <col min="3" max="3" width="5.875" customWidth="1"/>
    <col min="4" max="4" width="18.25" customWidth="1"/>
    <col min="5" max="5" width="28.625" customWidth="1"/>
    <col min="6" max="6" width="3.75" customWidth="1"/>
    <col min="7" max="7" width="9.75" customWidth="1"/>
    <col min="8" max="8" width="12.5" hidden="1" customWidth="1"/>
    <col min="9" max="9" width="20.125" customWidth="1"/>
    <col min="10" max="10" width="14" hidden="1" customWidth="1"/>
    <col min="11" max="11" width="15.5" customWidth="1"/>
    <col min="12" max="12" width="14.75" customWidth="1"/>
    <col min="13" max="13" width="17" customWidth="1"/>
    <col min="14" max="14" width="12.625" customWidth="1"/>
  </cols>
  <sheetData>
    <row r="2" spans="2:14" ht="65.25" customHeight="1" x14ac:dyDescent="0.2">
      <c r="B2" s="218" t="s">
        <v>261</v>
      </c>
      <c r="C2" s="218"/>
      <c r="D2" s="218" t="s">
        <v>308</v>
      </c>
      <c r="E2" s="219" t="s">
        <v>305</v>
      </c>
      <c r="F2" s="349" t="s">
        <v>317</v>
      </c>
      <c r="G2" s="349"/>
      <c r="H2" s="219" t="s">
        <v>321</v>
      </c>
      <c r="I2" s="219" t="s">
        <v>318</v>
      </c>
      <c r="J2" s="219" t="s">
        <v>323</v>
      </c>
      <c r="K2" s="218" t="s">
        <v>307</v>
      </c>
      <c r="L2" s="223" t="s">
        <v>319</v>
      </c>
      <c r="M2" s="218" t="s">
        <v>264</v>
      </c>
      <c r="N2" s="218" t="s">
        <v>265</v>
      </c>
    </row>
    <row r="3" spans="2:14" ht="66.75" customHeight="1" x14ac:dyDescent="0.2">
      <c r="B3" s="294" t="s">
        <v>392</v>
      </c>
      <c r="C3" s="213"/>
      <c r="D3" s="214" t="s">
        <v>292</v>
      </c>
      <c r="E3" s="224" t="s">
        <v>260</v>
      </c>
      <c r="F3" s="383" t="s">
        <v>260</v>
      </c>
      <c r="G3" s="383"/>
      <c r="H3" s="234"/>
      <c r="I3" s="225" t="s">
        <v>320</v>
      </c>
      <c r="J3" s="225" t="s">
        <v>258</v>
      </c>
      <c r="K3" s="221" t="s">
        <v>303</v>
      </c>
      <c r="L3" s="380" t="s">
        <v>313</v>
      </c>
      <c r="M3" s="224" t="s">
        <v>260</v>
      </c>
      <c r="N3" s="377" t="s">
        <v>309</v>
      </c>
    </row>
    <row r="4" spans="2:14" ht="90" customHeight="1" x14ac:dyDescent="0.2">
      <c r="B4" s="363">
        <v>1</v>
      </c>
      <c r="C4" s="238" t="s">
        <v>324</v>
      </c>
      <c r="D4" s="239" t="s">
        <v>326</v>
      </c>
      <c r="E4" s="240" t="s">
        <v>338</v>
      </c>
      <c r="F4" s="361">
        <f>2/22</f>
        <v>9.0909090909090912E-2</v>
      </c>
      <c r="G4" s="362"/>
      <c r="H4" s="235"/>
      <c r="I4" s="387" t="s">
        <v>330</v>
      </c>
      <c r="J4" s="236"/>
      <c r="K4" s="390" t="s">
        <v>314</v>
      </c>
      <c r="L4" s="381"/>
      <c r="M4" s="395" t="s">
        <v>310</v>
      </c>
      <c r="N4" s="378"/>
    </row>
    <row r="5" spans="2:14" ht="48" customHeight="1" x14ac:dyDescent="0.2">
      <c r="B5" s="364"/>
      <c r="C5" s="241"/>
      <c r="D5" s="242" t="s">
        <v>299</v>
      </c>
      <c r="E5" s="355" t="s">
        <v>348</v>
      </c>
      <c r="F5" s="384">
        <f>4/22</f>
        <v>0.18181818181818182</v>
      </c>
      <c r="G5" s="384"/>
      <c r="H5" s="410" t="s">
        <v>322</v>
      </c>
      <c r="I5" s="388"/>
      <c r="J5" s="412">
        <f>6/22</f>
        <v>0.27272727272727271</v>
      </c>
      <c r="K5" s="391"/>
      <c r="L5" s="381"/>
      <c r="M5" s="396"/>
      <c r="N5" s="378"/>
    </row>
    <row r="6" spans="2:14" ht="54.75" customHeight="1" x14ac:dyDescent="0.2">
      <c r="B6" s="364"/>
      <c r="C6" s="241"/>
      <c r="D6" s="242" t="s">
        <v>292</v>
      </c>
      <c r="E6" s="356"/>
      <c r="F6" s="384"/>
      <c r="G6" s="384"/>
      <c r="H6" s="411"/>
      <c r="I6" s="388"/>
      <c r="J6" s="413"/>
      <c r="K6" s="391"/>
      <c r="L6" s="381"/>
      <c r="M6" s="396"/>
      <c r="N6" s="378"/>
    </row>
    <row r="7" spans="2:14" ht="59.25" customHeight="1" x14ac:dyDescent="0.2">
      <c r="B7" s="365"/>
      <c r="C7" s="222" t="s">
        <v>315</v>
      </c>
      <c r="D7" s="212" t="s">
        <v>341</v>
      </c>
      <c r="E7" s="215" t="s">
        <v>332</v>
      </c>
      <c r="F7" s="351">
        <f>6/22</f>
        <v>0.27272727272727271</v>
      </c>
      <c r="G7" s="351"/>
      <c r="H7" s="233"/>
      <c r="I7" s="389"/>
      <c r="J7" s="226"/>
      <c r="K7" s="391"/>
      <c r="L7" s="381"/>
      <c r="M7" s="397"/>
      <c r="N7" s="378"/>
    </row>
    <row r="8" spans="2:14" ht="91.5" customHeight="1" x14ac:dyDescent="0.2">
      <c r="B8" s="366">
        <v>2</v>
      </c>
      <c r="C8" s="243" t="s">
        <v>324</v>
      </c>
      <c r="D8" s="237" t="s">
        <v>325</v>
      </c>
      <c r="E8" s="244" t="s">
        <v>327</v>
      </c>
      <c r="F8" s="393">
        <f>4/40</f>
        <v>0.1</v>
      </c>
      <c r="G8" s="394"/>
      <c r="H8" s="233"/>
      <c r="I8" s="407" t="s">
        <v>331</v>
      </c>
      <c r="J8" s="226"/>
      <c r="K8" s="391"/>
      <c r="L8" s="381"/>
      <c r="M8" s="398" t="s">
        <v>311</v>
      </c>
      <c r="N8" s="378"/>
    </row>
    <row r="9" spans="2:14" ht="63" customHeight="1" x14ac:dyDescent="0.2">
      <c r="B9" s="367"/>
      <c r="C9" s="245"/>
      <c r="D9" s="237" t="s">
        <v>304</v>
      </c>
      <c r="E9" s="244" t="s">
        <v>328</v>
      </c>
      <c r="F9" s="357">
        <f>6/40</f>
        <v>0.15</v>
      </c>
      <c r="G9" s="358"/>
      <c r="H9" s="230"/>
      <c r="I9" s="408"/>
      <c r="J9" s="229"/>
      <c r="K9" s="391"/>
      <c r="L9" s="381"/>
      <c r="M9" s="399"/>
      <c r="N9" s="378"/>
    </row>
    <row r="10" spans="2:14" ht="52.5" customHeight="1" x14ac:dyDescent="0.2">
      <c r="B10" s="367"/>
      <c r="C10" s="245"/>
      <c r="D10" s="237" t="s">
        <v>329</v>
      </c>
      <c r="E10" s="244" t="s">
        <v>300</v>
      </c>
      <c r="F10" s="359"/>
      <c r="G10" s="360"/>
      <c r="H10" s="230"/>
      <c r="I10" s="408"/>
      <c r="J10" s="229"/>
      <c r="K10" s="391"/>
      <c r="L10" s="381"/>
      <c r="M10" s="399"/>
      <c r="N10" s="378"/>
    </row>
    <row r="11" spans="2:14" ht="76.5" customHeight="1" x14ac:dyDescent="0.2">
      <c r="B11" s="368"/>
      <c r="C11" s="10" t="s">
        <v>315</v>
      </c>
      <c r="D11" s="216" t="s">
        <v>334</v>
      </c>
      <c r="E11" s="217" t="s">
        <v>316</v>
      </c>
      <c r="F11" s="375">
        <f t="shared" ref="F11" si="0">6/40</f>
        <v>0.15</v>
      </c>
      <c r="G11" s="376"/>
      <c r="H11" s="228"/>
      <c r="I11" s="409"/>
      <c r="J11" s="227"/>
      <c r="K11" s="391"/>
      <c r="L11" s="381"/>
      <c r="M11" s="400"/>
      <c r="N11" s="378"/>
    </row>
    <row r="12" spans="2:14" ht="96.75" customHeight="1" x14ac:dyDescent="0.2">
      <c r="B12" s="338" t="s">
        <v>337</v>
      </c>
      <c r="C12" s="246" t="s">
        <v>324</v>
      </c>
      <c r="D12" s="247" t="s">
        <v>333</v>
      </c>
      <c r="E12" s="248" t="s">
        <v>336</v>
      </c>
      <c r="F12" s="341">
        <v>0.08</v>
      </c>
      <c r="G12" s="342"/>
      <c r="H12" s="249"/>
      <c r="I12" s="401" t="s">
        <v>339</v>
      </c>
      <c r="J12" s="227"/>
      <c r="K12" s="391"/>
      <c r="L12" s="381"/>
      <c r="M12" s="404" t="s">
        <v>312</v>
      </c>
      <c r="N12" s="378"/>
    </row>
    <row r="13" spans="2:14" ht="26.25" customHeight="1" x14ac:dyDescent="0.2">
      <c r="B13" s="339"/>
      <c r="C13" s="385"/>
      <c r="D13" s="353" t="s">
        <v>301</v>
      </c>
      <c r="E13" s="354" t="s">
        <v>335</v>
      </c>
      <c r="F13" s="343">
        <v>0.12</v>
      </c>
      <c r="G13" s="344"/>
      <c r="H13" s="250"/>
      <c r="I13" s="402"/>
      <c r="J13" s="232"/>
      <c r="K13" s="391"/>
      <c r="L13" s="381"/>
      <c r="M13" s="405"/>
      <c r="N13" s="378"/>
    </row>
    <row r="14" spans="2:14" ht="16.5" customHeight="1" x14ac:dyDescent="0.2">
      <c r="B14" s="339"/>
      <c r="C14" s="385"/>
      <c r="D14" s="353"/>
      <c r="E14" s="354"/>
      <c r="F14" s="345"/>
      <c r="G14" s="346"/>
      <c r="H14" s="250"/>
      <c r="I14" s="402"/>
      <c r="J14" s="232"/>
      <c r="K14" s="391"/>
      <c r="L14" s="381"/>
      <c r="M14" s="405"/>
      <c r="N14" s="378"/>
    </row>
    <row r="15" spans="2:14" ht="17.25" customHeight="1" x14ac:dyDescent="0.2">
      <c r="B15" s="339"/>
      <c r="C15" s="385"/>
      <c r="D15" s="353"/>
      <c r="E15" s="354"/>
      <c r="F15" s="345"/>
      <c r="G15" s="346"/>
      <c r="H15" s="250"/>
      <c r="I15" s="402"/>
      <c r="J15" s="232"/>
      <c r="K15" s="391"/>
      <c r="L15" s="381"/>
      <c r="M15" s="405"/>
      <c r="N15" s="378"/>
    </row>
    <row r="16" spans="2:14" ht="18.75" customHeight="1" x14ac:dyDescent="0.2">
      <c r="B16" s="339"/>
      <c r="C16" s="385"/>
      <c r="D16" s="353"/>
      <c r="E16" s="354"/>
      <c r="F16" s="347"/>
      <c r="G16" s="348"/>
      <c r="H16" s="250"/>
      <c r="I16" s="402"/>
      <c r="J16" s="232"/>
      <c r="K16" s="391"/>
      <c r="L16" s="381"/>
      <c r="M16" s="405"/>
      <c r="N16" s="378"/>
    </row>
    <row r="17" spans="2:14" ht="20.25" customHeight="1" x14ac:dyDescent="0.2">
      <c r="B17" s="339"/>
      <c r="C17" s="386" t="s">
        <v>315</v>
      </c>
      <c r="D17" s="350" t="s">
        <v>340</v>
      </c>
      <c r="E17" s="352" t="s">
        <v>302</v>
      </c>
      <c r="F17" s="369">
        <f>11/(21*4)</f>
        <v>0.13095238095238096</v>
      </c>
      <c r="G17" s="370"/>
      <c r="H17" s="220"/>
      <c r="I17" s="402"/>
      <c r="J17" s="231"/>
      <c r="K17" s="391"/>
      <c r="L17" s="381"/>
      <c r="M17" s="405"/>
      <c r="N17" s="378"/>
    </row>
    <row r="18" spans="2:14" ht="19.5" customHeight="1" x14ac:dyDescent="0.2">
      <c r="B18" s="339"/>
      <c r="C18" s="386"/>
      <c r="D18" s="350"/>
      <c r="E18" s="352"/>
      <c r="F18" s="371"/>
      <c r="G18" s="372"/>
      <c r="H18" s="220"/>
      <c r="I18" s="402"/>
      <c r="J18" s="231"/>
      <c r="K18" s="391"/>
      <c r="L18" s="381"/>
      <c r="M18" s="405"/>
      <c r="N18" s="378"/>
    </row>
    <row r="19" spans="2:14" ht="15" customHeight="1" x14ac:dyDescent="0.2">
      <c r="B19" s="339"/>
      <c r="C19" s="386"/>
      <c r="D19" s="350"/>
      <c r="E19" s="352"/>
      <c r="F19" s="371"/>
      <c r="G19" s="372"/>
      <c r="H19" s="220"/>
      <c r="I19" s="402"/>
      <c r="J19" s="231"/>
      <c r="K19" s="391"/>
      <c r="L19" s="381"/>
      <c r="M19" s="405"/>
      <c r="N19" s="378"/>
    </row>
    <row r="20" spans="2:14" ht="25.5" customHeight="1" x14ac:dyDescent="0.2">
      <c r="B20" s="340"/>
      <c r="C20" s="386"/>
      <c r="D20" s="350"/>
      <c r="E20" s="352"/>
      <c r="F20" s="373"/>
      <c r="G20" s="374"/>
      <c r="H20" s="220"/>
      <c r="I20" s="403"/>
      <c r="J20" s="231"/>
      <c r="K20" s="392"/>
      <c r="L20" s="382"/>
      <c r="M20" s="406"/>
      <c r="N20" s="379"/>
    </row>
    <row r="21" spans="2:14" x14ac:dyDescent="0.2">
      <c r="I21" t="s">
        <v>306</v>
      </c>
    </row>
  </sheetData>
  <mergeCells count="32">
    <mergeCell ref="N3:N20"/>
    <mergeCell ref="L3:L20"/>
    <mergeCell ref="F3:G3"/>
    <mergeCell ref="F5:G6"/>
    <mergeCell ref="C13:C16"/>
    <mergeCell ref="C17:C20"/>
    <mergeCell ref="I4:I7"/>
    <mergeCell ref="K4:K20"/>
    <mergeCell ref="F8:G8"/>
    <mergeCell ref="M4:M7"/>
    <mergeCell ref="M8:M11"/>
    <mergeCell ref="I12:I20"/>
    <mergeCell ref="M12:M20"/>
    <mergeCell ref="I8:I11"/>
    <mergeCell ref="H5:H6"/>
    <mergeCell ref="J5:J6"/>
    <mergeCell ref="B12:B20"/>
    <mergeCell ref="F12:G12"/>
    <mergeCell ref="F13:G16"/>
    <mergeCell ref="F2:G2"/>
    <mergeCell ref="D17:D20"/>
    <mergeCell ref="F7:G7"/>
    <mergeCell ref="E17:E20"/>
    <mergeCell ref="D13:D16"/>
    <mergeCell ref="E13:E16"/>
    <mergeCell ref="E5:E6"/>
    <mergeCell ref="F9:G10"/>
    <mergeCell ref="F4:G4"/>
    <mergeCell ref="B4:B7"/>
    <mergeCell ref="B8:B11"/>
    <mergeCell ref="F17:G20"/>
    <mergeCell ref="F11:G1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11"/>
  <sheetViews>
    <sheetView rightToLeft="1" zoomScale="90" zoomScaleNormal="90" workbookViewId="0">
      <selection activeCell="D10" sqref="D10"/>
    </sheetView>
  </sheetViews>
  <sheetFormatPr defaultRowHeight="14.25" x14ac:dyDescent="0.2"/>
  <cols>
    <col min="1" max="1" width="7.625" customWidth="1"/>
    <col min="2" max="2" width="5.875" customWidth="1"/>
    <col min="3" max="3" width="18.25" customWidth="1"/>
    <col min="4" max="4" width="29.875" customWidth="1"/>
    <col min="5" max="5" width="3.75" customWidth="1"/>
    <col min="6" max="6" width="9.75" customWidth="1"/>
    <col min="7" max="7" width="0" hidden="1" customWidth="1"/>
    <col min="8" max="8" width="20.125" customWidth="1"/>
    <col min="9" max="9" width="0" hidden="1" customWidth="1"/>
    <col min="10" max="10" width="15.5" customWidth="1"/>
    <col min="11" max="11" width="14.75" customWidth="1"/>
    <col min="12" max="12" width="17" customWidth="1"/>
  </cols>
  <sheetData>
    <row r="2" spans="1:12" ht="63" customHeight="1" x14ac:dyDescent="0.2">
      <c r="A2" s="218" t="s">
        <v>261</v>
      </c>
      <c r="B2" s="218"/>
      <c r="C2" s="218" t="s">
        <v>394</v>
      </c>
      <c r="D2" s="219" t="s">
        <v>305</v>
      </c>
      <c r="E2" s="349" t="s">
        <v>317</v>
      </c>
      <c r="F2" s="349"/>
      <c r="G2" s="219" t="s">
        <v>321</v>
      </c>
      <c r="H2" s="219" t="s">
        <v>318</v>
      </c>
      <c r="I2" s="219" t="s">
        <v>323</v>
      </c>
      <c r="J2" s="218" t="s">
        <v>307</v>
      </c>
      <c r="K2" s="223" t="s">
        <v>319</v>
      </c>
      <c r="L2" s="218" t="s">
        <v>393</v>
      </c>
    </row>
    <row r="3" spans="1:12" ht="72.75" customHeight="1" x14ac:dyDescent="0.2">
      <c r="A3" s="294" t="s">
        <v>392</v>
      </c>
      <c r="B3" s="213"/>
      <c r="C3" s="214" t="s">
        <v>292</v>
      </c>
      <c r="D3" s="224" t="s">
        <v>260</v>
      </c>
      <c r="E3" s="383" t="s">
        <v>260</v>
      </c>
      <c r="F3" s="383"/>
      <c r="G3" s="234"/>
      <c r="H3" s="225" t="s">
        <v>320</v>
      </c>
      <c r="I3" s="225" t="s">
        <v>258</v>
      </c>
      <c r="J3" s="221" t="s">
        <v>303</v>
      </c>
      <c r="K3" s="414" t="s">
        <v>313</v>
      </c>
      <c r="L3" s="224" t="s">
        <v>260</v>
      </c>
    </row>
    <row r="4" spans="1:12" ht="75.75" customHeight="1" x14ac:dyDescent="0.2">
      <c r="A4" s="363">
        <v>1</v>
      </c>
      <c r="B4" s="238" t="s">
        <v>324</v>
      </c>
      <c r="C4" s="239" t="s">
        <v>326</v>
      </c>
      <c r="D4" s="240" t="s">
        <v>395</v>
      </c>
      <c r="E4" s="361">
        <f>2/22</f>
        <v>9.0909090909090912E-2</v>
      </c>
      <c r="F4" s="362"/>
      <c r="G4" s="235"/>
      <c r="H4" s="387" t="s">
        <v>398</v>
      </c>
      <c r="I4" s="236"/>
      <c r="J4" s="390" t="s">
        <v>314</v>
      </c>
      <c r="K4" s="415"/>
      <c r="L4" s="395" t="s">
        <v>396</v>
      </c>
    </row>
    <row r="5" spans="1:12" ht="25.5" x14ac:dyDescent="0.2">
      <c r="A5" s="364"/>
      <c r="B5" s="241"/>
      <c r="C5" s="242" t="s">
        <v>299</v>
      </c>
      <c r="D5" s="417" t="s">
        <v>348</v>
      </c>
      <c r="E5" s="384">
        <f>4/22</f>
        <v>0.18181818181818182</v>
      </c>
      <c r="F5" s="384"/>
      <c r="G5" s="410" t="s">
        <v>322</v>
      </c>
      <c r="H5" s="388"/>
      <c r="I5" s="412">
        <f>6/22</f>
        <v>0.27272727272727271</v>
      </c>
      <c r="J5" s="391"/>
      <c r="K5" s="415"/>
      <c r="L5" s="396"/>
    </row>
    <row r="6" spans="1:12" ht="27.75" customHeight="1" x14ac:dyDescent="0.2">
      <c r="A6" s="364"/>
      <c r="B6" s="241"/>
      <c r="C6" s="242" t="s">
        <v>292</v>
      </c>
      <c r="D6" s="418"/>
      <c r="E6" s="384"/>
      <c r="F6" s="384"/>
      <c r="G6" s="411"/>
      <c r="H6" s="388"/>
      <c r="I6" s="413"/>
      <c r="J6" s="391"/>
      <c r="K6" s="415"/>
      <c r="L6" s="396"/>
    </row>
    <row r="7" spans="1:12" ht="63.75" x14ac:dyDescent="0.2">
      <c r="A7" s="365"/>
      <c r="B7" s="222" t="s">
        <v>315</v>
      </c>
      <c r="C7" s="212" t="s">
        <v>341</v>
      </c>
      <c r="D7" s="215" t="s">
        <v>332</v>
      </c>
      <c r="E7" s="351">
        <f>6/22</f>
        <v>0.27272727272727271</v>
      </c>
      <c r="F7" s="351"/>
      <c r="G7" s="233"/>
      <c r="H7" s="389"/>
      <c r="I7" s="226"/>
      <c r="J7" s="391"/>
      <c r="K7" s="415"/>
      <c r="L7" s="397"/>
    </row>
    <row r="8" spans="1:12" ht="98.25" customHeight="1" x14ac:dyDescent="0.2">
      <c r="A8" s="366">
        <v>2</v>
      </c>
      <c r="B8" s="243" t="s">
        <v>324</v>
      </c>
      <c r="C8" s="237" t="s">
        <v>325</v>
      </c>
      <c r="D8" s="244" t="s">
        <v>400</v>
      </c>
      <c r="E8" s="393">
        <f>4/40</f>
        <v>0.1</v>
      </c>
      <c r="F8" s="394"/>
      <c r="G8" s="233"/>
      <c r="H8" s="407" t="s">
        <v>399</v>
      </c>
      <c r="I8" s="226"/>
      <c r="J8" s="391"/>
      <c r="K8" s="415"/>
      <c r="L8" s="398" t="s">
        <v>397</v>
      </c>
    </row>
    <row r="9" spans="1:12" ht="38.25" customHeight="1" x14ac:dyDescent="0.2">
      <c r="A9" s="367"/>
      <c r="B9" s="245"/>
      <c r="C9" s="237" t="s">
        <v>304</v>
      </c>
      <c r="D9" s="244" t="s">
        <v>328</v>
      </c>
      <c r="E9" s="357">
        <f>6/40</f>
        <v>0.15</v>
      </c>
      <c r="F9" s="358"/>
      <c r="G9" s="230"/>
      <c r="H9" s="408"/>
      <c r="I9" s="229"/>
      <c r="J9" s="391"/>
      <c r="K9" s="415"/>
      <c r="L9" s="399"/>
    </row>
    <row r="10" spans="1:12" ht="60" customHeight="1" x14ac:dyDescent="0.2">
      <c r="A10" s="367"/>
      <c r="B10" s="245"/>
      <c r="C10" s="237" t="s">
        <v>329</v>
      </c>
      <c r="D10" s="244" t="s">
        <v>300</v>
      </c>
      <c r="E10" s="359"/>
      <c r="F10" s="360"/>
      <c r="G10" s="230"/>
      <c r="H10" s="408"/>
      <c r="I10" s="229"/>
      <c r="J10" s="391"/>
      <c r="K10" s="415"/>
      <c r="L10" s="399"/>
    </row>
    <row r="11" spans="1:12" ht="63.75" x14ac:dyDescent="0.2">
      <c r="A11" s="368"/>
      <c r="B11" s="10" t="s">
        <v>315</v>
      </c>
      <c r="C11" s="216" t="s">
        <v>334</v>
      </c>
      <c r="D11" s="217" t="s">
        <v>316</v>
      </c>
      <c r="E11" s="375">
        <f t="shared" ref="E11" si="0">6/40</f>
        <v>0.15</v>
      </c>
      <c r="F11" s="376"/>
      <c r="G11" s="228"/>
      <c r="H11" s="409"/>
      <c r="I11" s="227"/>
      <c r="J11" s="392"/>
      <c r="K11" s="416"/>
      <c r="L11" s="400"/>
    </row>
  </sheetData>
  <mergeCells count="19">
    <mergeCell ref="A8:A11"/>
    <mergeCell ref="E8:F8"/>
    <mergeCell ref="H8:H11"/>
    <mergeCell ref="E2:F2"/>
    <mergeCell ref="E3:F3"/>
    <mergeCell ref="A4:A7"/>
    <mergeCell ref="E4:F4"/>
    <mergeCell ref="H4:H7"/>
    <mergeCell ref="D5:D6"/>
    <mergeCell ref="E5:F6"/>
    <mergeCell ref="G5:G6"/>
    <mergeCell ref="I5:I6"/>
    <mergeCell ref="E7:F7"/>
    <mergeCell ref="J4:J11"/>
    <mergeCell ref="K3:K11"/>
    <mergeCell ref="L8:L11"/>
    <mergeCell ref="E9:F10"/>
    <mergeCell ref="E11:F11"/>
    <mergeCell ref="L4:L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2"/>
  <sheetViews>
    <sheetView rightToLeft="1" workbookViewId="0">
      <selection activeCell="C2" sqref="C2"/>
    </sheetView>
  </sheetViews>
  <sheetFormatPr defaultRowHeight="14.25" x14ac:dyDescent="0.2"/>
  <cols>
    <col min="1" max="1" width="35.5" customWidth="1"/>
    <col min="2" max="2" width="14.375" customWidth="1"/>
    <col min="3" max="3" width="11.5" customWidth="1"/>
    <col min="7" max="7" width="12.125" customWidth="1"/>
    <col min="8" max="8" width="17.375" bestFit="1" customWidth="1"/>
    <col min="10" max="10" width="12.75" customWidth="1"/>
  </cols>
  <sheetData>
    <row r="1" spans="1:9" x14ac:dyDescent="0.2">
      <c r="A1" t="s">
        <v>261</v>
      </c>
      <c r="B1" s="262">
        <v>1</v>
      </c>
      <c r="C1" s="262">
        <v>2</v>
      </c>
      <c r="H1" t="s">
        <v>350</v>
      </c>
      <c r="I1" t="s">
        <v>351</v>
      </c>
    </row>
    <row r="2" spans="1:9" x14ac:dyDescent="0.2">
      <c r="A2" t="s">
        <v>342</v>
      </c>
      <c r="B2" s="263">
        <f>5.5*4.3</f>
        <v>23.65</v>
      </c>
      <c r="C2" s="262">
        <f>4.3*10</f>
        <v>43</v>
      </c>
      <c r="G2" t="s">
        <v>349</v>
      </c>
      <c r="H2">
        <v>2</v>
      </c>
      <c r="I2">
        <f>H2*60</f>
        <v>120</v>
      </c>
    </row>
    <row r="3" spans="1:9" x14ac:dyDescent="0.2">
      <c r="A3" t="s">
        <v>345</v>
      </c>
      <c r="B3" s="254">
        <f>B2*60</f>
        <v>1419</v>
      </c>
      <c r="C3" s="254">
        <f>C2*60</f>
        <v>2580</v>
      </c>
    </row>
    <row r="4" spans="1:9" x14ac:dyDescent="0.2">
      <c r="A4" t="s">
        <v>362</v>
      </c>
      <c r="B4" s="252">
        <f>4.3*0.5</f>
        <v>2.15</v>
      </c>
      <c r="C4" s="252">
        <f>4.3*0.5</f>
        <v>2.15</v>
      </c>
    </row>
    <row r="5" spans="1:9" x14ac:dyDescent="0.2">
      <c r="A5" t="s">
        <v>363</v>
      </c>
      <c r="B5" s="263">
        <f>B2*0.333</f>
        <v>7.8754499999999998</v>
      </c>
      <c r="C5" s="263">
        <f>C2*0.333</f>
        <v>14.319000000000001</v>
      </c>
    </row>
    <row r="6" spans="1:9" x14ac:dyDescent="0.2">
      <c r="A6" t="s">
        <v>23</v>
      </c>
      <c r="B6" s="263">
        <f>B5*60</f>
        <v>472.52699999999999</v>
      </c>
      <c r="C6" s="263">
        <f>C5*60</f>
        <v>859.1400000000001</v>
      </c>
    </row>
    <row r="7" spans="1:9" x14ac:dyDescent="0.2">
      <c r="A7" s="260" t="s">
        <v>364</v>
      </c>
      <c r="B7" s="263">
        <f>B5-B4</f>
        <v>5.7254500000000004</v>
      </c>
      <c r="C7" s="263">
        <f>C5-C4</f>
        <v>12.169</v>
      </c>
    </row>
    <row r="8" spans="1:9" x14ac:dyDescent="0.2">
      <c r="A8" s="260" t="s">
        <v>365</v>
      </c>
      <c r="B8" s="253">
        <f>B7*60</f>
        <v>343.52700000000004</v>
      </c>
      <c r="C8" s="253">
        <f>C7*60</f>
        <v>730.14</v>
      </c>
    </row>
    <row r="9" spans="1:9" ht="21" customHeight="1" x14ac:dyDescent="0.2">
      <c r="A9" s="261" t="s">
        <v>369</v>
      </c>
      <c r="B9" s="253">
        <v>60</v>
      </c>
      <c r="C9" s="253">
        <v>60</v>
      </c>
    </row>
    <row r="10" spans="1:9" x14ac:dyDescent="0.2">
      <c r="A10" s="260" t="s">
        <v>368</v>
      </c>
      <c r="B10" s="253">
        <f>B8-B9+B6</f>
        <v>756.05400000000009</v>
      </c>
      <c r="C10" s="253">
        <f>C8-C9+C6</f>
        <v>1529.2800000000002</v>
      </c>
    </row>
    <row r="11" spans="1:9" ht="21" customHeight="1" x14ac:dyDescent="0.2">
      <c r="A11" s="261" t="s">
        <v>371</v>
      </c>
      <c r="B11" s="253">
        <f>60*4.3</f>
        <v>258</v>
      </c>
      <c r="C11" s="253">
        <f>60*4.3</f>
        <v>258</v>
      </c>
    </row>
    <row r="12" spans="1:9" x14ac:dyDescent="0.2">
      <c r="A12" s="264" t="s">
        <v>366</v>
      </c>
      <c r="B12" s="265">
        <f>2*4.3*60</f>
        <v>516</v>
      </c>
      <c r="C12" s="265">
        <f>2*4.3*60</f>
        <v>516</v>
      </c>
    </row>
    <row r="13" spans="1:9" x14ac:dyDescent="0.2">
      <c r="A13" s="264" t="s">
        <v>367</v>
      </c>
      <c r="B13" s="265">
        <f>734-B12</f>
        <v>218</v>
      </c>
      <c r="C13" s="265">
        <f>734-C12</f>
        <v>218</v>
      </c>
    </row>
    <row r="14" spans="1:9" x14ac:dyDescent="0.2">
      <c r="A14" s="260"/>
      <c r="B14" s="252"/>
      <c r="C14" s="252"/>
    </row>
    <row r="15" spans="1:9" x14ac:dyDescent="0.2">
      <c r="A15" t="s">
        <v>343</v>
      </c>
      <c r="B15" s="251">
        <f>0.666*0.9</f>
        <v>0.59940000000000004</v>
      </c>
      <c r="C15" s="251">
        <f>0.666*0.7</f>
        <v>0.4662</v>
      </c>
    </row>
    <row r="16" spans="1:9" x14ac:dyDescent="0.2">
      <c r="A16" t="s">
        <v>344</v>
      </c>
      <c r="B16" s="254">
        <f>B15*B3</f>
        <v>850.54860000000008</v>
      </c>
      <c r="C16" s="254">
        <f>C15*C3</f>
        <v>1202.796</v>
      </c>
    </row>
    <row r="17" spans="1:13" x14ac:dyDescent="0.2">
      <c r="A17" t="s">
        <v>370</v>
      </c>
      <c r="B17" s="266">
        <v>0.8</v>
      </c>
      <c r="C17" s="266">
        <v>0.7</v>
      </c>
    </row>
    <row r="18" spans="1:13" x14ac:dyDescent="0.2">
      <c r="A18" t="s">
        <v>346</v>
      </c>
      <c r="B18">
        <f>0.33*(1-B17)</f>
        <v>6.5999999999999989E-2</v>
      </c>
      <c r="C18">
        <f>0.33*(1-C17)</f>
        <v>9.9000000000000019E-2</v>
      </c>
    </row>
    <row r="19" spans="1:13" x14ac:dyDescent="0.2">
      <c r="A19" t="s">
        <v>347</v>
      </c>
      <c r="B19" s="256">
        <f>B18*B3</f>
        <v>93.653999999999982</v>
      </c>
      <c r="C19" s="256">
        <f>C18*C3</f>
        <v>255.42000000000004</v>
      </c>
    </row>
    <row r="20" spans="1:13" x14ac:dyDescent="0.2">
      <c r="A20" s="259" t="s">
        <v>360</v>
      </c>
      <c r="B20">
        <f>0.4*$K$22*0.5</f>
        <v>3600</v>
      </c>
      <c r="C20">
        <f>0.4*$K$22*0.5</f>
        <v>3600</v>
      </c>
    </row>
    <row r="21" spans="1:13" x14ac:dyDescent="0.2">
      <c r="A21" t="s">
        <v>361</v>
      </c>
      <c r="B21" s="255">
        <f>B20*(128-B19)</f>
        <v>123645.60000000006</v>
      </c>
      <c r="J21" t="s">
        <v>352</v>
      </c>
      <c r="K21">
        <v>30000</v>
      </c>
    </row>
    <row r="22" spans="1:13" x14ac:dyDescent="0.2">
      <c r="J22" t="s">
        <v>353</v>
      </c>
      <c r="K22">
        <f>K21*0.6</f>
        <v>18000</v>
      </c>
    </row>
    <row r="23" spans="1:13" x14ac:dyDescent="0.2">
      <c r="J23" t="s">
        <v>326</v>
      </c>
      <c r="K23">
        <f>K22</f>
        <v>18000</v>
      </c>
    </row>
    <row r="24" spans="1:13" x14ac:dyDescent="0.2">
      <c r="K24" t="s">
        <v>356</v>
      </c>
      <c r="L24" t="s">
        <v>357</v>
      </c>
      <c r="M24" t="s">
        <v>358</v>
      </c>
    </row>
    <row r="25" spans="1:13" x14ac:dyDescent="0.2">
      <c r="K25" s="257">
        <v>0.33</v>
      </c>
      <c r="L25" s="257">
        <v>0.5</v>
      </c>
      <c r="M25" s="257">
        <v>0.17</v>
      </c>
    </row>
    <row r="26" spans="1:13" ht="42.75" x14ac:dyDescent="0.2">
      <c r="J26" s="258" t="s">
        <v>359</v>
      </c>
      <c r="K26">
        <f>K25*$K$23</f>
        <v>5940</v>
      </c>
      <c r="L26">
        <f t="shared" ref="L26:M26" si="0">L25*$K$23</f>
        <v>9000</v>
      </c>
      <c r="M26">
        <f t="shared" si="0"/>
        <v>3060</v>
      </c>
    </row>
    <row r="30" spans="1:13" x14ac:dyDescent="0.2">
      <c r="J30" t="s">
        <v>355</v>
      </c>
      <c r="K30">
        <v>1</v>
      </c>
      <c r="L30">
        <v>2</v>
      </c>
      <c r="M30">
        <v>3</v>
      </c>
    </row>
    <row r="32" spans="1:13" ht="28.5" x14ac:dyDescent="0.2">
      <c r="J32" s="258" t="s">
        <v>354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30"/>
  <sheetViews>
    <sheetView rightToLeft="1" workbookViewId="0">
      <selection activeCell="G18" sqref="G18"/>
    </sheetView>
  </sheetViews>
  <sheetFormatPr defaultRowHeight="14.25" x14ac:dyDescent="0.2"/>
  <cols>
    <col min="1" max="1" width="17.625" customWidth="1"/>
    <col min="2" max="2" width="9.75" bestFit="1" customWidth="1"/>
    <col min="3" max="3" width="29.75" bestFit="1" customWidth="1"/>
    <col min="4" max="4" width="23.625" bestFit="1" customWidth="1"/>
    <col min="5" max="5" width="11" bestFit="1" customWidth="1"/>
    <col min="6" max="6" width="10.5" bestFit="1" customWidth="1"/>
    <col min="7" max="7" width="11.625" customWidth="1"/>
    <col min="9" max="9" width="11.625" bestFit="1" customWidth="1"/>
  </cols>
  <sheetData>
    <row r="2" spans="1:8" ht="15" thickBot="1" x14ac:dyDescent="0.25">
      <c r="A2" s="26"/>
      <c r="B2" s="269" t="s">
        <v>139</v>
      </c>
      <c r="C2" s="269" t="s">
        <v>373</v>
      </c>
      <c r="D2" s="269" t="s">
        <v>374</v>
      </c>
      <c r="E2" s="26"/>
    </row>
    <row r="3" spans="1:8" ht="15" thickBot="1" x14ac:dyDescent="0.25">
      <c r="A3" s="26"/>
      <c r="B3" s="270"/>
      <c r="C3" s="270">
        <f>4.3*5.5</f>
        <v>23.65</v>
      </c>
      <c r="D3" s="271">
        <f>C3*H3</f>
        <v>1419</v>
      </c>
      <c r="E3" s="26"/>
      <c r="G3" s="268" t="s">
        <v>372</v>
      </c>
      <c r="H3" s="267">
        <v>60</v>
      </c>
    </row>
    <row r="4" spans="1:8" x14ac:dyDescent="0.2">
      <c r="A4" s="26"/>
      <c r="B4" s="26"/>
      <c r="C4" s="26"/>
      <c r="D4" s="26"/>
      <c r="E4" s="26"/>
    </row>
    <row r="5" spans="1:8" ht="15" x14ac:dyDescent="0.25">
      <c r="A5" s="272"/>
      <c r="B5" s="293" t="s">
        <v>373</v>
      </c>
      <c r="C5" s="293" t="s">
        <v>384</v>
      </c>
      <c r="D5" s="293" t="s">
        <v>378</v>
      </c>
      <c r="E5" s="272"/>
    </row>
    <row r="6" spans="1:8" x14ac:dyDescent="0.2">
      <c r="A6" s="422" t="s">
        <v>376</v>
      </c>
      <c r="B6" s="281">
        <v>2.15</v>
      </c>
      <c r="C6" s="283" t="s">
        <v>326</v>
      </c>
      <c r="D6" s="425">
        <f>D3-B6*H3</f>
        <v>1290</v>
      </c>
      <c r="E6" s="419"/>
    </row>
    <row r="7" spans="1:8" x14ac:dyDescent="0.2">
      <c r="A7" s="423"/>
      <c r="B7" s="292">
        <f>C3*(1/3)</f>
        <v>7.8833333333333329</v>
      </c>
      <c r="C7" s="283" t="s">
        <v>386</v>
      </c>
      <c r="D7" s="426"/>
      <c r="E7" s="420"/>
    </row>
    <row r="8" spans="1:8" x14ac:dyDescent="0.2">
      <c r="A8" s="424"/>
      <c r="B8" s="292">
        <f>C3*(1/3)</f>
        <v>7.8833333333333329</v>
      </c>
      <c r="C8" s="283" t="s">
        <v>385</v>
      </c>
      <c r="D8" s="427"/>
      <c r="E8" s="421"/>
    </row>
    <row r="9" spans="1:8" x14ac:dyDescent="0.2">
      <c r="A9" s="273" t="s">
        <v>390</v>
      </c>
      <c r="B9" s="274">
        <f>C3*(1/3)-B6</f>
        <v>5.7333333333333325</v>
      </c>
      <c r="C9" s="275" t="s">
        <v>382</v>
      </c>
      <c r="D9" s="276"/>
      <c r="E9" s="273" t="s">
        <v>381</v>
      </c>
    </row>
    <row r="10" spans="1:8" x14ac:dyDescent="0.2">
      <c r="A10" s="276" t="s">
        <v>231</v>
      </c>
      <c r="B10" s="276">
        <v>1</v>
      </c>
      <c r="C10" s="276" t="s">
        <v>375</v>
      </c>
      <c r="D10" s="277">
        <f>(D3-B6*H3)-H3*B10</f>
        <v>1230</v>
      </c>
      <c r="E10" s="276"/>
    </row>
    <row r="11" spans="1:8" x14ac:dyDescent="0.2">
      <c r="A11" s="276" t="s">
        <v>388</v>
      </c>
      <c r="B11" s="276">
        <f>4.3</f>
        <v>4.3</v>
      </c>
      <c r="C11" s="276" t="s">
        <v>377</v>
      </c>
      <c r="D11" s="277">
        <f>(D3-B6*H3)-B11*H3</f>
        <v>1032</v>
      </c>
      <c r="E11" s="276"/>
    </row>
    <row r="12" spans="1:8" x14ac:dyDescent="0.2">
      <c r="A12" s="276" t="s">
        <v>379</v>
      </c>
      <c r="B12" s="276">
        <f>12.9/2</f>
        <v>6.45</v>
      </c>
      <c r="C12" s="276" t="s">
        <v>387</v>
      </c>
      <c r="D12" s="277">
        <f>D6-(B12*60)-B6*60</f>
        <v>774</v>
      </c>
      <c r="E12" s="276">
        <f>734-B12*H3</f>
        <v>347</v>
      </c>
    </row>
    <row r="13" spans="1:8" x14ac:dyDescent="0.2">
      <c r="A13" s="276" t="s">
        <v>380</v>
      </c>
      <c r="B13" s="276">
        <v>0</v>
      </c>
      <c r="C13" s="278" t="s">
        <v>389</v>
      </c>
      <c r="D13" s="279">
        <f>(D3-B6*H3)*0.75</f>
        <v>967.5</v>
      </c>
      <c r="E13" s="276"/>
    </row>
    <row r="14" spans="1:8" x14ac:dyDescent="0.2">
      <c r="A14" s="26"/>
      <c r="B14" s="26"/>
      <c r="C14" s="26"/>
      <c r="D14" s="280"/>
      <c r="E14" s="26"/>
    </row>
    <row r="15" spans="1:8" x14ac:dyDescent="0.2">
      <c r="A15" s="26"/>
      <c r="B15" s="26"/>
      <c r="C15" s="26"/>
      <c r="D15" s="26"/>
      <c r="E15" s="26"/>
    </row>
    <row r="16" spans="1:8" x14ac:dyDescent="0.2">
      <c r="A16" s="26"/>
      <c r="B16" s="26"/>
      <c r="C16" s="26"/>
      <c r="D16" s="26"/>
      <c r="E16" s="26"/>
    </row>
    <row r="17" spans="1:5" x14ac:dyDescent="0.2">
      <c r="A17" s="26"/>
      <c r="B17" s="26"/>
      <c r="C17" s="26"/>
      <c r="D17" s="26"/>
      <c r="E17" s="26"/>
    </row>
    <row r="18" spans="1:5" x14ac:dyDescent="0.2">
      <c r="A18" s="26"/>
      <c r="B18" s="289" t="s">
        <v>142</v>
      </c>
      <c r="C18" s="289" t="s">
        <v>373</v>
      </c>
      <c r="D18" s="289" t="s">
        <v>374</v>
      </c>
      <c r="E18" s="26"/>
    </row>
    <row r="19" spans="1:5" x14ac:dyDescent="0.2">
      <c r="A19" s="26"/>
      <c r="B19" s="290"/>
      <c r="C19" s="290">
        <f>4.3*10</f>
        <v>43</v>
      </c>
      <c r="D19" s="291">
        <f>C19*H3</f>
        <v>2580</v>
      </c>
      <c r="E19" s="26"/>
    </row>
    <row r="20" spans="1:5" x14ac:dyDescent="0.2">
      <c r="A20" s="26"/>
      <c r="B20" s="26"/>
      <c r="C20" s="26"/>
      <c r="D20" s="26"/>
      <c r="E20" s="26"/>
    </row>
    <row r="21" spans="1:5" ht="15" x14ac:dyDescent="0.25">
      <c r="A21" s="272"/>
      <c r="B21" s="293" t="s">
        <v>373</v>
      </c>
      <c r="C21" s="293" t="s">
        <v>384</v>
      </c>
      <c r="D21" s="293" t="s">
        <v>378</v>
      </c>
      <c r="E21" s="272"/>
    </row>
    <row r="22" spans="1:5" x14ac:dyDescent="0.2">
      <c r="A22" s="422" t="s">
        <v>376</v>
      </c>
      <c r="B22" s="282">
        <v>2.15</v>
      </c>
      <c r="C22" s="283" t="s">
        <v>326</v>
      </c>
      <c r="D22" s="425">
        <f>D19-B22*H3</f>
        <v>2451</v>
      </c>
      <c r="E22" s="419"/>
    </row>
    <row r="23" spans="1:5" x14ac:dyDescent="0.2">
      <c r="A23" s="423"/>
      <c r="B23" s="282">
        <f>C19*(1/3)</f>
        <v>14.333333333333332</v>
      </c>
      <c r="C23" s="283" t="s">
        <v>391</v>
      </c>
      <c r="D23" s="426"/>
      <c r="E23" s="420"/>
    </row>
    <row r="24" spans="1:5" x14ac:dyDescent="0.2">
      <c r="A24" s="424"/>
      <c r="B24" s="282">
        <f>C19*(1/3)</f>
        <v>14.333333333333332</v>
      </c>
      <c r="C24" s="283" t="s">
        <v>385</v>
      </c>
      <c r="D24" s="427"/>
      <c r="E24" s="421"/>
    </row>
    <row r="25" spans="1:5" x14ac:dyDescent="0.2">
      <c r="A25" s="284" t="s">
        <v>390</v>
      </c>
      <c r="B25" s="285">
        <f>C19*(1/3)-B22</f>
        <v>12.183333333333332</v>
      </c>
      <c r="C25" s="284" t="s">
        <v>382</v>
      </c>
      <c r="D25" s="286"/>
      <c r="E25" s="284" t="s">
        <v>381</v>
      </c>
    </row>
    <row r="26" spans="1:5" x14ac:dyDescent="0.2">
      <c r="A26" s="287" t="s">
        <v>231</v>
      </c>
      <c r="B26" s="287">
        <v>1</v>
      </c>
      <c r="C26" s="287" t="s">
        <v>383</v>
      </c>
      <c r="D26" s="286">
        <f>D22-(B26*H3)</f>
        <v>2391</v>
      </c>
      <c r="E26" s="287"/>
    </row>
    <row r="27" spans="1:5" x14ac:dyDescent="0.2">
      <c r="A27" s="287" t="s">
        <v>388</v>
      </c>
      <c r="B27" s="287">
        <f>4.3</f>
        <v>4.3</v>
      </c>
      <c r="C27" s="287" t="s">
        <v>377</v>
      </c>
      <c r="D27" s="286">
        <f>(D19-B22*H19)-B27*H19</f>
        <v>2580</v>
      </c>
      <c r="E27" s="287"/>
    </row>
    <row r="28" spans="1:5" x14ac:dyDescent="0.2">
      <c r="A28" s="287" t="s">
        <v>379</v>
      </c>
      <c r="B28" s="287">
        <f>12.9/2</f>
        <v>6.45</v>
      </c>
      <c r="C28" s="287" t="s">
        <v>387</v>
      </c>
      <c r="D28" s="286">
        <f>D22-(B28*60)-B22*60</f>
        <v>1935</v>
      </c>
      <c r="E28" s="287">
        <f>734-B28*$H$3</f>
        <v>347</v>
      </c>
    </row>
    <row r="29" spans="1:5" x14ac:dyDescent="0.2">
      <c r="A29" s="287" t="s">
        <v>380</v>
      </c>
      <c r="B29" s="287">
        <v>0</v>
      </c>
      <c r="C29" s="288" t="s">
        <v>389</v>
      </c>
      <c r="D29" s="286">
        <f>(D19-B22*H3)*0.7</f>
        <v>1715.6999999999998</v>
      </c>
      <c r="E29" s="287"/>
    </row>
    <row r="30" spans="1:5" x14ac:dyDescent="0.2">
      <c r="A30" s="26"/>
      <c r="B30" s="26"/>
      <c r="C30" s="26"/>
      <c r="D30" s="26"/>
      <c r="E30" s="26"/>
    </row>
  </sheetData>
  <mergeCells count="6">
    <mergeCell ref="E6:E8"/>
    <mergeCell ref="E22:E24"/>
    <mergeCell ref="A6:A8"/>
    <mergeCell ref="D6:D8"/>
    <mergeCell ref="A22:A24"/>
    <mergeCell ref="D22:D24"/>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17"/>
  <sheetViews>
    <sheetView rightToLeft="1" topLeftCell="B1" zoomScale="91" zoomScaleNormal="91" workbookViewId="0">
      <selection activeCell="B18" sqref="B18"/>
    </sheetView>
  </sheetViews>
  <sheetFormatPr defaultRowHeight="14.25" x14ac:dyDescent="0.2"/>
  <cols>
    <col min="1" max="1" width="6.125" customWidth="1"/>
    <col min="2" max="2" width="252.75" customWidth="1"/>
    <col min="9" max="9" width="140.625" customWidth="1"/>
  </cols>
  <sheetData>
    <row r="2" spans="1:9" ht="15" thickBot="1" x14ac:dyDescent="0.25"/>
    <row r="3" spans="1:9" ht="15.75" thickBot="1" x14ac:dyDescent="0.25">
      <c r="A3" s="156" t="s">
        <v>50</v>
      </c>
      <c r="B3" s="156" t="s">
        <v>219</v>
      </c>
      <c r="C3" s="157"/>
      <c r="D3" s="157"/>
      <c r="E3" s="157"/>
      <c r="F3" s="157"/>
      <c r="G3" s="157"/>
      <c r="H3" s="157"/>
      <c r="I3" s="158"/>
    </row>
    <row r="4" spans="1:9" ht="15" x14ac:dyDescent="0.2">
      <c r="A4" s="159">
        <v>1</v>
      </c>
      <c r="B4" s="163" t="s">
        <v>227</v>
      </c>
      <c r="C4" s="160"/>
      <c r="D4" s="160"/>
      <c r="E4" s="160"/>
      <c r="F4" s="160"/>
      <c r="G4" s="160"/>
      <c r="H4" s="160"/>
      <c r="I4" s="161"/>
    </row>
    <row r="5" spans="1:9" ht="15" x14ac:dyDescent="0.2">
      <c r="A5" s="130">
        <v>2</v>
      </c>
      <c r="B5" s="165" t="s">
        <v>221</v>
      </c>
      <c r="I5" s="131"/>
    </row>
    <row r="6" spans="1:9" ht="15" x14ac:dyDescent="0.2">
      <c r="A6" s="129">
        <v>3</v>
      </c>
      <c r="B6" s="164" t="s">
        <v>222</v>
      </c>
      <c r="I6" s="131"/>
    </row>
    <row r="7" spans="1:9" ht="15" x14ac:dyDescent="0.2">
      <c r="A7" s="129">
        <v>4</v>
      </c>
      <c r="B7" s="164" t="s">
        <v>223</v>
      </c>
      <c r="I7" s="131"/>
    </row>
    <row r="8" spans="1:9" ht="15" x14ac:dyDescent="0.2">
      <c r="A8" s="129">
        <v>5</v>
      </c>
      <c r="B8" s="164" t="s">
        <v>224</v>
      </c>
      <c r="I8" s="131"/>
    </row>
    <row r="9" spans="1:9" ht="15" x14ac:dyDescent="0.2">
      <c r="A9" s="129">
        <v>6</v>
      </c>
      <c r="B9" s="164" t="s">
        <v>225</v>
      </c>
      <c r="I9" s="131"/>
    </row>
    <row r="10" spans="1:9" ht="15" x14ac:dyDescent="0.2">
      <c r="A10" s="129">
        <v>8</v>
      </c>
      <c r="B10" s="162" t="s">
        <v>226</v>
      </c>
      <c r="I10" s="131"/>
    </row>
    <row r="11" spans="1:9" ht="15" x14ac:dyDescent="0.2">
      <c r="A11" s="129">
        <v>9</v>
      </c>
      <c r="B11" s="166" t="s">
        <v>220</v>
      </c>
      <c r="I11" s="131"/>
    </row>
    <row r="12" spans="1:9" ht="15" x14ac:dyDescent="0.2">
      <c r="A12" s="129"/>
      <c r="B12" s="162"/>
      <c r="I12" s="131"/>
    </row>
    <row r="13" spans="1:9" ht="15" thickBot="1" x14ac:dyDescent="0.25">
      <c r="A13" s="132"/>
      <c r="B13" s="133"/>
      <c r="C13" s="133"/>
      <c r="D13" s="133"/>
      <c r="E13" s="133"/>
      <c r="F13" s="133"/>
      <c r="G13" s="133"/>
      <c r="H13" s="133"/>
      <c r="I13" s="134"/>
    </row>
    <row r="15" spans="1:9" x14ac:dyDescent="0.2">
      <c r="B15" t="s">
        <v>228</v>
      </c>
    </row>
    <row r="16" spans="1:9" x14ac:dyDescent="0.2">
      <c r="B16" t="s">
        <v>229</v>
      </c>
    </row>
    <row r="17" spans="1:2" x14ac:dyDescent="0.2">
      <c r="A17">
        <v>1</v>
      </c>
      <c r="B17" t="s">
        <v>230</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
  <sheetViews>
    <sheetView rightToLeft="1" zoomScale="68" zoomScaleNormal="68" workbookViewId="0">
      <selection activeCell="D5" sqref="D5"/>
    </sheetView>
  </sheetViews>
  <sheetFormatPr defaultRowHeight="14.25" x14ac:dyDescent="0.2"/>
  <cols>
    <col min="2" max="2" width="18.5" customWidth="1"/>
    <col min="3" max="3" width="22.125" customWidth="1"/>
    <col min="4" max="4" width="18.5" customWidth="1"/>
    <col min="5" max="5" width="21.25" customWidth="1"/>
    <col min="6" max="6" width="22.25" hidden="1" customWidth="1"/>
    <col min="7" max="7" width="12" customWidth="1"/>
    <col min="8" max="8" width="15.75" customWidth="1"/>
    <col min="9" max="9" width="18.25" customWidth="1"/>
    <col min="10" max="10" width="17.25" bestFit="1" customWidth="1"/>
    <col min="11" max="11" width="24.375" customWidth="1"/>
    <col min="12" max="12" width="21.25" bestFit="1" customWidth="1"/>
    <col min="13" max="13" width="20.375" customWidth="1"/>
    <col min="14" max="14" width="29.625" customWidth="1"/>
    <col min="15" max="18" width="18.5" hidden="1" customWidth="1"/>
    <col min="19" max="19" width="28.625" hidden="1" customWidth="1"/>
    <col min="20" max="25" width="18.5" hidden="1" customWidth="1"/>
    <col min="26" max="27" width="0" hidden="1" customWidth="1"/>
  </cols>
  <sheetData>
    <row r="1" spans="1:25" ht="15" thickBot="1" x14ac:dyDescent="0.25"/>
    <row r="2" spans="1:25" ht="18.75" thickBot="1" x14ac:dyDescent="0.25">
      <c r="A2" s="154"/>
      <c r="B2" s="153" t="s">
        <v>63</v>
      </c>
      <c r="C2" s="447" t="s">
        <v>167</v>
      </c>
      <c r="D2" s="448"/>
      <c r="E2" s="448"/>
      <c r="F2" s="448"/>
      <c r="G2" s="448"/>
      <c r="H2" s="448"/>
      <c r="I2" s="448"/>
      <c r="J2" s="448"/>
      <c r="K2" s="449"/>
      <c r="L2" s="450" t="s">
        <v>179</v>
      </c>
      <c r="M2" s="451"/>
      <c r="N2" s="110" t="s">
        <v>168</v>
      </c>
      <c r="O2" s="152"/>
      <c r="P2" s="298" t="s">
        <v>23</v>
      </c>
      <c r="Q2" s="298"/>
      <c r="R2" s="298" t="s">
        <v>24</v>
      </c>
      <c r="S2" s="298"/>
      <c r="T2" s="298" t="s">
        <v>32</v>
      </c>
      <c r="U2" s="298"/>
      <c r="V2" s="298" t="s">
        <v>27</v>
      </c>
      <c r="W2" s="298"/>
      <c r="X2" s="298"/>
      <c r="Y2" s="299"/>
    </row>
    <row r="3" spans="1:25" ht="30" x14ac:dyDescent="0.2">
      <c r="A3" s="151"/>
      <c r="B3" s="61" t="s">
        <v>63</v>
      </c>
      <c r="C3" s="150" t="s">
        <v>184</v>
      </c>
      <c r="D3" s="148" t="s">
        <v>169</v>
      </c>
      <c r="E3" s="148" t="s">
        <v>170</v>
      </c>
      <c r="F3" s="148" t="s">
        <v>180</v>
      </c>
      <c r="G3" s="148" t="s">
        <v>185</v>
      </c>
      <c r="H3" s="148" t="s">
        <v>178</v>
      </c>
      <c r="I3" s="148" t="s">
        <v>186</v>
      </c>
      <c r="J3" s="148" t="s">
        <v>218</v>
      </c>
      <c r="K3" s="148" t="s">
        <v>217</v>
      </c>
      <c r="L3" s="148" t="s">
        <v>171</v>
      </c>
      <c r="M3" s="148" t="s">
        <v>176</v>
      </c>
      <c r="N3" s="149" t="s">
        <v>168</v>
      </c>
      <c r="O3" s="148" t="s">
        <v>177</v>
      </c>
      <c r="P3" s="67" t="s">
        <v>155</v>
      </c>
      <c r="Q3" s="68" t="s">
        <v>149</v>
      </c>
      <c r="R3" s="62" t="s">
        <v>20</v>
      </c>
      <c r="S3" s="62" t="s">
        <v>21</v>
      </c>
      <c r="T3" s="62" t="s">
        <v>1</v>
      </c>
      <c r="U3" s="62" t="s">
        <v>25</v>
      </c>
      <c r="V3" s="62" t="s">
        <v>36</v>
      </c>
      <c r="W3" s="62" t="s">
        <v>2</v>
      </c>
      <c r="X3" s="62" t="s">
        <v>37</v>
      </c>
      <c r="Y3" s="62" t="s">
        <v>129</v>
      </c>
    </row>
    <row r="4" spans="1:25" ht="85.5" x14ac:dyDescent="0.2">
      <c r="A4" s="429" t="s">
        <v>30</v>
      </c>
      <c r="B4" s="169" t="s">
        <v>161</v>
      </c>
      <c r="C4" s="430" t="s">
        <v>216</v>
      </c>
      <c r="D4" s="78" t="s">
        <v>172</v>
      </c>
      <c r="E4" s="108" t="s">
        <v>191</v>
      </c>
      <c r="F4" s="433" t="s">
        <v>215</v>
      </c>
      <c r="G4" s="93">
        <v>110000</v>
      </c>
      <c r="H4" s="93">
        <f>G4*0.4</f>
        <v>44000</v>
      </c>
      <c r="I4" s="83">
        <f>H4*75*12+(G4*0.3*37)</f>
        <v>40821000</v>
      </c>
      <c r="J4" s="83">
        <f>I4*0.1+0.1*(G4*0.9*148*12)</f>
        <v>21664500</v>
      </c>
      <c r="K4" s="143" t="s">
        <v>214</v>
      </c>
      <c r="L4" s="147" t="s">
        <v>195</v>
      </c>
      <c r="M4" s="436" t="s">
        <v>198</v>
      </c>
      <c r="N4" s="146" t="s">
        <v>144</v>
      </c>
      <c r="O4" s="78"/>
      <c r="P4" s="11">
        <v>0</v>
      </c>
      <c r="Q4" s="11">
        <v>0</v>
      </c>
      <c r="R4" s="11">
        <v>0</v>
      </c>
      <c r="S4" s="439" t="s">
        <v>213</v>
      </c>
      <c r="T4" s="12" t="s">
        <v>166</v>
      </c>
      <c r="U4" s="55" t="s">
        <v>162</v>
      </c>
      <c r="V4" s="12" t="s">
        <v>40</v>
      </c>
      <c r="W4" s="55" t="s">
        <v>33</v>
      </c>
      <c r="X4" s="12" t="s">
        <v>104</v>
      </c>
      <c r="Y4" s="71" t="s">
        <v>158</v>
      </c>
    </row>
    <row r="5" spans="1:25" ht="171" customHeight="1" x14ac:dyDescent="0.2">
      <c r="A5" s="429"/>
      <c r="B5" s="169" t="s">
        <v>139</v>
      </c>
      <c r="C5" s="431"/>
      <c r="D5" s="78" t="s">
        <v>173</v>
      </c>
      <c r="E5" s="144" t="s">
        <v>192</v>
      </c>
      <c r="F5" s="434"/>
      <c r="G5" s="93">
        <v>40000</v>
      </c>
      <c r="H5" s="93">
        <f>G5*0.4</f>
        <v>16000</v>
      </c>
      <c r="I5" s="83">
        <f>H5*350</f>
        <v>5600000</v>
      </c>
      <c r="J5" s="83">
        <f>I5*0.1+0.1*(G5*0.9*148*12)</f>
        <v>6953600</v>
      </c>
      <c r="K5" s="442" t="s">
        <v>212</v>
      </c>
      <c r="L5" s="444" t="s">
        <v>197</v>
      </c>
      <c r="M5" s="437"/>
      <c r="N5" s="445" t="s">
        <v>145</v>
      </c>
      <c r="O5" s="78"/>
      <c r="P5" s="72">
        <v>0.25</v>
      </c>
      <c r="Q5" s="56" t="s">
        <v>140</v>
      </c>
      <c r="R5" s="74">
        <v>0</v>
      </c>
      <c r="S5" s="440"/>
      <c r="T5" s="75" t="s">
        <v>160</v>
      </c>
      <c r="U5" s="15" t="s">
        <v>41</v>
      </c>
      <c r="V5" s="12" t="s">
        <v>53</v>
      </c>
      <c r="W5" s="16" t="s">
        <v>31</v>
      </c>
      <c r="X5" s="12" t="s">
        <v>89</v>
      </c>
      <c r="Y5" s="16" t="s">
        <v>159</v>
      </c>
    </row>
    <row r="6" spans="1:25" ht="60" x14ac:dyDescent="0.2">
      <c r="A6" s="429"/>
      <c r="B6" s="170" t="s">
        <v>142</v>
      </c>
      <c r="C6" s="432"/>
      <c r="D6" s="78" t="s">
        <v>173</v>
      </c>
      <c r="E6" s="144" t="s">
        <v>193</v>
      </c>
      <c r="F6" s="435"/>
      <c r="G6" s="93">
        <v>70000</v>
      </c>
      <c r="H6" s="93">
        <f>G6*0.4</f>
        <v>28000</v>
      </c>
      <c r="I6" s="83">
        <f>H6*350</f>
        <v>9800000</v>
      </c>
      <c r="J6" s="83">
        <f>I6*0.1+0.1*(G6*0.9*148*12)</f>
        <v>12168800</v>
      </c>
      <c r="K6" s="443"/>
      <c r="L6" s="438"/>
      <c r="M6" s="438"/>
      <c r="N6" s="446"/>
      <c r="O6" s="79"/>
      <c r="P6" s="73">
        <v>0.25</v>
      </c>
      <c r="Q6" s="56" t="s">
        <v>141</v>
      </c>
      <c r="R6" s="74">
        <v>0</v>
      </c>
      <c r="S6" s="441"/>
      <c r="T6" s="75" t="s">
        <v>160</v>
      </c>
      <c r="U6" s="15" t="s">
        <v>41</v>
      </c>
      <c r="V6" s="12" t="s">
        <v>53</v>
      </c>
      <c r="W6" s="16" t="s">
        <v>31</v>
      </c>
      <c r="X6" s="12" t="s">
        <v>89</v>
      </c>
      <c r="Y6" s="16" t="s">
        <v>159</v>
      </c>
    </row>
    <row r="7" spans="1:25" ht="185.25" x14ac:dyDescent="0.2">
      <c r="A7" s="167" t="s">
        <v>136</v>
      </c>
      <c r="B7" s="171" t="s">
        <v>113</v>
      </c>
      <c r="C7" s="84" t="s">
        <v>211</v>
      </c>
      <c r="D7" s="145" t="s">
        <v>189</v>
      </c>
      <c r="E7" s="144" t="s">
        <v>194</v>
      </c>
      <c r="F7" s="92" t="s">
        <v>182</v>
      </c>
      <c r="G7" s="93">
        <v>105000</v>
      </c>
      <c r="H7" s="86">
        <f>G7*0.14</f>
        <v>14700.000000000002</v>
      </c>
      <c r="I7" s="87">
        <f>H7*(15+20)*12*12.9</f>
        <v>79644600.000000015</v>
      </c>
      <c r="J7" s="83">
        <f>I7*0.1+0.1*(G7*0.9*148*12)</f>
        <v>24747660</v>
      </c>
      <c r="K7" s="143" t="s">
        <v>210</v>
      </c>
      <c r="L7" s="98" t="s">
        <v>197</v>
      </c>
      <c r="M7" s="78" t="s">
        <v>199</v>
      </c>
      <c r="N7" s="99" t="s">
        <v>148</v>
      </c>
      <c r="O7" s="80"/>
      <c r="P7" s="13">
        <v>0.33</v>
      </c>
      <c r="Q7" s="56" t="s">
        <v>143</v>
      </c>
      <c r="R7" s="14" t="s">
        <v>103</v>
      </c>
      <c r="S7" s="14" t="s">
        <v>165</v>
      </c>
      <c r="T7" s="15" t="s">
        <v>90</v>
      </c>
      <c r="U7" s="15" t="s">
        <v>51</v>
      </c>
      <c r="V7" s="12" t="s">
        <v>52</v>
      </c>
      <c r="W7" s="16" t="s">
        <v>54</v>
      </c>
      <c r="X7" s="17" t="s">
        <v>59</v>
      </c>
      <c r="Y7" s="18" t="s">
        <v>55</v>
      </c>
    </row>
    <row r="8" spans="1:25" ht="186" thickBot="1" x14ac:dyDescent="0.25">
      <c r="A8" s="168" t="s">
        <v>100</v>
      </c>
      <c r="B8" s="172" t="s">
        <v>114</v>
      </c>
      <c r="C8" s="142" t="s">
        <v>188</v>
      </c>
      <c r="D8" s="82" t="s">
        <v>190</v>
      </c>
      <c r="E8" s="141" t="s">
        <v>209</v>
      </c>
      <c r="F8" s="140" t="s">
        <v>181</v>
      </c>
      <c r="G8" s="96">
        <v>80000</v>
      </c>
      <c r="H8" s="95">
        <f>G8*0.12</f>
        <v>9600</v>
      </c>
      <c r="I8" s="89">
        <f>H8*40*12.9</f>
        <v>4953600</v>
      </c>
      <c r="J8" s="139">
        <f>I8*0.1+0.1*(G8*0.9*148*12)</f>
        <v>13282560</v>
      </c>
      <c r="K8" s="138" t="s">
        <v>208</v>
      </c>
      <c r="L8" s="82" t="s">
        <v>196</v>
      </c>
      <c r="M8" s="82" t="s">
        <v>200</v>
      </c>
      <c r="N8" s="100" t="s">
        <v>147</v>
      </c>
      <c r="O8" s="81"/>
      <c r="P8" s="28">
        <v>0.33</v>
      </c>
      <c r="Q8" s="57" t="s">
        <v>143</v>
      </c>
      <c r="R8" s="28" t="s">
        <v>28</v>
      </c>
      <c r="S8" s="28" t="s">
        <v>60</v>
      </c>
      <c r="T8" s="29" t="s">
        <v>62</v>
      </c>
      <c r="U8" s="30" t="s">
        <v>61</v>
      </c>
      <c r="V8" s="31" t="s">
        <v>94</v>
      </c>
      <c r="W8" s="32" t="s">
        <v>95</v>
      </c>
      <c r="X8" s="31" t="s">
        <v>106</v>
      </c>
      <c r="Y8" s="33" t="s">
        <v>55</v>
      </c>
    </row>
    <row r="9" spans="1:25" x14ac:dyDescent="0.2">
      <c r="F9" s="137" t="s">
        <v>183</v>
      </c>
      <c r="H9" s="94">
        <f>SUM(G4:G8)*148+G4*75+(H5+H6)*350+H7*35*12*12.9</f>
        <v>163234600</v>
      </c>
      <c r="I9" s="88">
        <f>SUM(I4:I8)</f>
        <v>140819200</v>
      </c>
      <c r="J9" s="88">
        <f>SUM(J4:J8)</f>
        <v>78817120</v>
      </c>
      <c r="K9" s="88"/>
    </row>
    <row r="10" spans="1:25" ht="20.25" x14ac:dyDescent="0.3">
      <c r="H10" s="136" t="s">
        <v>175</v>
      </c>
      <c r="I10" s="428">
        <f>I9+J9</f>
        <v>219636320</v>
      </c>
      <c r="J10" s="428"/>
      <c r="K10" s="135"/>
    </row>
  </sheetData>
  <mergeCells count="15">
    <mergeCell ref="V2:Y2"/>
    <mergeCell ref="I10:J10"/>
    <mergeCell ref="A4:A6"/>
    <mergeCell ref="C4:C6"/>
    <mergeCell ref="F4:F6"/>
    <mergeCell ref="M4:M6"/>
    <mergeCell ref="S4:S6"/>
    <mergeCell ref="K5:K6"/>
    <mergeCell ref="L5:L6"/>
    <mergeCell ref="N5:N6"/>
    <mergeCell ref="C2:K2"/>
    <mergeCell ref="L2:M2"/>
    <mergeCell ref="P2:Q2"/>
    <mergeCell ref="R2:S2"/>
    <mergeCell ref="T2:U2"/>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23"/>
  <sheetViews>
    <sheetView rightToLeft="1" zoomScale="84" zoomScaleNormal="84" workbookViewId="0">
      <selection activeCell="C28" sqref="C28"/>
    </sheetView>
  </sheetViews>
  <sheetFormatPr defaultRowHeight="14.25" x14ac:dyDescent="0.2"/>
  <cols>
    <col min="2" max="2" width="5.75" customWidth="1"/>
    <col min="3" max="3" width="42.375" customWidth="1"/>
    <col min="4" max="4" width="49.75" customWidth="1"/>
    <col min="5" max="5" width="39.875" customWidth="1"/>
  </cols>
  <sheetData>
    <row r="2" spans="2:5" ht="15" x14ac:dyDescent="0.25">
      <c r="B2" s="452" t="s">
        <v>77</v>
      </c>
      <c r="C2" s="453"/>
      <c r="D2" s="453"/>
      <c r="E2" s="454"/>
    </row>
    <row r="3" spans="2:5" ht="15.75" thickBot="1" x14ac:dyDescent="0.3">
      <c r="B3" s="4" t="s">
        <v>75</v>
      </c>
      <c r="C3" s="4" t="s">
        <v>150</v>
      </c>
      <c r="D3" s="5" t="s">
        <v>2</v>
      </c>
      <c r="E3" s="4" t="s">
        <v>65</v>
      </c>
    </row>
    <row r="4" spans="2:5" x14ac:dyDescent="0.2">
      <c r="B4" s="3">
        <v>1</v>
      </c>
      <c r="C4" s="3" t="s">
        <v>116</v>
      </c>
      <c r="D4" s="3" t="s">
        <v>122</v>
      </c>
      <c r="E4" s="3" t="s">
        <v>68</v>
      </c>
    </row>
    <row r="5" spans="2:5" x14ac:dyDescent="0.2">
      <c r="B5" s="1">
        <v>2</v>
      </c>
      <c r="C5" s="1" t="s">
        <v>153</v>
      </c>
      <c r="D5" s="1" t="s">
        <v>123</v>
      </c>
      <c r="E5" s="1" t="s">
        <v>69</v>
      </c>
    </row>
    <row r="6" spans="2:5" x14ac:dyDescent="0.2">
      <c r="B6" s="1">
        <v>3</v>
      </c>
      <c r="C6" s="1" t="s">
        <v>66</v>
      </c>
      <c r="D6" s="1" t="s">
        <v>71</v>
      </c>
      <c r="E6" s="1" t="s">
        <v>70</v>
      </c>
    </row>
    <row r="7" spans="2:5" x14ac:dyDescent="0.2">
      <c r="B7" s="1">
        <v>4</v>
      </c>
      <c r="C7" s="1" t="s">
        <v>117</v>
      </c>
      <c r="D7" s="1" t="s">
        <v>124</v>
      </c>
      <c r="E7" s="1" t="s">
        <v>72</v>
      </c>
    </row>
    <row r="8" spans="2:5" x14ac:dyDescent="0.2">
      <c r="B8" s="1">
        <v>5</v>
      </c>
      <c r="C8" s="1" t="s">
        <v>67</v>
      </c>
      <c r="D8" s="1" t="s">
        <v>74</v>
      </c>
      <c r="E8" s="1" t="s">
        <v>73</v>
      </c>
    </row>
    <row r="9" spans="2:5" x14ac:dyDescent="0.2">
      <c r="B9" s="1">
        <v>6</v>
      </c>
      <c r="C9" s="1" t="s">
        <v>118</v>
      </c>
      <c r="D9" s="1"/>
      <c r="E9" s="1" t="s">
        <v>120</v>
      </c>
    </row>
    <row r="10" spans="2:5" x14ac:dyDescent="0.2">
      <c r="B10" s="1">
        <v>7</v>
      </c>
      <c r="C10" s="1" t="s">
        <v>76</v>
      </c>
      <c r="D10" s="1"/>
      <c r="E10" s="1"/>
    </row>
    <row r="11" spans="2:5" x14ac:dyDescent="0.2">
      <c r="B11" s="1">
        <v>8</v>
      </c>
      <c r="C11" s="1" t="s">
        <v>119</v>
      </c>
      <c r="D11" s="1"/>
      <c r="E11" s="1"/>
    </row>
    <row r="12" spans="2:5" x14ac:dyDescent="0.2">
      <c r="B12" s="1">
        <v>9</v>
      </c>
      <c r="C12" s="1"/>
      <c r="D12" s="1"/>
      <c r="E12" s="1"/>
    </row>
    <row r="16" spans="2:5" ht="15" x14ac:dyDescent="0.25">
      <c r="B16" s="452" t="s">
        <v>78</v>
      </c>
      <c r="C16" s="453"/>
      <c r="D16" s="453"/>
      <c r="E16" s="454"/>
    </row>
    <row r="17" spans="2:5" ht="15.75" thickBot="1" x14ac:dyDescent="0.3">
      <c r="B17" s="6" t="s">
        <v>75</v>
      </c>
      <c r="C17" s="6" t="s">
        <v>150</v>
      </c>
      <c r="D17" s="7" t="s">
        <v>2</v>
      </c>
      <c r="E17" s="6" t="s">
        <v>65</v>
      </c>
    </row>
    <row r="18" spans="2:5" x14ac:dyDescent="0.2">
      <c r="B18" s="3">
        <v>1</v>
      </c>
      <c r="C18" s="48" t="s">
        <v>152</v>
      </c>
      <c r="D18" s="48" t="s">
        <v>401</v>
      </c>
      <c r="E18" s="49" t="s">
        <v>80</v>
      </c>
    </row>
    <row r="19" spans="2:5" x14ac:dyDescent="0.2">
      <c r="B19" s="1">
        <v>2</v>
      </c>
      <c r="C19" s="50" t="s">
        <v>79</v>
      </c>
      <c r="D19" s="50" t="s">
        <v>82</v>
      </c>
      <c r="E19" s="51" t="s">
        <v>81</v>
      </c>
    </row>
    <row r="20" spans="2:5" x14ac:dyDescent="0.2">
      <c r="B20" s="1">
        <v>3</v>
      </c>
      <c r="C20" s="50" t="s">
        <v>86</v>
      </c>
      <c r="D20" s="51" t="s">
        <v>126</v>
      </c>
      <c r="E20" s="51" t="s">
        <v>83</v>
      </c>
    </row>
    <row r="21" spans="2:5" ht="17.25" customHeight="1" x14ac:dyDescent="0.2">
      <c r="B21" s="1">
        <v>4</v>
      </c>
      <c r="C21" s="50" t="s">
        <v>151</v>
      </c>
      <c r="D21" s="50" t="s">
        <v>84</v>
      </c>
      <c r="E21" s="51" t="s">
        <v>125</v>
      </c>
    </row>
    <row r="22" spans="2:5" ht="13.5" customHeight="1" x14ac:dyDescent="0.2">
      <c r="B22" s="1">
        <v>5</v>
      </c>
      <c r="C22" s="50" t="s">
        <v>156</v>
      </c>
      <c r="D22" s="51" t="s">
        <v>127</v>
      </c>
      <c r="E22" s="50" t="s">
        <v>85</v>
      </c>
    </row>
    <row r="23" spans="2:5" x14ac:dyDescent="0.2">
      <c r="B23" s="1">
        <v>6</v>
      </c>
      <c r="C23" s="50"/>
      <c r="D23" s="50"/>
      <c r="E23" s="50" t="s">
        <v>121</v>
      </c>
    </row>
  </sheetData>
  <mergeCells count="2">
    <mergeCell ref="B2:E2"/>
    <mergeCell ref="B16:E1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I9"/>
  <sheetViews>
    <sheetView rightToLeft="1" zoomScale="87" zoomScaleNormal="87" workbookViewId="0">
      <selection activeCell="C1" sqref="C1"/>
    </sheetView>
  </sheetViews>
  <sheetFormatPr defaultRowHeight="14.25" x14ac:dyDescent="0.2"/>
  <cols>
    <col min="1" max="1" width="4.875" customWidth="1"/>
    <col min="2" max="2" width="11.5" bestFit="1" customWidth="1"/>
    <col min="3" max="3" width="22.625" customWidth="1"/>
    <col min="4" max="4" width="16.25" customWidth="1"/>
    <col min="5" max="5" width="15.625" customWidth="1"/>
    <col min="6" max="6" width="22.75" bestFit="1" customWidth="1"/>
    <col min="7" max="7" width="30.875" customWidth="1"/>
    <col min="8" max="8" width="9" customWidth="1"/>
    <col min="9" max="9" width="17.75" customWidth="1"/>
  </cols>
  <sheetData>
    <row r="4" spans="1:9" ht="15" x14ac:dyDescent="0.25">
      <c r="B4" s="457" t="s">
        <v>109</v>
      </c>
      <c r="C4" s="457"/>
      <c r="D4" s="457"/>
      <c r="E4" s="457"/>
      <c r="F4" s="457"/>
      <c r="G4" s="457"/>
      <c r="H4" s="457"/>
      <c r="I4" s="457"/>
    </row>
    <row r="5" spans="1:9" ht="15" x14ac:dyDescent="0.25">
      <c r="A5" s="52" t="s">
        <v>50</v>
      </c>
      <c r="B5" s="52" t="s">
        <v>7</v>
      </c>
      <c r="C5" s="52" t="s">
        <v>98</v>
      </c>
      <c r="D5" s="53" t="s">
        <v>15</v>
      </c>
      <c r="E5" s="53" t="s">
        <v>129</v>
      </c>
      <c r="F5" s="53" t="s">
        <v>11</v>
      </c>
      <c r="G5" s="458" t="s">
        <v>9</v>
      </c>
      <c r="H5" s="459"/>
      <c r="I5" s="54" t="s">
        <v>17</v>
      </c>
    </row>
    <row r="6" spans="1:9" x14ac:dyDescent="0.2">
      <c r="A6" s="1">
        <v>1</v>
      </c>
      <c r="B6" s="1" t="s">
        <v>8</v>
      </c>
      <c r="C6" s="2">
        <v>70000</v>
      </c>
      <c r="D6" s="460" t="s">
        <v>128</v>
      </c>
      <c r="E6" s="1" t="s">
        <v>16</v>
      </c>
      <c r="F6" s="1" t="s">
        <v>131</v>
      </c>
      <c r="G6" s="455" t="s">
        <v>133</v>
      </c>
      <c r="H6" s="456"/>
      <c r="I6" s="1" t="s">
        <v>19</v>
      </c>
    </row>
    <row r="7" spans="1:9" x14ac:dyDescent="0.2">
      <c r="A7" s="1">
        <v>2</v>
      </c>
      <c r="B7" s="1" t="s">
        <v>10</v>
      </c>
      <c r="C7" s="76" t="s">
        <v>163</v>
      </c>
      <c r="D7" s="431"/>
      <c r="E7" s="77" t="s">
        <v>164</v>
      </c>
      <c r="F7" s="1" t="s">
        <v>110</v>
      </c>
      <c r="G7" s="455" t="s">
        <v>134</v>
      </c>
      <c r="H7" s="456"/>
      <c r="I7" s="1" t="s">
        <v>3</v>
      </c>
    </row>
    <row r="8" spans="1:9" x14ac:dyDescent="0.2">
      <c r="A8" s="1">
        <v>3</v>
      </c>
      <c r="B8" s="1" t="s">
        <v>12</v>
      </c>
      <c r="C8" s="70">
        <v>17000</v>
      </c>
      <c r="D8" s="431"/>
      <c r="E8" s="1" t="s">
        <v>130</v>
      </c>
      <c r="F8" s="1" t="s">
        <v>132</v>
      </c>
      <c r="G8" s="455" t="s">
        <v>135</v>
      </c>
      <c r="H8" s="456"/>
      <c r="I8" s="1" t="s">
        <v>18</v>
      </c>
    </row>
    <row r="9" spans="1:9" x14ac:dyDescent="0.2">
      <c r="A9" s="1">
        <v>4</v>
      </c>
      <c r="B9" s="1" t="s">
        <v>13</v>
      </c>
      <c r="C9" s="2">
        <v>100000</v>
      </c>
      <c r="D9" s="432"/>
      <c r="E9" s="1" t="s">
        <v>154</v>
      </c>
      <c r="F9" s="1" t="s">
        <v>14</v>
      </c>
      <c r="G9" s="455" t="s">
        <v>157</v>
      </c>
      <c r="H9" s="456"/>
      <c r="I9" s="1" t="s">
        <v>18</v>
      </c>
    </row>
  </sheetData>
  <mergeCells count="7">
    <mergeCell ref="G9:H9"/>
    <mergeCell ref="B4:I4"/>
    <mergeCell ref="G5:H5"/>
    <mergeCell ref="G6:H6"/>
    <mergeCell ref="G7:H7"/>
    <mergeCell ref="G8:H8"/>
    <mergeCell ref="D6:D9"/>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D18"/>
  <sheetViews>
    <sheetView rightToLeft="1" zoomScale="75" zoomScaleNormal="75" workbookViewId="0">
      <selection activeCell="B2" sqref="B2:J9"/>
    </sheetView>
  </sheetViews>
  <sheetFormatPr defaultRowHeight="14.25" x14ac:dyDescent="0.2"/>
  <cols>
    <col min="1" max="1" width="5.5" customWidth="1"/>
    <col min="2" max="2" width="9.625" customWidth="1"/>
    <col min="3" max="3" width="22.875" customWidth="1"/>
    <col min="4" max="4" width="26" customWidth="1"/>
    <col min="5" max="5" width="14.125" customWidth="1"/>
    <col min="6" max="6" width="16" customWidth="1"/>
    <col min="7" max="8" width="23.875" customWidth="1"/>
    <col min="9" max="9" width="22.875" customWidth="1"/>
    <col min="10" max="10" width="15.625" customWidth="1"/>
    <col min="11" max="11" width="24.125" customWidth="1"/>
    <col min="17" max="17" width="10.75" bestFit="1" customWidth="1"/>
  </cols>
  <sheetData>
    <row r="1" spans="2:30" x14ac:dyDescent="0.2">
      <c r="K1" s="187"/>
    </row>
    <row r="2" spans="2:30" ht="43.5" customHeight="1" x14ac:dyDescent="0.25">
      <c r="B2" s="191" t="s">
        <v>261</v>
      </c>
      <c r="C2" s="191" t="s">
        <v>262</v>
      </c>
      <c r="D2" s="192" t="s">
        <v>263</v>
      </c>
      <c r="E2" s="192" t="s">
        <v>281</v>
      </c>
      <c r="F2" s="192" t="s">
        <v>272</v>
      </c>
      <c r="G2" s="191" t="s">
        <v>273</v>
      </c>
      <c r="H2" s="191" t="s">
        <v>266</v>
      </c>
      <c r="I2" s="191" t="s">
        <v>264</v>
      </c>
      <c r="J2" s="191" t="s">
        <v>265</v>
      </c>
      <c r="K2" s="186"/>
      <c r="L2" s="185" t="s">
        <v>254</v>
      </c>
    </row>
    <row r="3" spans="2:30" ht="28.5" customHeight="1" x14ac:dyDescent="0.25">
      <c r="B3" s="193">
        <v>0</v>
      </c>
      <c r="C3" s="194" t="s">
        <v>258</v>
      </c>
      <c r="D3" s="194" t="s">
        <v>258</v>
      </c>
      <c r="E3" s="194" t="s">
        <v>260</v>
      </c>
      <c r="F3" s="194" t="s">
        <v>260</v>
      </c>
      <c r="G3" s="195" t="s">
        <v>270</v>
      </c>
      <c r="H3" s="461" t="s">
        <v>280</v>
      </c>
      <c r="I3" s="194" t="s">
        <v>260</v>
      </c>
      <c r="J3" s="332" t="s">
        <v>242</v>
      </c>
      <c r="K3" s="188"/>
    </row>
    <row r="4" spans="2:30" ht="81" customHeight="1" x14ac:dyDescent="0.25">
      <c r="B4" s="196">
        <v>1</v>
      </c>
      <c r="C4" s="197" t="s">
        <v>277</v>
      </c>
      <c r="D4" s="12" t="s">
        <v>259</v>
      </c>
      <c r="E4" s="189">
        <f>4/22</f>
        <v>0.18181818181818182</v>
      </c>
      <c r="F4" s="189" t="s">
        <v>274</v>
      </c>
      <c r="G4" s="332" t="s">
        <v>271</v>
      </c>
      <c r="H4" s="462"/>
      <c r="I4" s="12" t="s">
        <v>267</v>
      </c>
      <c r="J4" s="332"/>
      <c r="K4" s="188"/>
      <c r="W4" t="s">
        <v>231</v>
      </c>
      <c r="Y4" t="s">
        <v>236</v>
      </c>
    </row>
    <row r="5" spans="2:30" ht="95.25" customHeight="1" x14ac:dyDescent="0.25">
      <c r="B5" s="193">
        <v>2</v>
      </c>
      <c r="C5" s="197" t="s">
        <v>278</v>
      </c>
      <c r="D5" s="197" t="s">
        <v>276</v>
      </c>
      <c r="E5" s="190">
        <f>6/40</f>
        <v>0.15</v>
      </c>
      <c r="F5" s="190" t="s">
        <v>274</v>
      </c>
      <c r="G5" s="332"/>
      <c r="H5" s="463"/>
      <c r="I5" s="12" t="s">
        <v>268</v>
      </c>
      <c r="J5" s="332"/>
      <c r="K5" s="188"/>
      <c r="L5" t="s">
        <v>255</v>
      </c>
      <c r="W5" t="s">
        <v>25</v>
      </c>
      <c r="X5" t="s">
        <v>238</v>
      </c>
    </row>
    <row r="6" spans="2:30" ht="25.5" customHeight="1" x14ac:dyDescent="0.25">
      <c r="B6" s="196">
        <v>3</v>
      </c>
      <c r="C6" s="333" t="s">
        <v>279</v>
      </c>
      <c r="D6" s="38"/>
      <c r="E6" s="38"/>
      <c r="F6" s="335" t="s">
        <v>275</v>
      </c>
      <c r="G6" s="198"/>
      <c r="H6" s="198"/>
      <c r="I6" s="332" t="s">
        <v>269</v>
      </c>
      <c r="J6" s="332"/>
      <c r="K6" s="188"/>
      <c r="L6" t="s">
        <v>256</v>
      </c>
      <c r="W6" t="s">
        <v>237</v>
      </c>
    </row>
    <row r="7" spans="2:30" ht="15" x14ac:dyDescent="0.25">
      <c r="B7" s="193">
        <v>4</v>
      </c>
      <c r="C7" s="334"/>
      <c r="D7" s="38"/>
      <c r="E7" s="38"/>
      <c r="F7" s="336"/>
      <c r="G7" s="198"/>
      <c r="H7" s="198"/>
      <c r="I7" s="332"/>
      <c r="J7" s="332"/>
      <c r="K7" s="188"/>
    </row>
    <row r="8" spans="2:30" ht="15" x14ac:dyDescent="0.25">
      <c r="B8" s="196">
        <v>5</v>
      </c>
      <c r="C8" s="334"/>
      <c r="D8" s="38"/>
      <c r="E8" s="38"/>
      <c r="F8" s="336"/>
      <c r="G8" s="198"/>
      <c r="H8" s="198"/>
      <c r="I8" s="332"/>
      <c r="J8" s="332"/>
      <c r="K8" s="188"/>
      <c r="L8" t="s">
        <v>257</v>
      </c>
      <c r="W8" t="s">
        <v>3</v>
      </c>
    </row>
    <row r="9" spans="2:30" ht="15" x14ac:dyDescent="0.25">
      <c r="B9" s="193">
        <v>6</v>
      </c>
      <c r="C9" s="334"/>
      <c r="D9" s="38"/>
      <c r="E9" s="38"/>
      <c r="F9" s="337"/>
      <c r="G9" s="198"/>
      <c r="H9" s="198"/>
      <c r="I9" s="332"/>
      <c r="J9" s="332"/>
      <c r="K9" s="188"/>
      <c r="W9" t="s">
        <v>234</v>
      </c>
      <c r="Y9" t="s">
        <v>235</v>
      </c>
    </row>
    <row r="10" spans="2:30" x14ac:dyDescent="0.2">
      <c r="X10" t="s">
        <v>239</v>
      </c>
    </row>
    <row r="12" spans="2:30" ht="15" thickBot="1" x14ac:dyDescent="0.25">
      <c r="X12" t="s">
        <v>232</v>
      </c>
    </row>
    <row r="13" spans="2:30" ht="31.5" customHeight="1" x14ac:dyDescent="0.25">
      <c r="B13" s="177" t="s">
        <v>240</v>
      </c>
      <c r="C13" s="178" t="s">
        <v>241</v>
      </c>
      <c r="D13" s="468" t="s">
        <v>248</v>
      </c>
      <c r="E13" s="469"/>
      <c r="F13" s="469"/>
      <c r="G13" s="469"/>
      <c r="H13" s="469"/>
      <c r="I13" s="469"/>
      <c r="J13" s="470"/>
      <c r="X13" t="s">
        <v>233</v>
      </c>
      <c r="AD13" s="174" t="s">
        <v>244</v>
      </c>
    </row>
    <row r="14" spans="2:30" x14ac:dyDescent="0.2">
      <c r="B14" s="179">
        <v>0.33</v>
      </c>
      <c r="C14" s="175" t="s">
        <v>65</v>
      </c>
      <c r="D14" s="467" t="s">
        <v>242</v>
      </c>
      <c r="E14" s="465"/>
      <c r="F14" s="465"/>
      <c r="G14" s="465"/>
      <c r="H14" s="465"/>
      <c r="I14" s="465"/>
      <c r="J14" s="466"/>
    </row>
    <row r="15" spans="2:30" x14ac:dyDescent="0.2">
      <c r="B15" s="179">
        <v>0.33</v>
      </c>
      <c r="C15" s="175" t="s">
        <v>55</v>
      </c>
      <c r="D15" s="176" t="s">
        <v>247</v>
      </c>
      <c r="E15" s="176"/>
      <c r="F15" s="176"/>
      <c r="G15" s="176"/>
      <c r="H15" s="176"/>
      <c r="I15" s="176"/>
      <c r="J15" s="180"/>
    </row>
    <row r="16" spans="2:30" x14ac:dyDescent="0.2">
      <c r="B16" s="179">
        <v>0.33</v>
      </c>
      <c r="C16" s="175" t="s">
        <v>243</v>
      </c>
      <c r="D16" s="176" t="s">
        <v>245</v>
      </c>
      <c r="E16" s="176"/>
      <c r="F16" s="176"/>
      <c r="G16" s="176"/>
      <c r="H16" s="176"/>
      <c r="I16" s="176"/>
      <c r="J16" s="180"/>
    </row>
    <row r="17" spans="2:10" x14ac:dyDescent="0.2">
      <c r="B17" s="464" t="s">
        <v>249</v>
      </c>
      <c r="C17" s="465"/>
      <c r="D17" s="465"/>
      <c r="E17" s="465"/>
      <c r="F17" s="465"/>
      <c r="G17" s="465"/>
      <c r="H17" s="465"/>
      <c r="I17" s="465"/>
      <c r="J17" s="466"/>
    </row>
    <row r="18" spans="2:10" ht="15" thickBot="1" x14ac:dyDescent="0.25">
      <c r="B18" s="181" t="s">
        <v>246</v>
      </c>
      <c r="C18" s="182"/>
      <c r="D18" s="183"/>
      <c r="E18" s="183"/>
      <c r="F18" s="183"/>
      <c r="G18" s="183"/>
      <c r="H18" s="183"/>
      <c r="I18" s="183"/>
      <c r="J18" s="184"/>
    </row>
  </sheetData>
  <mergeCells count="9">
    <mergeCell ref="I6:I9"/>
    <mergeCell ref="G4:G5"/>
    <mergeCell ref="F6:F9"/>
    <mergeCell ref="H3:H5"/>
    <mergeCell ref="B17:J17"/>
    <mergeCell ref="D14:J14"/>
    <mergeCell ref="D13:J13"/>
    <mergeCell ref="C6:C9"/>
    <mergeCell ref="J3:J9"/>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2"/>
  <sheetViews>
    <sheetView rightToLeft="1" workbookViewId="0">
      <selection activeCell="B19" sqref="B19"/>
    </sheetView>
  </sheetViews>
  <sheetFormatPr defaultRowHeight="14.25" x14ac:dyDescent="0.2"/>
  <cols>
    <col min="1" max="1" width="15.75" customWidth="1"/>
    <col min="3" max="3" width="8.5" customWidth="1"/>
    <col min="4" max="4" width="9.5" customWidth="1"/>
    <col min="5" max="5" width="10.5" customWidth="1"/>
    <col min="6" max="6" width="9.875" customWidth="1"/>
    <col min="7" max="7" width="10.375" customWidth="1"/>
    <col min="8" max="8" width="15.625" customWidth="1"/>
    <col min="9" max="9" width="21.25" customWidth="1"/>
    <col min="10" max="10" width="23.25" customWidth="1"/>
    <col min="11" max="11" width="18.5" customWidth="1"/>
    <col min="12" max="12" width="18.375" customWidth="1"/>
    <col min="13" max="13" width="28.75" customWidth="1"/>
    <col min="14" max="14" width="24.5" customWidth="1"/>
    <col min="15" max="15" width="25.75" customWidth="1"/>
  </cols>
  <sheetData>
    <row r="1" spans="1:15" x14ac:dyDescent="0.2">
      <c r="A1" s="35"/>
      <c r="B1" s="36" t="s">
        <v>63</v>
      </c>
      <c r="C1" s="474" t="s">
        <v>23</v>
      </c>
      <c r="D1" s="475"/>
      <c r="E1" s="472" t="s">
        <v>24</v>
      </c>
      <c r="F1" s="472"/>
      <c r="G1" s="472" t="s">
        <v>32</v>
      </c>
      <c r="H1" s="472"/>
      <c r="I1" s="472" t="s">
        <v>27</v>
      </c>
      <c r="J1" s="472"/>
      <c r="K1" s="472"/>
      <c r="L1" s="472"/>
      <c r="M1" s="472" t="s">
        <v>39</v>
      </c>
      <c r="N1" s="472"/>
      <c r="O1" s="472"/>
    </row>
    <row r="2" spans="1:15" x14ac:dyDescent="0.2">
      <c r="A2" s="35"/>
      <c r="B2" s="37" t="s">
        <v>0</v>
      </c>
      <c r="C2" s="37" t="s">
        <v>22</v>
      </c>
      <c r="D2" s="37" t="s">
        <v>20</v>
      </c>
      <c r="E2" s="37" t="s">
        <v>20</v>
      </c>
      <c r="F2" s="37" t="s">
        <v>21</v>
      </c>
      <c r="G2" s="37" t="s">
        <v>1</v>
      </c>
      <c r="H2" s="37" t="s">
        <v>25</v>
      </c>
      <c r="I2" s="37" t="s">
        <v>36</v>
      </c>
      <c r="J2" s="37" t="s">
        <v>2</v>
      </c>
      <c r="K2" s="37" t="s">
        <v>37</v>
      </c>
      <c r="L2" s="37" t="s">
        <v>4</v>
      </c>
      <c r="M2" s="37" t="s">
        <v>34</v>
      </c>
      <c r="N2" s="37" t="s">
        <v>6</v>
      </c>
      <c r="O2" s="37" t="s">
        <v>35</v>
      </c>
    </row>
    <row r="3" spans="1:15" ht="38.25" x14ac:dyDescent="0.2">
      <c r="A3" s="473" t="s">
        <v>30</v>
      </c>
      <c r="B3" s="12" t="s">
        <v>99</v>
      </c>
      <c r="C3" s="38">
        <v>0</v>
      </c>
      <c r="D3" s="38">
        <v>0</v>
      </c>
      <c r="E3" s="38">
        <v>0</v>
      </c>
      <c r="F3" s="38" t="s">
        <v>93</v>
      </c>
      <c r="G3" s="38"/>
      <c r="H3" s="38" t="s">
        <v>26</v>
      </c>
      <c r="I3" s="12" t="s">
        <v>40</v>
      </c>
      <c r="J3" s="12" t="s">
        <v>33</v>
      </c>
      <c r="K3" s="12" t="s">
        <v>104</v>
      </c>
      <c r="L3" s="38" t="s">
        <v>65</v>
      </c>
      <c r="M3" s="12" t="s">
        <v>5</v>
      </c>
      <c r="N3" s="317" t="s">
        <v>48</v>
      </c>
      <c r="O3" s="317" t="s">
        <v>47</v>
      </c>
    </row>
    <row r="4" spans="1:15" ht="51" x14ac:dyDescent="0.2">
      <c r="A4" s="473"/>
      <c r="B4" s="38">
        <v>1</v>
      </c>
      <c r="C4" s="39">
        <v>0.33333333333333331</v>
      </c>
      <c r="D4" s="39">
        <v>0.7</v>
      </c>
      <c r="E4" s="15" t="s">
        <v>102</v>
      </c>
      <c r="F4" s="15" t="s">
        <v>29</v>
      </c>
      <c r="G4" s="15" t="s">
        <v>111</v>
      </c>
      <c r="H4" s="15" t="s">
        <v>41</v>
      </c>
      <c r="I4" s="12" t="s">
        <v>52</v>
      </c>
      <c r="J4" s="16" t="s">
        <v>31</v>
      </c>
      <c r="K4" s="12" t="s">
        <v>89</v>
      </c>
      <c r="L4" s="16" t="s">
        <v>42</v>
      </c>
      <c r="M4" s="16" t="s">
        <v>38</v>
      </c>
      <c r="N4" s="318"/>
      <c r="O4" s="318"/>
    </row>
    <row r="5" spans="1:15" ht="51" x14ac:dyDescent="0.2">
      <c r="A5" s="473"/>
      <c r="B5" s="38">
        <v>2</v>
      </c>
      <c r="C5" s="39">
        <v>0.33</v>
      </c>
      <c r="D5" s="39">
        <v>0.7</v>
      </c>
      <c r="E5" s="15" t="s">
        <v>102</v>
      </c>
      <c r="F5" s="15" t="s">
        <v>29</v>
      </c>
      <c r="G5" s="15" t="s">
        <v>111</v>
      </c>
      <c r="H5" s="15" t="s">
        <v>41</v>
      </c>
      <c r="I5" s="12" t="s">
        <v>52</v>
      </c>
      <c r="J5" s="16" t="s">
        <v>31</v>
      </c>
      <c r="K5" s="12" t="s">
        <v>89</v>
      </c>
      <c r="L5" s="16" t="s">
        <v>42</v>
      </c>
      <c r="M5" s="16" t="s">
        <v>38</v>
      </c>
      <c r="N5" s="319"/>
      <c r="O5" s="319"/>
    </row>
    <row r="6" spans="1:15" ht="51" x14ac:dyDescent="0.2">
      <c r="A6" s="473" t="s">
        <v>101</v>
      </c>
      <c r="B6" s="38">
        <v>3</v>
      </c>
      <c r="C6" s="39">
        <v>0.33</v>
      </c>
      <c r="D6" s="39">
        <v>0.5</v>
      </c>
      <c r="E6" s="15" t="s">
        <v>103</v>
      </c>
      <c r="F6" s="15" t="s">
        <v>92</v>
      </c>
      <c r="G6" s="15" t="s">
        <v>112</v>
      </c>
      <c r="H6" s="15" t="s">
        <v>51</v>
      </c>
      <c r="I6" s="12" t="s">
        <v>52</v>
      </c>
      <c r="J6" s="16" t="s">
        <v>54</v>
      </c>
      <c r="K6" s="16" t="s">
        <v>59</v>
      </c>
      <c r="L6" s="40" t="s">
        <v>55</v>
      </c>
      <c r="M6" s="16" t="s">
        <v>91</v>
      </c>
      <c r="N6" s="12" t="s">
        <v>96</v>
      </c>
      <c r="O6" s="12" t="s">
        <v>105</v>
      </c>
    </row>
    <row r="7" spans="1:15" ht="51" x14ac:dyDescent="0.2">
      <c r="A7" s="473"/>
      <c r="B7" s="38">
        <v>4</v>
      </c>
      <c r="C7" s="39">
        <v>0.33</v>
      </c>
      <c r="D7" s="39">
        <v>0.5</v>
      </c>
      <c r="E7" s="15" t="s">
        <v>103</v>
      </c>
      <c r="F7" s="15" t="s">
        <v>92</v>
      </c>
      <c r="G7" s="15" t="s">
        <v>112</v>
      </c>
      <c r="H7" s="15" t="s">
        <v>51</v>
      </c>
      <c r="I7" s="12" t="s">
        <v>52</v>
      </c>
      <c r="J7" s="16" t="s">
        <v>54</v>
      </c>
      <c r="K7" s="16" t="s">
        <v>59</v>
      </c>
      <c r="L7" s="40" t="s">
        <v>55</v>
      </c>
      <c r="M7" s="16" t="s">
        <v>91</v>
      </c>
      <c r="N7" s="12" t="s">
        <v>96</v>
      </c>
      <c r="O7" s="12" t="s">
        <v>105</v>
      </c>
    </row>
    <row r="8" spans="1:15" ht="51" x14ac:dyDescent="0.2">
      <c r="A8" s="471" t="s">
        <v>100</v>
      </c>
      <c r="B8" s="38">
        <v>5</v>
      </c>
      <c r="C8" s="39">
        <v>0.33</v>
      </c>
      <c r="D8" s="39">
        <v>0.33</v>
      </c>
      <c r="E8" s="39" t="s">
        <v>28</v>
      </c>
      <c r="F8" s="39" t="s">
        <v>60</v>
      </c>
      <c r="G8" s="15" t="s">
        <v>62</v>
      </c>
      <c r="H8" s="15" t="s">
        <v>61</v>
      </c>
      <c r="I8" s="16" t="s">
        <v>94</v>
      </c>
      <c r="J8" s="16" t="s">
        <v>95</v>
      </c>
      <c r="K8" s="16" t="s">
        <v>106</v>
      </c>
      <c r="L8" s="40" t="s">
        <v>55</v>
      </c>
      <c r="M8" s="16" t="s">
        <v>107</v>
      </c>
      <c r="N8" s="12" t="s">
        <v>97</v>
      </c>
      <c r="O8" s="12" t="s">
        <v>108</v>
      </c>
    </row>
    <row r="9" spans="1:15" ht="51" x14ac:dyDescent="0.2">
      <c r="A9" s="471"/>
      <c r="B9" s="38">
        <v>6</v>
      </c>
      <c r="C9" s="41">
        <v>0.33</v>
      </c>
      <c r="D9" s="41">
        <v>0.33</v>
      </c>
      <c r="E9" s="38" t="s">
        <v>28</v>
      </c>
      <c r="F9" s="38" t="s">
        <v>60</v>
      </c>
      <c r="G9" s="15" t="s">
        <v>62</v>
      </c>
      <c r="H9" s="15" t="s">
        <v>61</v>
      </c>
      <c r="I9" s="16" t="s">
        <v>94</v>
      </c>
      <c r="J9" s="16" t="s">
        <v>95</v>
      </c>
      <c r="K9" s="16" t="s">
        <v>106</v>
      </c>
      <c r="L9" s="40" t="s">
        <v>55</v>
      </c>
      <c r="M9" s="16" t="s">
        <v>107</v>
      </c>
      <c r="N9" s="12" t="s">
        <v>97</v>
      </c>
      <c r="O9" s="12" t="s">
        <v>108</v>
      </c>
    </row>
    <row r="14" spans="1:15" x14ac:dyDescent="0.2">
      <c r="B14" s="24" t="s">
        <v>50</v>
      </c>
      <c r="C14" s="25" t="s">
        <v>64</v>
      </c>
      <c r="D14" s="26"/>
      <c r="E14" s="26"/>
      <c r="F14" s="26"/>
      <c r="G14" s="26"/>
      <c r="H14" s="26"/>
      <c r="I14" s="26"/>
      <c r="J14" s="26"/>
    </row>
    <row r="15" spans="1:15" x14ac:dyDescent="0.2">
      <c r="B15" s="24">
        <v>1</v>
      </c>
      <c r="C15" s="26" t="s">
        <v>57</v>
      </c>
      <c r="D15" s="26"/>
      <c r="E15" s="26"/>
      <c r="F15" s="26"/>
      <c r="G15" s="26"/>
      <c r="H15" s="26"/>
      <c r="I15" s="26"/>
      <c r="J15" s="26"/>
    </row>
    <row r="16" spans="1:15" x14ac:dyDescent="0.2">
      <c r="B16" s="24">
        <v>2</v>
      </c>
      <c r="C16" s="26" t="s">
        <v>56</v>
      </c>
      <c r="D16" s="26"/>
      <c r="E16" s="26"/>
      <c r="F16" s="26"/>
      <c r="G16" s="26"/>
      <c r="H16" s="26"/>
      <c r="I16" s="26"/>
      <c r="J16" s="26"/>
    </row>
    <row r="17" spans="2:10" x14ac:dyDescent="0.2">
      <c r="B17" s="24">
        <v>3</v>
      </c>
      <c r="C17" s="26" t="s">
        <v>58</v>
      </c>
      <c r="D17" s="26"/>
      <c r="E17" s="26"/>
      <c r="F17" s="26"/>
      <c r="G17" s="26"/>
      <c r="H17" s="26"/>
      <c r="I17" s="26"/>
      <c r="J17" s="26"/>
    </row>
    <row r="18" spans="2:10" x14ac:dyDescent="0.2">
      <c r="B18" s="24">
        <v>4</v>
      </c>
      <c r="C18" s="26" t="s">
        <v>43</v>
      </c>
      <c r="D18" s="26"/>
      <c r="E18" s="26"/>
      <c r="F18" s="26"/>
      <c r="G18" s="26"/>
      <c r="H18" s="26"/>
      <c r="I18" s="26"/>
      <c r="J18" s="26"/>
    </row>
    <row r="19" spans="2:10" x14ac:dyDescent="0.2">
      <c r="B19" s="24">
        <v>5</v>
      </c>
      <c r="C19" s="26" t="s">
        <v>44</v>
      </c>
      <c r="D19" s="26"/>
      <c r="E19" s="26"/>
      <c r="F19" s="26"/>
      <c r="G19" s="26"/>
      <c r="H19" s="26"/>
      <c r="I19" s="26"/>
      <c r="J19" s="26"/>
    </row>
    <row r="20" spans="2:10" x14ac:dyDescent="0.2">
      <c r="B20" s="24">
        <v>6</v>
      </c>
      <c r="C20" s="26" t="s">
        <v>45</v>
      </c>
      <c r="D20" s="26"/>
      <c r="E20" s="26"/>
      <c r="F20" s="26"/>
      <c r="G20" s="26"/>
      <c r="H20" s="26"/>
      <c r="I20" s="26"/>
      <c r="J20" s="26"/>
    </row>
    <row r="21" spans="2:10" x14ac:dyDescent="0.2">
      <c r="B21" s="24">
        <v>7</v>
      </c>
      <c r="C21" s="26" t="s">
        <v>46</v>
      </c>
      <c r="D21" s="26"/>
      <c r="E21" s="26"/>
      <c r="F21" s="26"/>
      <c r="G21" s="26"/>
      <c r="H21" s="26"/>
      <c r="I21" s="26"/>
      <c r="J21" s="26"/>
    </row>
    <row r="22" spans="2:10" x14ac:dyDescent="0.2">
      <c r="B22" s="24">
        <v>8</v>
      </c>
      <c r="C22" s="26" t="s">
        <v>49</v>
      </c>
      <c r="D22" s="26"/>
      <c r="E22" s="26"/>
      <c r="F22" s="26"/>
      <c r="G22" s="26"/>
      <c r="H22" s="26"/>
      <c r="I22" s="26"/>
      <c r="J22" s="26"/>
    </row>
  </sheetData>
  <mergeCells count="10">
    <mergeCell ref="A8:A9"/>
    <mergeCell ref="G1:H1"/>
    <mergeCell ref="I1:L1"/>
    <mergeCell ref="A3:A5"/>
    <mergeCell ref="M1:O1"/>
    <mergeCell ref="O3:O5"/>
    <mergeCell ref="N3:N5"/>
    <mergeCell ref="C1:D1"/>
    <mergeCell ref="E1:F1"/>
    <mergeCell ref="A6:A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14</vt:i4>
      </vt:variant>
    </vt:vector>
  </HeadingPairs>
  <TitlesOfParts>
    <vt:vector size="14" baseType="lpstr">
      <vt:lpstr>חלוקת גזרות</vt:lpstr>
      <vt:lpstr>עקרונות פעולה</vt:lpstr>
      <vt:lpstr>תמרוץ שירותים</vt:lpstr>
      <vt:lpstr>שירותים בגמלה</vt:lpstr>
      <vt:lpstr>שירותים בג. סיעוד</vt:lpstr>
      <vt:lpstr>גיליון4</vt:lpstr>
      <vt:lpstr>גיליון2</vt:lpstr>
      <vt:lpstr>גיליון3</vt:lpstr>
      <vt:lpstr>קופות חולים</vt:lpstr>
      <vt:lpstr>תמרוץ שירותים1</vt:lpstr>
      <vt:lpstr>יתרון יחסי</vt:lpstr>
      <vt:lpstr>מצבי חיים</vt:lpstr>
      <vt:lpstr>גיליון1</vt:lpstr>
      <vt:lpstr>טיוטות</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אביעד יצחקי</cp:lastModifiedBy>
  <cp:lastPrinted>2022-02-27T11:50:39Z</cp:lastPrinted>
  <dcterms:created xsi:type="dcterms:W3CDTF">2022-02-25T12:06:36Z</dcterms:created>
  <dcterms:modified xsi:type="dcterms:W3CDTF">2024-05-13T06:45:56Z</dcterms:modified>
</cp:coreProperties>
</file>