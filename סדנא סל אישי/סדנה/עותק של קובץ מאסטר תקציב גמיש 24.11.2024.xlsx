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molsa.gov.il\Shares\אגף אזרחים ותיקים\אגפי תכנון ותקצוב\אסטרטגיה\בין משרדי\בטלא\סל אישי\EY מחקר\סדנה\"/>
    </mc:Choice>
  </mc:AlternateContent>
  <bookViews>
    <workbookView xWindow="-120" yWindow="-120" windowWidth="29040" windowHeight="15720" tabRatio="763"/>
  </bookViews>
  <sheets>
    <sheet name="הוראות שימוש" sheetId="17" r:id="rId1"/>
    <sheet name="תכנון תקציבי" sheetId="3" r:id="rId2"/>
    <sheet name="טבלאות עזר לדשבורד" sheetId="18" state="hidden" r:id="rId3"/>
    <sheet name="עלות השירותים" sheetId="12" r:id="rId4"/>
    <sheet name="מאגר השירותים" sheetId="13" r:id="rId5"/>
    <sheet name="מועדונים ויזמות" sheetId="10" r:id="rId6"/>
  </sheets>
  <definedNames>
    <definedName name="_xlnm._FilterDatabase" localSheetId="1" hidden="1">'תכנון תקציבי'!$L$46:$L$46</definedName>
    <definedName name="סיבת_השינוי" localSheetId="4">'מאגר השירותים'!#REF!</definedName>
    <definedName name="סיבת_השינוי" localSheetId="5">'מועדונים ויזמות'!#REF!</definedName>
    <definedName name="סיבת_השינוי" localSheetId="3">'עלות השירותים'!$M$12:$M$39</definedName>
    <definedName name="סיבת_השינוי">'תכנון תקציבי'!$L$27:$L$46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3" l="1"/>
  <c r="S47" i="3"/>
  <c r="S46" i="3"/>
  <c r="E28" i="3"/>
  <c r="E27" i="3"/>
  <c r="H7" i="18" l="1"/>
  <c r="G7" i="18" a="1"/>
  <c r="G7" i="18" s="1"/>
  <c r="F7" i="18"/>
  <c r="C7" i="18"/>
  <c r="B7" i="18"/>
  <c r="L23" i="18"/>
  <c r="L10" i="18"/>
  <c r="K23" i="18"/>
  <c r="K10" i="18"/>
  <c r="F8" i="18"/>
  <c r="F6" i="18"/>
  <c r="F5" i="18"/>
  <c r="F4" i="18"/>
  <c r="F3" i="18"/>
  <c r="B8" i="18"/>
  <c r="B6" i="18"/>
  <c r="B5" i="18"/>
  <c r="B3" i="18"/>
  <c r="F19" i="18"/>
  <c r="F18" i="18"/>
  <c r="C19" i="18"/>
  <c r="C18" i="18"/>
  <c r="B19" i="18"/>
  <c r="B18" i="18"/>
  <c r="C8" i="18"/>
  <c r="C6" i="18"/>
  <c r="C5" i="18"/>
  <c r="C3" i="18"/>
  <c r="C8" i="3"/>
  <c r="G44" i="3" l="1"/>
  <c r="K38" i="3"/>
  <c r="J38" i="3" s="1"/>
  <c r="H44" i="12"/>
  <c r="M489" i="10" s="1"/>
  <c r="G490" i="10"/>
  <c r="H13" i="12"/>
  <c r="M487" i="10" s="1"/>
  <c r="H14" i="12"/>
  <c r="M488" i="10" s="1"/>
  <c r="H16" i="12"/>
  <c r="I16" i="12" s="1"/>
  <c r="H17" i="12"/>
  <c r="H18" i="12"/>
  <c r="I18" i="12" s="1"/>
  <c r="H19" i="12"/>
  <c r="M486" i="10" s="1"/>
  <c r="H20" i="12"/>
  <c r="I20" i="12" s="1"/>
  <c r="H12" i="12"/>
  <c r="I12" i="12" s="1"/>
  <c r="V378" i="10"/>
  <c r="V475" i="10"/>
  <c r="D491" i="10"/>
  <c r="K68" i="3"/>
  <c r="J68" i="3" s="1"/>
  <c r="K64" i="3"/>
  <c r="J64" i="3" s="1"/>
  <c r="K58" i="3"/>
  <c r="J58" i="3" s="1"/>
  <c r="K40" i="3"/>
  <c r="J40" i="3" s="1"/>
  <c r="S30" i="3"/>
  <c r="B4" i="18"/>
  <c r="S29" i="3"/>
  <c r="C4" i="18" s="1"/>
  <c r="K487" i="10" l="1"/>
  <c r="I487" i="10"/>
  <c r="I17" i="12"/>
  <c r="H28" i="3"/>
  <c r="H4" i="18" s="1"/>
  <c r="H30" i="3"/>
  <c r="H5" i="18" s="1"/>
  <c r="G487" i="10"/>
  <c r="K488" i="10"/>
  <c r="I490" i="10"/>
  <c r="G485" i="10"/>
  <c r="K490" i="10"/>
  <c r="K485" i="10"/>
  <c r="M490" i="10"/>
  <c r="H54" i="3"/>
  <c r="H56" i="3"/>
  <c r="I19" i="12"/>
  <c r="G488" i="10"/>
  <c r="M485" i="10"/>
  <c r="I488" i="10"/>
  <c r="I14" i="12"/>
  <c r="I485" i="10"/>
  <c r="I13" i="12"/>
  <c r="K489" i="10"/>
  <c r="G489" i="10"/>
  <c r="I489" i="10"/>
  <c r="G486" i="10"/>
  <c r="I486" i="10"/>
  <c r="K486" i="10"/>
  <c r="W56" i="3"/>
  <c r="W55" i="3"/>
  <c r="W54" i="3"/>
  <c r="W53" i="3"/>
  <c r="V56" i="3"/>
  <c r="V55" i="3"/>
  <c r="V54" i="3"/>
  <c r="V53" i="3"/>
  <c r="U56" i="3"/>
  <c r="U55" i="3"/>
  <c r="U54" i="3"/>
  <c r="U53" i="3"/>
  <c r="W42" i="3"/>
  <c r="W41" i="3"/>
  <c r="W36" i="3"/>
  <c r="W35" i="3"/>
  <c r="W31" i="3"/>
  <c r="V42" i="3"/>
  <c r="V41" i="3"/>
  <c r="V36" i="3"/>
  <c r="V35" i="3"/>
  <c r="V31" i="3"/>
  <c r="U42" i="3"/>
  <c r="U41" i="3"/>
  <c r="U36" i="3"/>
  <c r="U35" i="3"/>
  <c r="U31" i="3"/>
  <c r="D15" i="3"/>
  <c r="G50" i="3"/>
  <c r="F50" i="3"/>
  <c r="H49" i="3"/>
  <c r="C9" i="3" s="1"/>
  <c r="G49" i="3"/>
  <c r="F49" i="3"/>
  <c r="G70" i="3"/>
  <c r="F70" i="3"/>
  <c r="E70" i="3"/>
  <c r="H69" i="3"/>
  <c r="C16" i="3" s="1"/>
  <c r="G69" i="3"/>
  <c r="F69" i="3"/>
  <c r="H36" i="3"/>
  <c r="H32" i="3"/>
  <c r="H6" i="18" s="1"/>
  <c r="I69" i="3"/>
  <c r="C17" i="3" s="1"/>
  <c r="U32" i="3"/>
  <c r="W32" i="3"/>
  <c r="V32" i="3"/>
  <c r="K56" i="3" l="1"/>
  <c r="J56" i="3" s="1"/>
  <c r="H19" i="18"/>
  <c r="K36" i="3"/>
  <c r="J36" i="3" s="1"/>
  <c r="H8" i="18"/>
  <c r="K54" i="3"/>
  <c r="J54" i="3" s="1"/>
  <c r="H18" i="18"/>
  <c r="H70" i="3"/>
  <c r="L491" i="10"/>
  <c r="J491" i="10"/>
  <c r="K32" i="3"/>
  <c r="J32" i="3" s="1"/>
  <c r="K30" i="3"/>
  <c r="J30" i="3" s="1"/>
  <c r="K42" i="3"/>
  <c r="K28" i="3"/>
  <c r="J28" i="3" s="1"/>
  <c r="E50" i="3"/>
  <c r="I49" i="3"/>
  <c r="C10" i="3" s="1"/>
  <c r="H491" i="10"/>
  <c r="F491" i="10"/>
  <c r="L12" i="12"/>
  <c r="H26" i="3"/>
  <c r="L16" i="12"/>
  <c r="M16" i="12" s="1"/>
  <c r="L14" i="12"/>
  <c r="M14" i="12" s="1"/>
  <c r="D16" i="3" l="1"/>
  <c r="D17" i="3" s="1"/>
  <c r="E16" i="3"/>
  <c r="E17" i="3" s="1"/>
  <c r="N491" i="10"/>
  <c r="K26" i="3"/>
  <c r="J26" i="3" s="1"/>
  <c r="H3" i="18"/>
  <c r="H50" i="3"/>
  <c r="E9" i="3" s="1"/>
  <c r="E10" i="3" s="1"/>
  <c r="D9" i="3" l="1"/>
  <c r="D10" i="3" s="1"/>
  <c r="L13" i="12"/>
  <c r="M13" i="12" s="1"/>
  <c r="L17" i="12"/>
  <c r="M17" i="12" s="1"/>
  <c r="L18" i="12"/>
  <c r="M18" i="12" s="1"/>
  <c r="L19" i="12"/>
  <c r="M19" i="12" s="1"/>
  <c r="L20" i="12"/>
  <c r="M20" i="12" s="1"/>
  <c r="M12" i="12"/>
  <c r="E49" i="3" l="1"/>
  <c r="E69" i="3"/>
  <c r="J42" i="3"/>
  <c r="G8" i="18"/>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<sst xmlns="http://schemas.openxmlformats.org/spreadsheetml/2006/main" count="2194" uniqueCount="1608">
  <si>
    <t>דגשים כלליים:</t>
  </si>
  <si>
    <t>הסבר על הכלי:</t>
  </si>
  <si>
    <t>מקרא:</t>
  </si>
  <si>
    <t>דוגמה לשדה הנדרש למילוי:</t>
  </si>
  <si>
    <t>הזדקנות מיטבית - קהילה 0243419</t>
  </si>
  <si>
    <t>מרכזי יום</t>
  </si>
  <si>
    <t>מיזמי הפגת בדידות</t>
  </si>
  <si>
    <t>מועדון מועשר</t>
  </si>
  <si>
    <t>קהילה תומכת</t>
  </si>
  <si>
    <t>נופשונים</t>
  </si>
  <si>
    <t>שירותים לניצולי שואה - 0243438</t>
  </si>
  <si>
    <t>הפגת בדידות</t>
  </si>
  <si>
    <t>מרותקי בית</t>
  </si>
  <si>
    <t>תכנון שנתי</t>
  </si>
  <si>
    <t>ביצוע</t>
  </si>
  <si>
    <t>תוכנית</t>
  </si>
  <si>
    <t>מסגרות בדיווח מסר</t>
  </si>
  <si>
    <t>מרכזי היום</t>
  </si>
  <si>
    <t>מועדון מופת</t>
  </si>
  <si>
    <t>שירותים בדיווח רשות</t>
  </si>
  <si>
    <t>בני משפחה מטפלים</t>
  </si>
  <si>
    <t>טיפול באזרח ותיק בסיכון</t>
  </si>
  <si>
    <t>מוקד שייכות</t>
  </si>
  <si>
    <t>סה"כ</t>
  </si>
  <si>
    <t>קהילה תומכת ניצולי שואה</t>
  </si>
  <si>
    <t>מופ"ת ניצולי שואה</t>
  </si>
  <si>
    <t>הפגות לניצולי שואה (+סופ"ש)</t>
  </si>
  <si>
    <t>מרותקי בית נצלש</t>
  </si>
  <si>
    <t>סה"כ תקציב "קהילה" מול ביצוע</t>
  </si>
  <si>
    <t>תקציב</t>
  </si>
  <si>
    <t>תכנון</t>
  </si>
  <si>
    <t>ביצוע/יתרה</t>
  </si>
  <si>
    <t>סיבה 1</t>
  </si>
  <si>
    <t>סיבה 2</t>
  </si>
  <si>
    <t>סה"כ תקציב "ניצולי שואה" מול ביצוע</t>
  </si>
  <si>
    <t>סיבה 3</t>
  </si>
  <si>
    <t>סיבה 4</t>
  </si>
  <si>
    <t>סיבה 5</t>
  </si>
  <si>
    <t>לפתיחה וסגירה של הדשבורד יש ללחוץ על הפלוס/המינוס</t>
  </si>
  <si>
    <t>תוכניות ותקציב</t>
  </si>
  <si>
    <t>מושמי רווחה</t>
  </si>
  <si>
    <t>לקוחות ביטוח לאומי</t>
  </si>
  <si>
    <t>מספר מסגרות/ מסגרות עתידיות</t>
  </si>
  <si>
    <t>רמזור</t>
  </si>
  <si>
    <t>שנה</t>
  </si>
  <si>
    <t>מספר ימי ביקור</t>
  </si>
  <si>
    <t>החלטה מקצועית על אפקטיביות השירות</t>
  </si>
  <si>
    <t>יעילות השירות ביחס לתקציב</t>
  </si>
  <si>
    <t>רצון לפתח תחום חדש</t>
  </si>
  <si>
    <t>כך עלה בשיתוף ציבור/מיפוי שנעשה ברשות</t>
  </si>
  <si>
    <t>ביקוש נמוך לשירות ברשות</t>
  </si>
  <si>
    <t>חוסר מועילות השירות מבחינה מקצועית</t>
  </si>
  <si>
    <t>שירות יקר ביחס לתועלת</t>
  </si>
  <si>
    <t>קושי בהפעלת השירות מול ספק</t>
  </si>
  <si>
    <t>גדולה</t>
  </si>
  <si>
    <t>מושמי רווחה - הזדקנות מיטבית בקהילה</t>
  </si>
  <si>
    <t>תקציב - הזדקנות מיטבית בקהילה</t>
  </si>
  <si>
    <t>תקציב מול ביצוע - הזדקנות מיטבית בקהילה</t>
  </si>
  <si>
    <t>פער התקציבים לפי שנים - הזדקנות מיטבית בקהילה</t>
  </si>
  <si>
    <t>פער מ2022</t>
  </si>
  <si>
    <t>מושמי רווחה - ניצולי שואה</t>
  </si>
  <si>
    <t>תקציב - ניצולי שואה</t>
  </si>
  <si>
    <t>תקציב מול ביצוע - ניצולי שואה</t>
  </si>
  <si>
    <t>פער התקציבים לפי שנים - ניצולי שואה</t>
  </si>
  <si>
    <t>*התעריפים עשויים להתעדכן מעת לעת*</t>
  </si>
  <si>
    <t>סמל תעריף/ רכיבי פעילות</t>
  </si>
  <si>
    <t>הערות</t>
  </si>
  <si>
    <t>תעריף</t>
  </si>
  <si>
    <t>השתתפות עצמית</t>
  </si>
  <si>
    <t>תקציב חודשי נדרש למושם</t>
  </si>
  <si>
    <t>מתוכו מצינג רשות</t>
  </si>
  <si>
    <t>מספר משתתפים מקסימלי</t>
  </si>
  <si>
    <t>מספר מושמים במודל</t>
  </si>
  <si>
    <t>עלות שנתית</t>
  </si>
  <si>
    <t>עלות לרשות</t>
  </si>
  <si>
    <t xml:space="preserve">קיימת הוראת שעה למימוש דרך גמלת הסיעוד - קיים תעריף 147₪ </t>
  </si>
  <si>
    <t>השתתפות עצמית משתנה בהתאם לטבלת השתתפות עצמית</t>
  </si>
  <si>
    <t>יומי</t>
  </si>
  <si>
    <t>רוב המבקרים מביטוח לאומי</t>
  </si>
  <si>
    <t>דיווח רשות</t>
  </si>
  <si>
    <t>מרכז קטן</t>
  </si>
  <si>
    <t>-</t>
  </si>
  <si>
    <t>מרכז בינוני</t>
  </si>
  <si>
    <t>מרכז גדול</t>
  </si>
  <si>
    <t>תכנון בגישה קהילתית</t>
  </si>
  <si>
    <t>ייעוץ משפטי</t>
  </si>
  <si>
    <t>קישור להנחיות ונהלים</t>
  </si>
  <si>
    <t>ייעוץ פסיכוגריאטרי</t>
  </si>
  <si>
    <t>אירועים קהילתיים</t>
  </si>
  <si>
    <t>פרסום ושיווק</t>
  </si>
  <si>
    <t>טיפול משלים</t>
  </si>
  <si>
    <t>הגברת תחושת השייכות</t>
  </si>
  <si>
    <t> הגברת ההשתתפות החברתית</t>
  </si>
  <si>
    <t> חיזוק רשתות חברתיות</t>
  </si>
  <si>
    <t> שימור תפקוד</t>
  </si>
  <si>
    <t> מניעה - איתור וצמצום מצבי סיכון</t>
  </si>
  <si>
    <t> שיפור החוסן והרווחה של בן משפחה מטפל</t>
  </si>
  <si>
    <t> דחיקת תלות בקרב נתמכים על ידי המשפחה</t>
  </si>
  <si>
    <t>קישור לדף אישורים</t>
  </si>
  <si>
    <t>סלב</t>
  </si>
  <si>
    <t>בתים חמים</t>
  </si>
  <si>
    <t>הצרכים שעליהם ניתן מענה</t>
  </si>
  <si>
    <t>רמת תיפקוד</t>
  </si>
  <si>
    <t>מטרה</t>
  </si>
  <si>
    <t>צמצום תחושת הבדידות, פיתוח ועיבוי רשתות חברתיות, הגברת תחושת המשמעות, קידום אורח חיים פעיל ובריא תזונה, כושר ועוד, איתור אזרחים ותיקים במצבים מנבאי סיכון</t>
  </si>
  <si>
    <t>צמצום תחושת הבדידות ,פיתוח ועיבוי רשתות חברתיות ,הגברת תחושת המשמעות</t>
  </si>
  <si>
    <t>עצמאי,תשוש</t>
  </si>
  <si>
    <t>הגברת תחושת השייכות והמשמעות,שימור תפקוד,מניעה - איתור וצמצום מצבי סיכון</t>
  </si>
  <si>
    <t xml:space="preserve">עצמאי,תשוש </t>
  </si>
  <si>
    <t>טיפול והשגחה לאחר שחרור מבית החולים או מגורים לזמן קצוב מסיבות משפחתיות או בריאותיות</t>
  </si>
  <si>
    <t>עצמאי, תשוש, תשוש נפש</t>
  </si>
  <si>
    <t>מסגרת לאזרחים ותיקים הזקוקים לטיפול זמני והשגחה במצבים שונים, כגון: לאחר אשפוז, מתן פסק זמן לאדם המטפל בו, ועוד.</t>
  </si>
  <si>
    <t>עצמאי,תשוש,תשוש נפש,סיעודי</t>
  </si>
  <si>
    <t>ייעוץ, תמיכה וליווי אישי,סיוע במיצוי זכויות, תיווך לגורמים נוספים הנותנים סיוע ותמיכה לבני משפחה מטפלים באזרחים וותיקים, מתן מידע על הליכים בירוקרטיים ועל הטיפול הישיר באזרח הוותיק
קבוצות, סדנאות והרצאות ואירועים קהילתיים, מתן כלים ומיומנויות לטיפול מיטבי והקלה בעומס.</t>
  </si>
  <si>
    <t>אין מידע</t>
  </si>
  <si>
    <t>מתן טיפול, ליווי, סיוע משפטי וחוקי, תמיכה ותיווך,
העלאת המודעות לתופעה,איתור וזיהוי מקרי התעללות והזנחה ומצבי סיכון.</t>
  </si>
  <si>
    <t>מניעה - איתור וצמצום מצבי סיכון</t>
  </si>
  <si>
    <t>הגברת תחושת השייכות והמשמעות</t>
  </si>
  <si>
    <t>איתור של אזרחים ותיקים חדשים, שמירת קשר עם אזרחים ותיקים הממעטים להשתתף בפעילויות/מסגרות, הפעלת פעילויות שונות להגברת שייכות</t>
  </si>
  <si>
    <t>עצמאי ,תשוש,תשוש נפש,סיעודי</t>
  </si>
  <si>
    <t>הגברת תחושת השייכות ושמירה על קשר עם האזרחים הותיקים ברשות</t>
  </si>
  <si>
    <t>סל תכנון שירותים בגישה קהילתית</t>
  </si>
  <si>
    <t>איסוף מידע על שירותים וצרכים של האזרח הותיק,הקמה והפעלת מנגנונים תומכי גישה קהיליתית כגו' פורומים,שולחנות עגולים וכדו',הנגשת מידע ושירותים,יעוץ הדרכה והנחיה בהקמת תשתית קהילתית למדורים לאזרחים ותיקים</t>
  </si>
  <si>
    <t>הגברת תחושת השייכות והמשמעות,דיוק של השירותים הניתנים לאזרח הותיק, שיתוף אזרחים ותיקים ועבודה עם שותפים</t>
  </si>
  <si>
    <t>צמצום תחושת הבדידות ,פיתוח ועיבוי רשתות חברתיות ,הגברת תחושת המשמעות,קידום אורח חיים פעיל ובריא תזונה, כושר ועוד,איתור אזרחים ותיקים במצבים מנבאי סיכון.</t>
  </si>
  <si>
    <t>הגברת תחושת השייכות והמשמעות,</t>
  </si>
  <si>
    <t>שימור תפקוד,
מניעה - איתור וצמצום מצבי סיכון</t>
  </si>
  <si>
    <t>מועדונים חברתיים-024342</t>
  </si>
  <si>
    <t>בית חם / פינה חמה</t>
  </si>
  <si>
    <t>הגברת תחושת השייכות והמשמעות,מניעה - איתור וצמצום מצבי סיכון</t>
  </si>
  <si>
    <t>מועדון חברתי</t>
  </si>
  <si>
    <t>צמצום תחושת הבדידות ,פיתוח ועיבוי רשתות חברתיות ,הגברת תחושת המשמעות,שיפור ושימור התפקודים הפיזיים והמנטליים,איתור אזרחים ותיקים במצבים מנבאי סיכון</t>
  </si>
  <si>
    <t>תוכניות נוספות</t>
  </si>
  <si>
    <t>שם התוכנית</t>
  </si>
  <si>
    <t>דרגת סיעוד</t>
  </si>
  <si>
    <t>מידע נוסף</t>
  </si>
  <si>
    <t>הפגות בדידות</t>
  </si>
  <si>
    <t>1 עד 3</t>
  </si>
  <si>
    <t>024342 מועדונים חברתיים</t>
  </si>
  <si>
    <t>בתים חמים לניצולי שואה</t>
  </si>
  <si>
    <t>מועדון חברתי?</t>
  </si>
  <si>
    <t>מועדון חברתי לניצולי שואה</t>
  </si>
  <si>
    <t>הגברת תחושת השייכות והמשמעות,מניעה - איתור וצמצום מצבי סיכון ,שיפור החוסן והרווחה של בן המשפחה המטפל</t>
  </si>
  <si>
    <t>מז"ל (מעגל זהב להט"ב)</t>
  </si>
  <si>
    <t>צמצום תחושת הבדידות ,פיתוח ועיבוי רשתות חברתיות ,הגברת תחושת המשמעות,טיפול, תיווך וסנגור ברמה פרטנית וקבוצתית,בניית תכניות לפעילויות חברתית, פנאי ועשרה להפחת בדידות כגון הרצאות, חוגים ועוד,העלאת המודעות בקהילה ובשירותים בקהילה למאפיינים ולצורכי אוכלוסייה זו</t>
  </si>
  <si>
    <t>מחוברים- לאיפה?רלוונטי?</t>
  </si>
  <si>
    <t>צמצום תחושת הבדידות ,</t>
  </si>
  <si>
    <t>הגברת תחושת השייכות והמשמעות,שימור תפקוד</t>
  </si>
  <si>
    <t>1 עד 6</t>
  </si>
  <si>
    <t>הגברת תחושת המשמעות</t>
  </si>
  <si>
    <t>סיוע בצרכים מיוחדים 0243415 הזדקנות מיטבית ,                   ניצולי שואה 024340</t>
  </si>
  <si>
    <t>חוסן וביטחון כלכלי</t>
  </si>
  <si>
    <t>פיתוח ועיבוי רשתות חברתיות ,</t>
  </si>
  <si>
    <t>הגברת תחושת המשמעות,</t>
  </si>
  <si>
    <t>שיפור ושימור התפקודים הפיזיים והמנטליים,</t>
  </si>
  <si>
    <t>ייעוץ גריאטרי, סיעודי וכדומה ,</t>
  </si>
  <si>
    <t>קידום אורח חיים פעיל ובריא תזונה, כושר ועוד,</t>
  </si>
  <si>
    <t>תוכניות למניעת תחושת חוסר הביטחון התזונתי</t>
  </si>
  <si>
    <t>עו"ד יד -לאיפה?רלוונטי?</t>
  </si>
  <si>
    <t>מניעה וטיפול במצבי הזנחה והתעללות,</t>
  </si>
  <si>
    <t>מניעה - איתור וצמצום מצבי סיכון , חוסן ובטחון כלכלי</t>
  </si>
  <si>
    <t>איתור אזרחים ותיקים במצבים מנבאי סיכון,</t>
  </si>
  <si>
    <t>עריכת מסמכים בחינם על ידי עורך דין, הנובעים מתיקון 18 לחוק הכשרות המשפטית והאפוטרופסות: ייפוי כוח מתמשך, הבעת רצון והנחיות מקדימות לאפוטרופוס</t>
  </si>
  <si>
    <t>למסמך הנחיות למילוי גיליון מיזמים חדשים - לחץ/י כאן</t>
  </si>
  <si>
    <t>למילוי טבלת דיווח תוכניות קיימות/חדשות לחץ/י כאן</t>
  </si>
  <si>
    <t>למחשבון עזר לתכנון מסגרות חדשות בדיווח מסר לחץ/י כאן</t>
  </si>
  <si>
    <t xml:space="preserve">  </t>
  </si>
  <si>
    <t>תכנון מועדונים ובתים חמים</t>
  </si>
  <si>
    <t>מס' ימי פעילות בשבוע</t>
  </si>
  <si>
    <t>מס' שעות פעילות בכל יום</t>
  </si>
  <si>
    <t>מס' מבקרים ממוצע ליום פעילות</t>
  </si>
  <si>
    <t>מספר משתתפים במועדון המוכרים ברווחה</t>
  </si>
  <si>
    <t>גובה ההשתתפות העצמית של המבקר</t>
  </si>
  <si>
    <t>שירות</t>
  </si>
  <si>
    <t>סעיף 0243438</t>
  </si>
  <si>
    <t>קפה אירופה/קפה בריטניה (מועדוני ניצולי שואה)</t>
  </si>
  <si>
    <t>סיווג התוכנית</t>
  </si>
  <si>
    <t>טווח גילאים</t>
  </si>
  <si>
    <t>סוג הפעילות</t>
  </si>
  <si>
    <t>מס' מפגשים</t>
  </si>
  <si>
    <t xml:space="preserve">תדירות מפגשים </t>
  </si>
  <si>
    <t>תאריך התחלה מתוכנן</t>
  </si>
  <si>
    <t>כתובת הפעילות</t>
  </si>
  <si>
    <t>רכיבים ותמחור (יש לרשום בקצרה מרכיבי עלות)</t>
  </si>
  <si>
    <t>האם הופעל בשנה שעברה?</t>
  </si>
  <si>
    <t xml:space="preserve">האם יצא לפועל? </t>
  </si>
  <si>
    <t>כמה משתתפים היו בפועל?</t>
  </si>
  <si>
    <t>תוכניות קיימות</t>
  </si>
  <si>
    <t>62-75</t>
  </si>
  <si>
    <t>75-85</t>
  </si>
  <si>
    <t>85 ומעלה</t>
  </si>
  <si>
    <t xml:space="preserve">סה"כ </t>
  </si>
  <si>
    <t>לפתיחה וסגירה של שורות נוספות לחץ/י על הפלוס/המינוס</t>
  </si>
  <si>
    <t>מחשבון עזר לתכנון - מסגרות חדשות בדיווח מסר</t>
  </si>
  <si>
    <t>מס' מסגרות חדשות שנרצה לפתוח</t>
  </si>
  <si>
    <t>ינואר-מרץ</t>
  </si>
  <si>
    <t>אפריל-יוני</t>
  </si>
  <si>
    <t>יולי-ספטמבר</t>
  </si>
  <si>
    <t>נוב-דצמ'</t>
  </si>
  <si>
    <t>מסגרת חדשה</t>
  </si>
  <si>
    <t xml:space="preserve">מס' מושמים </t>
  </si>
  <si>
    <t>עלות רבעונית</t>
  </si>
  <si>
    <t>מס' מושמים</t>
  </si>
  <si>
    <t>הזדקנות מיטבית בקהילה</t>
  </si>
  <si>
    <t>תוכניות לניצולי שואה</t>
  </si>
  <si>
    <t>סה"כ עלות שנתית</t>
  </si>
  <si>
    <t>סה"כ תכנון הביצוע</t>
  </si>
  <si>
    <t>אוכלוסיית יעד</t>
  </si>
  <si>
    <t>האם מיועד לאזרחים ותיקים</t>
  </si>
  <si>
    <t>תדירות מפגשים</t>
  </si>
  <si>
    <t>מיקום</t>
  </si>
  <si>
    <t>שותפי ביצוע</t>
  </si>
  <si>
    <t>אישור פיקוח</t>
  </si>
  <si>
    <t>עצמאים</t>
  </si>
  <si>
    <t>כן</t>
  </si>
  <si>
    <t>פרטני</t>
  </si>
  <si>
    <t>חד פעמי</t>
  </si>
  <si>
    <t>בית הזקן</t>
  </si>
  <si>
    <t>עבודה קהילתית</t>
  </si>
  <si>
    <t>מאושר</t>
  </si>
  <si>
    <t>תשושים</t>
  </si>
  <si>
    <t>לא</t>
  </si>
  <si>
    <t>קבוצתי</t>
  </si>
  <si>
    <t>מספר פעמים בשבוע</t>
  </si>
  <si>
    <t>מבנה רשותי/אחר</t>
  </si>
  <si>
    <t>היחידה להתנדבות</t>
  </si>
  <si>
    <t>לא מאושר</t>
  </si>
  <si>
    <t>קידום שייכות</t>
  </si>
  <si>
    <t>מוגבלות תפקודית</t>
  </si>
  <si>
    <t>משולב</t>
  </si>
  <si>
    <t>קהילתי</t>
  </si>
  <si>
    <t>אחת לשבוע</t>
  </si>
  <si>
    <t>מרחב פתוח</t>
  </si>
  <si>
    <t>אגפים מחוץ לרווחה ברשות המקומית</t>
  </si>
  <si>
    <t>מניעת סיכון</t>
  </si>
  <si>
    <t>62-85</t>
  </si>
  <si>
    <t>אירוע שיא</t>
  </si>
  <si>
    <t>אחת לשבועיים</t>
  </si>
  <si>
    <t>עמותה לזקן</t>
  </si>
  <si>
    <t>שימור ושיפור תפקוד</t>
  </si>
  <si>
    <t>מתגוררים לבד</t>
  </si>
  <si>
    <t>62 ומעלה</t>
  </si>
  <si>
    <t>אחת לחודש</t>
  </si>
  <si>
    <t>קופת חולים</t>
  </si>
  <si>
    <t>בודדים - חסרי רשת תמיכה(משפחה/ חברים)</t>
  </si>
  <si>
    <t>75 ומעלה</t>
  </si>
  <si>
    <t>אחר</t>
  </si>
  <si>
    <t>חברת סיעוד</t>
  </si>
  <si>
    <t>ארגון מתנדבים/עמותה</t>
  </si>
  <si>
    <t>ניצולי שואה</t>
  </si>
  <si>
    <t>יוצאי אתיופיה</t>
  </si>
  <si>
    <t>מגזר חרדי</t>
  </si>
  <si>
    <t>מגזר ערבי</t>
  </si>
  <si>
    <t>לקות קוגנטיבית קלה</t>
  </si>
  <si>
    <r>
      <rPr>
        <b/>
        <sz val="14"/>
        <color theme="1"/>
        <rFont val="Gill Sans MT"/>
        <family val="2"/>
      </rPr>
      <t>לפניכם כלי המיועד לתכנון  תמהיל השירותים עבור האזרחים הותיקים ברשות. חשוב להדגיש את שלושת נושאי הליבה אשר עומדים בבסיס הרציונל לבחירת תמהיל השירותים: מניעת מצבי סיכון, הזנחה והתעללות; הגברת השייכות החברתית; שימור התפקוד.
שיחת התכנון המשותפת למש"ח ולמפקח/ת היא בליבת התהליך; עליכם להציג בה את הרציונל המקצועי, את המידע והנתונים התומכים ואת היבטי שיתוף הציבור/התייעצות שהנחו את תכנון תמהיל השירותים השנתי. כל זאת, תוך דיאלוג משמעותי עם המפקח/ת והיוועצות עמו/עמה.     
• לכל נושא ליבה קיים רצף מענים, שירותים ותכניות. עליכם להציג את המענה הנבחר ואת האופן שבו הוא נותן מענה, לתפיסתכם, לנושא הליבה.
• על המענים לפנות לאוכלוסיה רחבה ככל הניתן, תוך שקילת השיקולים המקצועיים הרלוונטיים, ולאפשר:
 התאמה לאזרחים ותיקים ברמות תפקוד שונות, ובפרט לכאלה הנתונים במצבים פגיעים ו/או הזקוקים לסיוע, בהתאם למצבי החיים המשתנים;
 התאמה תרבותית למגוון קהילות.
• המענים ישקפו הן את ציר המניעה והן את ציר הטיפול. חשוב שתמהיל השירותים השנתי ישקף פיתוח צעדי מניעה בעזרת קידום מענים אוניברסליים. 
• תמהיל השירותים השנתי יהיה מגוון מבחינת מתודות ההפעלה.
• על תמהיל השירותים השנתי לשקף הזדמנויות להגברת מיומנויות של אוריינות דיגיטלית.
• מהלך זה הינו הזדמנות והזמנה לבחינה מחודשת ומשותפת של העשייה, על פניה השונים. חשוב כי תכללו בתהליך התכנון בעלי עניין נוספים; בראש ובראשונה, מקבלי ומקבלות השירותים, ולצדם בעלי עניין רלוונטיים נוספים מהאקו-סיסטם הרשותי, ככל שניתן. כמובן שבשלבי ההרצה היקף מעורבות זו יהיה מוגבל, אך כן מצופה לראות התגברות בהיקף ובאיכות שלה בהמשך. במטרה לרכז עבורכם את כלל הכלים במקום אחד, תוכלו למצוא בלשוניות השונות קישורים ודאטה תומך אשר יעזרו לכם בתהליך התכנון.</t>
    </r>
    <r>
      <rPr>
        <sz val="14"/>
        <color theme="1"/>
        <rFont val="Gill Sans MT"/>
        <family val="2"/>
      </rPr>
      <t xml:space="preserve">
</t>
    </r>
  </si>
  <si>
    <t>תכנון 2024</t>
  </si>
  <si>
    <t>ביצוע 2024</t>
  </si>
  <si>
    <t>תכנון 2025</t>
  </si>
  <si>
    <t>שינוי הקצאה מביצוע 2024</t>
  </si>
  <si>
    <t>טבלת עזר לחישוב מושמי רווחה במרכזי היום לפי מספר ימי ביקור</t>
  </si>
  <si>
    <t>רחוב</t>
  </si>
  <si>
    <t>מספר</t>
  </si>
  <si>
    <t>כתובת המקום</t>
  </si>
  <si>
    <t xml:space="preserve">חברון </t>
  </si>
  <si>
    <t xml:space="preserve">קצר א-סר </t>
  </si>
  <si>
    <t xml:space="preserve">כמאנה </t>
  </si>
  <si>
    <t xml:space="preserve">סנסנה </t>
  </si>
  <si>
    <t xml:space="preserve">אעצם (שבט) </t>
  </si>
  <si>
    <t xml:space="preserve">אבירים </t>
  </si>
  <si>
    <t xml:space="preserve">אבו עבדון (שבט) </t>
  </si>
  <si>
    <t xml:space="preserve">אבו עמאר (שבט) </t>
  </si>
  <si>
    <t xml:space="preserve">אבו עמרה (שבט) </t>
  </si>
  <si>
    <t xml:space="preserve">אבו גוש </t>
  </si>
  <si>
    <t xml:space="preserve">אבו ג'ווייעד (שבט) </t>
  </si>
  <si>
    <t xml:space="preserve">אבו קרינאת (יישוב) </t>
  </si>
  <si>
    <t xml:space="preserve">אבו קורינאת (שבט) </t>
  </si>
  <si>
    <t xml:space="preserve">אבו רובייעה (שבט) </t>
  </si>
  <si>
    <t xml:space="preserve">אבו רוקייק (שבט) </t>
  </si>
  <si>
    <t xml:space="preserve">אבו סנאן </t>
  </si>
  <si>
    <t xml:space="preserve">אבו סריחאן (שבט) </t>
  </si>
  <si>
    <t xml:space="preserve">אבו תלול </t>
  </si>
  <si>
    <t xml:space="preserve">אדמית </t>
  </si>
  <si>
    <t xml:space="preserve">עדנים </t>
  </si>
  <si>
    <t xml:space="preserve">אדרת </t>
  </si>
  <si>
    <t xml:space="preserve">אדירים </t>
  </si>
  <si>
    <t xml:space="preserve">עדי </t>
  </si>
  <si>
    <t xml:space="preserve">אדורה </t>
  </si>
  <si>
    <t xml:space="preserve">אפיניש (שבט) </t>
  </si>
  <si>
    <t xml:space="preserve">אפק </t>
  </si>
  <si>
    <t xml:space="preserve">אפיק </t>
  </si>
  <si>
    <t xml:space="preserve">אפיקים </t>
  </si>
  <si>
    <t xml:space="preserve">עפולה </t>
  </si>
  <si>
    <t xml:space="preserve">עגור </t>
  </si>
  <si>
    <t xml:space="preserve">אחווה </t>
  </si>
  <si>
    <t xml:space="preserve">אחיעזר </t>
  </si>
  <si>
    <t xml:space="preserve">אחיהוד </t>
  </si>
  <si>
    <t xml:space="preserve">אחיסמך </t>
  </si>
  <si>
    <t xml:space="preserve">אחיטוב </t>
  </si>
  <si>
    <t xml:space="preserve">אחוזם </t>
  </si>
  <si>
    <t xml:space="preserve">אחוזת ברק </t>
  </si>
  <si>
    <t xml:space="preserve">עכו </t>
  </si>
  <si>
    <t xml:space="preserve">אל סייד </t>
  </si>
  <si>
    <t xml:space="preserve">אל-עריאן </t>
  </si>
  <si>
    <t xml:space="preserve">אל-עזי </t>
  </si>
  <si>
    <t xml:space="preserve">עלי זהב </t>
  </si>
  <si>
    <t xml:space="preserve">אלפי מנשה </t>
  </si>
  <si>
    <t xml:space="preserve">אלון הגליל </t>
  </si>
  <si>
    <t xml:space="preserve">אלון שבות </t>
  </si>
  <si>
    <t xml:space="preserve">אלוני אבא </t>
  </si>
  <si>
    <t xml:space="preserve">אלוני הבשן </t>
  </si>
  <si>
    <t xml:space="preserve">אלוני יצחק </t>
  </si>
  <si>
    <t xml:space="preserve">אלונים </t>
  </si>
  <si>
    <t xml:space="preserve">עלמה </t>
  </si>
  <si>
    <t xml:space="preserve">אלמגור </t>
  </si>
  <si>
    <t xml:space="preserve">אלמוג </t>
  </si>
  <si>
    <t xml:space="preserve">עלמון </t>
  </si>
  <si>
    <t xml:space="preserve">עלומים </t>
  </si>
  <si>
    <t xml:space="preserve">אלומה </t>
  </si>
  <si>
    <t xml:space="preserve">אלומות </t>
  </si>
  <si>
    <t xml:space="preserve">אמציה </t>
  </si>
  <si>
    <t xml:space="preserve">עמיר </t>
  </si>
  <si>
    <t xml:space="preserve">אמירים </t>
  </si>
  <si>
    <t xml:space="preserve">עמיעד </t>
  </si>
  <si>
    <t xml:space="preserve">עמיעוז </t>
  </si>
  <si>
    <t xml:space="preserve">עמיחי </t>
  </si>
  <si>
    <t xml:space="preserve">עמינדב </t>
  </si>
  <si>
    <t xml:space="preserve">עמיקם </t>
  </si>
  <si>
    <t xml:space="preserve">אמנון </t>
  </si>
  <si>
    <t xml:space="preserve">עמקה </t>
  </si>
  <si>
    <t xml:space="preserve">עמוקה </t>
  </si>
  <si>
    <t xml:space="preserve">אניעם </t>
  </si>
  <si>
    <t xml:space="preserve">ערערה </t>
  </si>
  <si>
    <t xml:space="preserve">ערערה-בנגב </t>
  </si>
  <si>
    <t xml:space="preserve">ערד </t>
  </si>
  <si>
    <t xml:space="preserve">עראמשה </t>
  </si>
  <si>
    <t xml:space="preserve">ארבל </t>
  </si>
  <si>
    <t xml:space="preserve">ארגמן </t>
  </si>
  <si>
    <t xml:space="preserve">אריאל </t>
  </si>
  <si>
    <t xml:space="preserve">ערב אל נעים </t>
  </si>
  <si>
    <t xml:space="preserve">עראבה </t>
  </si>
  <si>
    <t xml:space="preserve">ארסוף </t>
  </si>
  <si>
    <t xml:space="preserve">ערוגות </t>
  </si>
  <si>
    <t xml:space="preserve">עשהאל </t>
  </si>
  <si>
    <t xml:space="preserve">אסד (שבט) </t>
  </si>
  <si>
    <t xml:space="preserve">אספר </t>
  </si>
  <si>
    <t xml:space="preserve">עשרת </t>
  </si>
  <si>
    <t xml:space="preserve">אשלים </t>
  </si>
  <si>
    <t xml:space="preserve">אשדוד </t>
  </si>
  <si>
    <t xml:space="preserve">אשדות יעקב (איחוד) </t>
  </si>
  <si>
    <t xml:space="preserve">אשדות יעקב (מאוחד) </t>
  </si>
  <si>
    <t xml:space="preserve">אשרת </t>
  </si>
  <si>
    <t xml:space="preserve">אשקלון </t>
  </si>
  <si>
    <t xml:space="preserve">עטאוונה (שבט) </t>
  </si>
  <si>
    <t xml:space="preserve">עטרת </t>
  </si>
  <si>
    <t xml:space="preserve">עתלית </t>
  </si>
  <si>
    <t xml:space="preserve">אטרש (שבט) </t>
  </si>
  <si>
    <t xml:space="preserve">עצמון שגב </t>
  </si>
  <si>
    <t xml:space="preserve">עבדון </t>
  </si>
  <si>
    <t xml:space="preserve">אבנת </t>
  </si>
  <si>
    <t xml:space="preserve">אביאל </t>
  </si>
  <si>
    <t xml:space="preserve">אביעזר </t>
  </si>
  <si>
    <t xml:space="preserve">אביגיל </t>
  </si>
  <si>
    <t xml:space="preserve">אביגדור </t>
  </si>
  <si>
    <t xml:space="preserve">אביחיל </t>
  </si>
  <si>
    <t xml:space="preserve">אביטל </t>
  </si>
  <si>
    <t xml:space="preserve">אביבים </t>
  </si>
  <si>
    <t xml:space="preserve">אבני איתן </t>
  </si>
  <si>
    <t xml:space="preserve">אבני חפץ </t>
  </si>
  <si>
    <t xml:space="preserve">אבשלום </t>
  </si>
  <si>
    <t xml:space="preserve">אבטליון </t>
  </si>
  <si>
    <t xml:space="preserve">עיינות </t>
  </si>
  <si>
    <t xml:space="preserve">איילת השחר </t>
  </si>
  <si>
    <t xml:space="preserve">עזריה </t>
  </si>
  <si>
    <t xml:space="preserve">אזור </t>
  </si>
  <si>
    <t xml:space="preserve">עזריאל </t>
  </si>
  <si>
    <t xml:space="preserve">עזריקם </t>
  </si>
  <si>
    <t xml:space="preserve">בחן </t>
  </si>
  <si>
    <t xml:space="preserve">בלפוריה </t>
  </si>
  <si>
    <t xml:space="preserve">באקה אל-גרביה </t>
  </si>
  <si>
    <t xml:space="preserve">בר גיורא </t>
  </si>
  <si>
    <t xml:space="preserve">בר יוחאי </t>
  </si>
  <si>
    <t xml:space="preserve">ברעם </t>
  </si>
  <si>
    <t xml:space="preserve">ברק </t>
  </si>
  <si>
    <t xml:space="preserve">ברקת </t>
  </si>
  <si>
    <t xml:space="preserve">ברקן </t>
  </si>
  <si>
    <t xml:space="preserve">ברקאי </t>
  </si>
  <si>
    <t xml:space="preserve">בסמ"ה </t>
  </si>
  <si>
    <t xml:space="preserve">בסמת טבעון </t>
  </si>
  <si>
    <t xml:space="preserve">בת עין </t>
  </si>
  <si>
    <t xml:space="preserve">בת הדר </t>
  </si>
  <si>
    <t xml:space="preserve">בת חפר </t>
  </si>
  <si>
    <t xml:space="preserve">בת חן </t>
  </si>
  <si>
    <t xml:space="preserve">בת שלמה </t>
  </si>
  <si>
    <t xml:space="preserve">בת ים </t>
  </si>
  <si>
    <t xml:space="preserve">בצרה </t>
  </si>
  <si>
    <t xml:space="preserve">באר מילכה </t>
  </si>
  <si>
    <t xml:space="preserve">באר אורה </t>
  </si>
  <si>
    <t xml:space="preserve">באר שבע </t>
  </si>
  <si>
    <t xml:space="preserve">באר טוביה </t>
  </si>
  <si>
    <t xml:space="preserve">באר יעקב </t>
  </si>
  <si>
    <t xml:space="preserve">בארי </t>
  </si>
  <si>
    <t xml:space="preserve">בארות יצחק </t>
  </si>
  <si>
    <t xml:space="preserve">בארותיים </t>
  </si>
  <si>
    <t xml:space="preserve">באר גנים </t>
  </si>
  <si>
    <t xml:space="preserve">בית ג'ן </t>
  </si>
  <si>
    <t xml:space="preserve">בן עמי </t>
  </si>
  <si>
    <t xml:space="preserve">בן שמן (מושב) </t>
  </si>
  <si>
    <t xml:space="preserve">בן שמן (כפר נוער) </t>
  </si>
  <si>
    <t xml:space="preserve">בן זכאי </t>
  </si>
  <si>
    <t xml:space="preserve">בניה </t>
  </si>
  <si>
    <t xml:space="preserve">בני עטרות </t>
  </si>
  <si>
    <t xml:space="preserve">בני עי"ש </t>
  </si>
  <si>
    <t xml:space="preserve">בני ברק </t>
  </si>
  <si>
    <t xml:space="preserve">בני דרום </t>
  </si>
  <si>
    <t xml:space="preserve">בני דרור </t>
  </si>
  <si>
    <t xml:space="preserve">בני נצרים </t>
  </si>
  <si>
    <t xml:space="preserve">בני ראם </t>
  </si>
  <si>
    <t xml:space="preserve">בני יהודה </t>
  </si>
  <si>
    <t xml:space="preserve">בני ציון </t>
  </si>
  <si>
    <t xml:space="preserve">בקעות </t>
  </si>
  <si>
    <t xml:space="preserve">בקוע </t>
  </si>
  <si>
    <t xml:space="preserve">ברכה </t>
  </si>
  <si>
    <t xml:space="preserve">ברכיה </t>
  </si>
  <si>
    <t xml:space="preserve">ברור חיל </t>
  </si>
  <si>
    <t xml:space="preserve">ברוש </t>
  </si>
  <si>
    <t xml:space="preserve">בית אלפא </t>
  </si>
  <si>
    <t xml:space="preserve">בית עריף </t>
  </si>
  <si>
    <t xml:space="preserve">בית אריה </t>
  </si>
  <si>
    <t xml:space="preserve">בית ברל </t>
  </si>
  <si>
    <t xml:space="preserve">בית דגן </t>
  </si>
  <si>
    <t xml:space="preserve">בית אל </t>
  </si>
  <si>
    <t xml:space="preserve">בית אלעזרי </t>
  </si>
  <si>
    <t xml:space="preserve">בית עזרא </t>
  </si>
  <si>
    <t xml:space="preserve">בית גמליאל </t>
  </si>
  <si>
    <t xml:space="preserve">בית גוברין </t>
  </si>
  <si>
    <t xml:space="preserve">בית הערבה </t>
  </si>
  <si>
    <t xml:space="preserve">בית העמק </t>
  </si>
  <si>
    <t xml:space="preserve">בית הגדי </t>
  </si>
  <si>
    <t xml:space="preserve">בית הלוי </t>
  </si>
  <si>
    <t xml:space="preserve">בית חנן </t>
  </si>
  <si>
    <t xml:space="preserve">בית חנניה </t>
  </si>
  <si>
    <t xml:space="preserve">בית השיטה </t>
  </si>
  <si>
    <t xml:space="preserve">בית חשמונאי </t>
  </si>
  <si>
    <t xml:space="preserve">בית חירות </t>
  </si>
  <si>
    <t xml:space="preserve">בית הלל </t>
  </si>
  <si>
    <t xml:space="preserve">בית חלקיה </t>
  </si>
  <si>
    <t xml:space="preserve">בית חגלה </t>
  </si>
  <si>
    <t xml:space="preserve">בית חורון </t>
  </si>
  <si>
    <t xml:space="preserve">בית לחם הגלילית </t>
  </si>
  <si>
    <t xml:space="preserve">בית מאיר </t>
  </si>
  <si>
    <t xml:space="preserve">בית נחמיה </t>
  </si>
  <si>
    <t xml:space="preserve">בית נקופה </t>
  </si>
  <si>
    <t xml:space="preserve">בית ניר </t>
  </si>
  <si>
    <t xml:space="preserve">בית אורן </t>
  </si>
  <si>
    <t xml:space="preserve">בית עובד </t>
  </si>
  <si>
    <t xml:space="preserve">בית קמה </t>
  </si>
  <si>
    <t xml:space="preserve">בית קשת </t>
  </si>
  <si>
    <t xml:space="preserve">בית רבן </t>
  </si>
  <si>
    <t xml:space="preserve">בית רימון </t>
  </si>
  <si>
    <t xml:space="preserve">בית שאן </t>
  </si>
  <si>
    <t xml:space="preserve">בית שערים </t>
  </si>
  <si>
    <t xml:space="preserve">בית שמש </t>
  </si>
  <si>
    <t xml:space="preserve">בית שקמה </t>
  </si>
  <si>
    <t xml:space="preserve">בית עוזיאל </t>
  </si>
  <si>
    <t xml:space="preserve">בית ינאי </t>
  </si>
  <si>
    <t xml:space="preserve">בית יהושע </t>
  </si>
  <si>
    <t xml:space="preserve">בית יצחק-שער חפר </t>
  </si>
  <si>
    <t xml:space="preserve">בית יוסף </t>
  </si>
  <si>
    <t xml:space="preserve">בית זית </t>
  </si>
  <si>
    <t xml:space="preserve">בית זיד </t>
  </si>
  <si>
    <t xml:space="preserve">בית זרע </t>
  </si>
  <si>
    <t xml:space="preserve">בית צבי </t>
  </si>
  <si>
    <t xml:space="preserve">ביתר עילית </t>
  </si>
  <si>
    <t xml:space="preserve">בצת </t>
  </si>
  <si>
    <t xml:space="preserve">בענה </t>
  </si>
  <si>
    <t xml:space="preserve">בנימינה-גבעת עדה </t>
  </si>
  <si>
    <t xml:space="preserve">ביר אל-מכסור </t>
  </si>
  <si>
    <t xml:space="preserve">ביר הדאג' </t>
  </si>
  <si>
    <t xml:space="preserve">ביריה </t>
  </si>
  <si>
    <t xml:space="preserve">ביתן אהרן </t>
  </si>
  <si>
    <t xml:space="preserve">בטחה </t>
  </si>
  <si>
    <t xml:space="preserve">ביצרון </t>
  </si>
  <si>
    <t xml:space="preserve">בני דקלים </t>
  </si>
  <si>
    <t xml:space="preserve">ברוכין </t>
  </si>
  <si>
    <t xml:space="preserve">בועיינה-נוג'ידאת </t>
  </si>
  <si>
    <t xml:space="preserve">בוקעאתא </t>
  </si>
  <si>
    <t xml:space="preserve">בורגתה </t>
  </si>
  <si>
    <t xml:space="preserve">בוסתן הגליל </t>
  </si>
  <si>
    <t xml:space="preserve">דבוריה </t>
  </si>
  <si>
    <t xml:space="preserve">דפנה </t>
  </si>
  <si>
    <t xml:space="preserve">דחי </t>
  </si>
  <si>
    <t xml:space="preserve">דאלית אל-כרמל </t>
  </si>
  <si>
    <t xml:space="preserve">דליה </t>
  </si>
  <si>
    <t xml:space="preserve">דלתון </t>
  </si>
  <si>
    <t xml:space="preserve">דן </t>
  </si>
  <si>
    <t xml:space="preserve">דברת </t>
  </si>
  <si>
    <t xml:space="preserve">דגניה א' </t>
  </si>
  <si>
    <t xml:space="preserve">דגניה ב' </t>
  </si>
  <si>
    <t xml:space="preserve">דייר אל-אסד </t>
  </si>
  <si>
    <t xml:space="preserve">דייר חנא </t>
  </si>
  <si>
    <t xml:space="preserve">דייר ראפאת </t>
  </si>
  <si>
    <t xml:space="preserve">דמיידה </t>
  </si>
  <si>
    <t xml:space="preserve">דקל </t>
  </si>
  <si>
    <t xml:space="preserve">דריג'את </t>
  </si>
  <si>
    <t xml:space="preserve">דבורה </t>
  </si>
  <si>
    <t xml:space="preserve">דימונה </t>
  </si>
  <si>
    <t xml:space="preserve">דישון </t>
  </si>
  <si>
    <t xml:space="preserve">דולב </t>
  </si>
  <si>
    <t xml:space="preserve">דור </t>
  </si>
  <si>
    <t xml:space="preserve">דורות </t>
  </si>
  <si>
    <t xml:space="preserve">דוב"ב </t>
  </si>
  <si>
    <t xml:space="preserve">דביר </t>
  </si>
  <si>
    <t xml:space="preserve">אפרת </t>
  </si>
  <si>
    <t xml:space="preserve">עיילבון </t>
  </si>
  <si>
    <t xml:space="preserve">עין אל-אסד </t>
  </si>
  <si>
    <t xml:space="preserve">עין חוד </t>
  </si>
  <si>
    <t xml:space="preserve">עין מאהל </t>
  </si>
  <si>
    <t xml:space="preserve">עין נקובא </t>
  </si>
  <si>
    <t xml:space="preserve">עין קנייא </t>
  </si>
  <si>
    <t xml:space="preserve">עין ראפה </t>
  </si>
  <si>
    <t xml:space="preserve">אלעד </t>
  </si>
  <si>
    <t xml:space="preserve">אלעזר </t>
  </si>
  <si>
    <t xml:space="preserve">אל-רום </t>
  </si>
  <si>
    <t xml:space="preserve">אילת </t>
  </si>
  <si>
    <t xml:space="preserve">עלי </t>
  </si>
  <si>
    <t xml:space="preserve">אלי-עד </t>
  </si>
  <si>
    <t xml:space="preserve">אליאב </t>
  </si>
  <si>
    <t xml:space="preserve">אליפז </t>
  </si>
  <si>
    <t xml:space="preserve">אליפלט </t>
  </si>
  <si>
    <t xml:space="preserve">אלישמע </t>
  </si>
  <si>
    <t xml:space="preserve">אילון </t>
  </si>
  <si>
    <t xml:space="preserve">אלון מורה </t>
  </si>
  <si>
    <t xml:space="preserve">אילות </t>
  </si>
  <si>
    <t xml:space="preserve">אלקנה </t>
  </si>
  <si>
    <t xml:space="preserve">אלקוש </t>
  </si>
  <si>
    <t xml:space="preserve">אליכין </t>
  </si>
  <si>
    <t xml:space="preserve">אליקים </t>
  </si>
  <si>
    <t xml:space="preserve">אלישיב </t>
  </si>
  <si>
    <t xml:space="preserve">אמונים </t>
  </si>
  <si>
    <t xml:space="preserve">עין איילה </t>
  </si>
  <si>
    <t xml:space="preserve">עין דור </t>
  </si>
  <si>
    <t xml:space="preserve">עין גדי </t>
  </si>
  <si>
    <t xml:space="preserve">עין גב </t>
  </si>
  <si>
    <t xml:space="preserve">עין הבשור </t>
  </si>
  <si>
    <t xml:space="preserve">עין העמק </t>
  </si>
  <si>
    <t xml:space="preserve">עין החורש </t>
  </si>
  <si>
    <t xml:space="preserve">עין המפרץ </t>
  </si>
  <si>
    <t xml:space="preserve">עין הנצי"ב </t>
  </si>
  <si>
    <t xml:space="preserve">עין חרוד (איחוד) </t>
  </si>
  <si>
    <t xml:space="preserve">עין חרוד (מאוחד) </t>
  </si>
  <si>
    <t xml:space="preserve">עין השלושה </t>
  </si>
  <si>
    <t xml:space="preserve">עין השופט </t>
  </si>
  <si>
    <t xml:space="preserve">עין חצבה </t>
  </si>
  <si>
    <t xml:space="preserve">עין הוד </t>
  </si>
  <si>
    <t xml:space="preserve">עין עירון </t>
  </si>
  <si>
    <t xml:space="preserve">עין כרם-בי"ס חקלאי </t>
  </si>
  <si>
    <t xml:space="preserve">עין כרמל </t>
  </si>
  <si>
    <t xml:space="preserve">עין שריד </t>
  </si>
  <si>
    <t xml:space="preserve">עין שמר </t>
  </si>
  <si>
    <t xml:space="preserve">עין תמר </t>
  </si>
  <si>
    <t xml:space="preserve">עין ורד </t>
  </si>
  <si>
    <t xml:space="preserve">עין יעקב </t>
  </si>
  <si>
    <t xml:space="preserve">עין יהב </t>
  </si>
  <si>
    <t xml:space="preserve">עין זיוון </t>
  </si>
  <si>
    <t xml:space="preserve">עין צורים </t>
  </si>
  <si>
    <t xml:space="preserve">עינת </t>
  </si>
  <si>
    <t xml:space="preserve">ענב </t>
  </si>
  <si>
    <t xml:space="preserve">ארז </t>
  </si>
  <si>
    <t xml:space="preserve">אשבול </t>
  </si>
  <si>
    <t xml:space="preserve">אשל הנשיא </t>
  </si>
  <si>
    <t xml:space="preserve">אשחר </t>
  </si>
  <si>
    <t xml:space="preserve">אשכולות </t>
  </si>
  <si>
    <t xml:space="preserve">אשתאול </t>
  </si>
  <si>
    <t xml:space="preserve">איתן </t>
  </si>
  <si>
    <t xml:space="preserve">איתנים </t>
  </si>
  <si>
    <t xml:space="preserve">אתגר </t>
  </si>
  <si>
    <t xml:space="preserve">אבן מנחם </t>
  </si>
  <si>
    <t xml:space="preserve">אבן ספיר </t>
  </si>
  <si>
    <t xml:space="preserve">אבן שמואל </t>
  </si>
  <si>
    <t xml:space="preserve">אבן יהודה </t>
  </si>
  <si>
    <t xml:space="preserve">גלעד (אבן יצחק) </t>
  </si>
  <si>
    <t xml:space="preserve">עברון </t>
  </si>
  <si>
    <t xml:space="preserve">אייל </t>
  </si>
  <si>
    <t xml:space="preserve">עזר </t>
  </si>
  <si>
    <t xml:space="preserve">עזוז </t>
  </si>
  <si>
    <t xml:space="preserve">פסוטה </t>
  </si>
  <si>
    <t xml:space="preserve">פוריידיס </t>
  </si>
  <si>
    <t xml:space="preserve">געש </t>
  </si>
  <si>
    <t xml:space="preserve">געתון </t>
  </si>
  <si>
    <t xml:space="preserve">גדיש </t>
  </si>
  <si>
    <t xml:space="preserve">גדות </t>
  </si>
  <si>
    <t xml:space="preserve">גלאון </t>
  </si>
  <si>
    <t xml:space="preserve">גן הדרום </t>
  </si>
  <si>
    <t xml:space="preserve">גן השומרון </t>
  </si>
  <si>
    <t xml:space="preserve">גן חיים </t>
  </si>
  <si>
    <t xml:space="preserve">גן נר </t>
  </si>
  <si>
    <t xml:space="preserve">גן שלמה </t>
  </si>
  <si>
    <t xml:space="preserve">גן שמואל </t>
  </si>
  <si>
    <t xml:space="preserve">גן שורק </t>
  </si>
  <si>
    <t xml:space="preserve">גן יבנה </t>
  </si>
  <si>
    <t xml:space="preserve">גן יאשיה </t>
  </si>
  <si>
    <t xml:space="preserve">גני עם </t>
  </si>
  <si>
    <t xml:space="preserve">גני הדר </t>
  </si>
  <si>
    <t xml:space="preserve">גני מודיעין </t>
  </si>
  <si>
    <t xml:space="preserve">גני טל </t>
  </si>
  <si>
    <t xml:space="preserve">גני תקווה </t>
  </si>
  <si>
    <t xml:space="preserve">גני יוחנן </t>
  </si>
  <si>
    <t xml:space="preserve">גנות </t>
  </si>
  <si>
    <t xml:space="preserve">גנות הדר </t>
  </si>
  <si>
    <t xml:space="preserve">גת רימון </t>
  </si>
  <si>
    <t xml:space="preserve">גת (קיבוץ) </t>
  </si>
  <si>
    <t xml:space="preserve">גזית </t>
  </si>
  <si>
    <t xml:space="preserve">גיאה </t>
  </si>
  <si>
    <t xml:space="preserve">גאליה </t>
  </si>
  <si>
    <t xml:space="preserve">גאולי תימן </t>
  </si>
  <si>
    <t xml:space="preserve">גאולים </t>
  </si>
  <si>
    <t xml:space="preserve">גדרה </t>
  </si>
  <si>
    <t xml:space="preserve">גפן </t>
  </si>
  <si>
    <t xml:space="preserve">גליל ים </t>
  </si>
  <si>
    <t xml:space="preserve">גרופית </t>
  </si>
  <si>
    <t xml:space="preserve">גשר </t>
  </si>
  <si>
    <t xml:space="preserve">גשר הזיו </t>
  </si>
  <si>
    <t xml:space="preserve">גשור </t>
  </si>
  <si>
    <t xml:space="preserve">גבע </t>
  </si>
  <si>
    <t xml:space="preserve">גבע כרמל </t>
  </si>
  <si>
    <t xml:space="preserve">גבע בנימין </t>
  </si>
  <si>
    <t xml:space="preserve">גבעות בר </t>
  </si>
  <si>
    <t xml:space="preserve">גברעם </t>
  </si>
  <si>
    <t xml:space="preserve">גבת </t>
  </si>
  <si>
    <t xml:space="preserve">גבים </t>
  </si>
  <si>
    <t xml:space="preserve">גבולות </t>
  </si>
  <si>
    <t xml:space="preserve">גזר </t>
  </si>
  <si>
    <t xml:space="preserve">ע'ג'ר </t>
  </si>
  <si>
    <t xml:space="preserve">גיבתון </t>
  </si>
  <si>
    <t xml:space="preserve">גדעונה </t>
  </si>
  <si>
    <t xml:space="preserve">גילת </t>
  </si>
  <si>
    <t xml:space="preserve">גלגל </t>
  </si>
  <si>
    <t xml:space="preserve">גילון </t>
  </si>
  <si>
    <t xml:space="preserve">גמזו </t>
  </si>
  <si>
    <t xml:space="preserve">גינתון </t>
  </si>
  <si>
    <t xml:space="preserve">גיניגר </t>
  </si>
  <si>
    <t xml:space="preserve">גינוסר </t>
  </si>
  <si>
    <t xml:space="preserve">גיתה </t>
  </si>
  <si>
    <t xml:space="preserve">גיתית </t>
  </si>
  <si>
    <t xml:space="preserve">גבעת אבני </t>
  </si>
  <si>
    <t xml:space="preserve">גבעת ברנר </t>
  </si>
  <si>
    <t xml:space="preserve">גבעת אלה </t>
  </si>
  <si>
    <t xml:space="preserve">גבעת השלושה </t>
  </si>
  <si>
    <t xml:space="preserve">גבעת חיים (איחוד) </t>
  </si>
  <si>
    <t xml:space="preserve">גבעת חיים (מאוחד) </t>
  </si>
  <si>
    <t xml:space="preserve">גבעת ח"ן </t>
  </si>
  <si>
    <t xml:space="preserve">גבעת כ"ח </t>
  </si>
  <si>
    <t xml:space="preserve">גבעת ניל"י </t>
  </si>
  <si>
    <t xml:space="preserve">גבעת עוז </t>
  </si>
  <si>
    <t xml:space="preserve">גבעת שפירא </t>
  </si>
  <si>
    <t xml:space="preserve">גבעת שמש </t>
  </si>
  <si>
    <t xml:space="preserve">גבעת שמואל </t>
  </si>
  <si>
    <t xml:space="preserve">גבעת יערים </t>
  </si>
  <si>
    <t xml:space="preserve">גבעת ישעיהו </t>
  </si>
  <si>
    <t xml:space="preserve">גבעת יואב </t>
  </si>
  <si>
    <t xml:space="preserve">גבעת זאב </t>
  </si>
  <si>
    <t xml:space="preserve">גבעתיים </t>
  </si>
  <si>
    <t xml:space="preserve">גבעתי </t>
  </si>
  <si>
    <t xml:space="preserve">גבעולים </t>
  </si>
  <si>
    <t xml:space="preserve">גבעון החדשה </t>
  </si>
  <si>
    <t xml:space="preserve">גבעות עדן </t>
  </si>
  <si>
    <t xml:space="preserve">גבעות הרואה </t>
  </si>
  <si>
    <t xml:space="preserve">גיזו </t>
  </si>
  <si>
    <t xml:space="preserve">גונן </t>
  </si>
  <si>
    <t xml:space="preserve">גורן </t>
  </si>
  <si>
    <t xml:space="preserve">גורנות הגליל </t>
  </si>
  <si>
    <t xml:space="preserve">הבונים </t>
  </si>
  <si>
    <t xml:space="preserve">חד-נס </t>
  </si>
  <si>
    <t xml:space="preserve">הדר עם </t>
  </si>
  <si>
    <t xml:space="preserve">חדרה </t>
  </si>
  <si>
    <t xml:space="preserve">חדיד </t>
  </si>
  <si>
    <t xml:space="preserve">חפץ חיים </t>
  </si>
  <si>
    <t xml:space="preserve">חגי </t>
  </si>
  <si>
    <t xml:space="preserve">חגור </t>
  </si>
  <si>
    <t xml:space="preserve">הגושרים </t>
  </si>
  <si>
    <t xml:space="preserve">החותרים </t>
  </si>
  <si>
    <t xml:space="preserve">חיפה </t>
  </si>
  <si>
    <t xml:space="preserve">חלוץ </t>
  </si>
  <si>
    <t xml:space="preserve">המעפיל </t>
  </si>
  <si>
    <t xml:space="preserve">חמדיה </t>
  </si>
  <si>
    <t xml:space="preserve">חמאם </t>
  </si>
  <si>
    <t xml:space="preserve">חמרה </t>
  </si>
  <si>
    <t xml:space="preserve">חניתה </t>
  </si>
  <si>
    <t xml:space="preserve">חנתון </t>
  </si>
  <si>
    <t xml:space="preserve">חניאל </t>
  </si>
  <si>
    <t xml:space="preserve">העוגן </t>
  </si>
  <si>
    <t xml:space="preserve">האון </t>
  </si>
  <si>
    <t xml:space="preserve">הר אדר </t>
  </si>
  <si>
    <t xml:space="preserve">הר עמשא </t>
  </si>
  <si>
    <t xml:space="preserve">הר גילה </t>
  </si>
  <si>
    <t xml:space="preserve">הראל </t>
  </si>
  <si>
    <t xml:space="preserve">הררית </t>
  </si>
  <si>
    <t xml:space="preserve">חרשים </t>
  </si>
  <si>
    <t xml:space="preserve">הרדוף </t>
  </si>
  <si>
    <t xml:space="preserve">חריש </t>
  </si>
  <si>
    <t xml:space="preserve">חרוצים </t>
  </si>
  <si>
    <t xml:space="preserve">חשמונאים </t>
  </si>
  <si>
    <t xml:space="preserve">הסוללים </t>
  </si>
  <si>
    <t xml:space="preserve">חספין </t>
  </si>
  <si>
    <t xml:space="preserve">חבצלת השרון </t>
  </si>
  <si>
    <t xml:space="preserve">הוואשלה (שבט) </t>
  </si>
  <si>
    <t xml:space="preserve">היוגב </t>
  </si>
  <si>
    <t xml:space="preserve">חצב </t>
  </si>
  <si>
    <t xml:space="preserve">חצרים </t>
  </si>
  <si>
    <t xml:space="preserve">חצבה </t>
  </si>
  <si>
    <t xml:space="preserve">חזון </t>
  </si>
  <si>
    <t xml:space="preserve">חצור הגלילית </t>
  </si>
  <si>
    <t xml:space="preserve">חצור-אשדוד </t>
  </si>
  <si>
    <t xml:space="preserve">הזורעים </t>
  </si>
  <si>
    <t xml:space="preserve">הזורע </t>
  </si>
  <si>
    <t xml:space="preserve">חפצי-בה </t>
  </si>
  <si>
    <t xml:space="preserve">חלץ </t>
  </si>
  <si>
    <t xml:space="preserve">חמד </t>
  </si>
  <si>
    <t xml:space="preserve">חרב לאת </t>
  </si>
  <si>
    <t xml:space="preserve">חרמש </t>
  </si>
  <si>
    <t xml:space="preserve">חירות </t>
  </si>
  <si>
    <t xml:space="preserve">הרצליה </t>
  </si>
  <si>
    <t xml:space="preserve">חבר </t>
  </si>
  <si>
    <t xml:space="preserve">חיבת ציון </t>
  </si>
  <si>
    <t xml:space="preserve">הילה </t>
  </si>
  <si>
    <t xml:space="preserve">חיננית </t>
  </si>
  <si>
    <t xml:space="preserve">הוד השרון </t>
  </si>
  <si>
    <t xml:space="preserve">הודיות </t>
  </si>
  <si>
    <t xml:space="preserve">הודיה </t>
  </si>
  <si>
    <t xml:space="preserve">חופית </t>
  </si>
  <si>
    <t xml:space="preserve">חגלה </t>
  </si>
  <si>
    <t xml:space="preserve">חולית </t>
  </si>
  <si>
    <t xml:space="preserve">חולון </t>
  </si>
  <si>
    <t xml:space="preserve">חורשים </t>
  </si>
  <si>
    <t xml:space="preserve">חוסן </t>
  </si>
  <si>
    <t xml:space="preserve">הושעיה </t>
  </si>
  <si>
    <t xml:space="preserve">חוג'ייראת (ד'הרה) </t>
  </si>
  <si>
    <t xml:space="preserve">חולתה </t>
  </si>
  <si>
    <t xml:space="preserve">חולדה </t>
  </si>
  <si>
    <t xml:space="preserve">חוקוק </t>
  </si>
  <si>
    <t xml:space="preserve">חורה </t>
  </si>
  <si>
    <t xml:space="preserve">חורפיש </t>
  </si>
  <si>
    <t xml:space="preserve">חוסנייה </t>
  </si>
  <si>
    <t xml:space="preserve">הוזייל (שבט) </t>
  </si>
  <si>
    <t xml:space="preserve">אעבלין </t>
  </si>
  <si>
    <t xml:space="preserve">איבים </t>
  </si>
  <si>
    <t xml:space="preserve">אבטין </t>
  </si>
  <si>
    <t xml:space="preserve">עידן </t>
  </si>
  <si>
    <t xml:space="preserve">אכסאל </t>
  </si>
  <si>
    <t xml:space="preserve">אילניה </t>
  </si>
  <si>
    <t xml:space="preserve">עילוט </t>
  </si>
  <si>
    <t xml:space="preserve">עמנואל </t>
  </si>
  <si>
    <t xml:space="preserve">עיר אובות </t>
  </si>
  <si>
    <t xml:space="preserve">אירוס </t>
  </si>
  <si>
    <t xml:space="preserve">עספיא </t>
  </si>
  <si>
    <t xml:space="preserve">איתמר </t>
  </si>
  <si>
    <t xml:space="preserve">ג'ת </t>
  </si>
  <si>
    <t xml:space="preserve">ג'לג'וליה </t>
  </si>
  <si>
    <t xml:space="preserve">ירושלים </t>
  </si>
  <si>
    <t xml:space="preserve">ג'ש (גוש חלב) </t>
  </si>
  <si>
    <t xml:space="preserve">ג'סר א-זרקא </t>
  </si>
  <si>
    <t xml:space="preserve">ג'דיידה-מכר </t>
  </si>
  <si>
    <t xml:space="preserve">ג'ולס </t>
  </si>
  <si>
    <t xml:space="preserve">ג'נאביב (שבט) </t>
  </si>
  <si>
    <t xml:space="preserve">כעביה-טבאש-חג'אג'רה </t>
  </si>
  <si>
    <t xml:space="preserve">כברי </t>
  </si>
  <si>
    <t xml:space="preserve">כאבול </t>
  </si>
  <si>
    <t xml:space="preserve">כדיתה </t>
  </si>
  <si>
    <t xml:space="preserve">כדורי </t>
  </si>
  <si>
    <t xml:space="preserve">כפר ברא </t>
  </si>
  <si>
    <t xml:space="preserve">כפר כמא </t>
  </si>
  <si>
    <t xml:space="preserve">כפר כנא </t>
  </si>
  <si>
    <t xml:space="preserve">כפר מנדא </t>
  </si>
  <si>
    <t xml:space="preserve">כפר מצר </t>
  </si>
  <si>
    <t xml:space="preserve">כפר קרע </t>
  </si>
  <si>
    <t xml:space="preserve">כפר קאסם </t>
  </si>
  <si>
    <t xml:space="preserve">כפר יאסיף </t>
  </si>
  <si>
    <t xml:space="preserve">כחל </t>
  </si>
  <si>
    <t xml:space="preserve">כלנית </t>
  </si>
  <si>
    <t xml:space="preserve">כמון </t>
  </si>
  <si>
    <t xml:space="preserve">כנף </t>
  </si>
  <si>
    <t xml:space="preserve">כנות </t>
  </si>
  <si>
    <t xml:space="preserve">כאוכב אבו אל-היג'א </t>
  </si>
  <si>
    <t xml:space="preserve">כרי דשא </t>
  </si>
  <si>
    <t xml:space="preserve">כרכום </t>
  </si>
  <si>
    <t xml:space="preserve">כרמי קטיף </t>
  </si>
  <si>
    <t xml:space="preserve">כרמי יוסף </t>
  </si>
  <si>
    <t xml:space="preserve">כרמי צור </t>
  </si>
  <si>
    <t xml:space="preserve">כרמל </t>
  </si>
  <si>
    <t xml:space="preserve">כרמיאל </t>
  </si>
  <si>
    <t xml:space="preserve">כרמיה </t>
  </si>
  <si>
    <t xml:space="preserve">כפר אדומים </t>
  </si>
  <si>
    <t xml:space="preserve">כפר אחים </t>
  </si>
  <si>
    <t xml:space="preserve">כפר אביב </t>
  </si>
  <si>
    <t xml:space="preserve">כפר עבודה </t>
  </si>
  <si>
    <t xml:space="preserve">כפר עזה </t>
  </si>
  <si>
    <t xml:space="preserve">כפר ברוך </t>
  </si>
  <si>
    <t xml:space="preserve">כפר ביאליק </t>
  </si>
  <si>
    <t xml:space="preserve">כפר ביל"ו </t>
  </si>
  <si>
    <t xml:space="preserve">כפר בן נון </t>
  </si>
  <si>
    <t xml:space="preserve">כפר בלום </t>
  </si>
  <si>
    <t xml:space="preserve">כפר דניאל </t>
  </si>
  <si>
    <t xml:space="preserve">כפר עציון </t>
  </si>
  <si>
    <t xml:space="preserve">כפר גלים </t>
  </si>
  <si>
    <t xml:space="preserve">כפר גדעון </t>
  </si>
  <si>
    <t xml:space="preserve">כפר גלעדי </t>
  </si>
  <si>
    <t xml:space="preserve">כפר גליקסון </t>
  </si>
  <si>
    <t xml:space="preserve">כפר חב"ד </t>
  </si>
  <si>
    <t xml:space="preserve">כפר החורש </t>
  </si>
  <si>
    <t xml:space="preserve">כפר המכבי </t>
  </si>
  <si>
    <t xml:space="preserve">כפר הנגיד </t>
  </si>
  <si>
    <t xml:space="preserve">כפר חנניה </t>
  </si>
  <si>
    <t xml:space="preserve">כפר הנשיא </t>
  </si>
  <si>
    <t xml:space="preserve">כפר הנוער הדתי </t>
  </si>
  <si>
    <t xml:space="preserve">כפר האורנים </t>
  </si>
  <si>
    <t xml:space="preserve">כפר הרי"ף </t>
  </si>
  <si>
    <t xml:space="preserve">כפר הרא"ה </t>
  </si>
  <si>
    <t xml:space="preserve">כפר חרוב </t>
  </si>
  <si>
    <t xml:space="preserve">כפר חסידים א' </t>
  </si>
  <si>
    <t xml:space="preserve">כפר חסידים ב' </t>
  </si>
  <si>
    <t xml:space="preserve">כפר חיים </t>
  </si>
  <si>
    <t xml:space="preserve">כפר הס </t>
  </si>
  <si>
    <t xml:space="preserve">כפר חיטים </t>
  </si>
  <si>
    <t xml:space="preserve">כפר חושן </t>
  </si>
  <si>
    <t xml:space="preserve">כפר קיש </t>
  </si>
  <si>
    <t xml:space="preserve">כפר מל"ל </t>
  </si>
  <si>
    <t xml:space="preserve">כפר מסריק </t>
  </si>
  <si>
    <t xml:space="preserve">כפר מימון </t>
  </si>
  <si>
    <t xml:space="preserve">כפר מנחם </t>
  </si>
  <si>
    <t xml:space="preserve">כפר מונש </t>
  </si>
  <si>
    <t xml:space="preserve">כפר מרדכי </t>
  </si>
  <si>
    <t xml:space="preserve">כפר נטר </t>
  </si>
  <si>
    <t xml:space="preserve">כפר פינס </t>
  </si>
  <si>
    <t xml:space="preserve">כפר ראש הנקרה </t>
  </si>
  <si>
    <t xml:space="preserve">כפר רוזנואלד (זרעית) </t>
  </si>
  <si>
    <t xml:space="preserve">כפר רופין </t>
  </si>
  <si>
    <t xml:space="preserve">כפר רות </t>
  </si>
  <si>
    <t xml:space="preserve">כפר סבא </t>
  </si>
  <si>
    <t xml:space="preserve">כפר שמאי </t>
  </si>
  <si>
    <t xml:space="preserve">כפר שמריהו </t>
  </si>
  <si>
    <t xml:space="preserve">כפר שמואל </t>
  </si>
  <si>
    <t xml:space="preserve">כפר סילבר </t>
  </si>
  <si>
    <t xml:space="preserve">כפר סירקין </t>
  </si>
  <si>
    <t xml:space="preserve">כפר סאלד </t>
  </si>
  <si>
    <t xml:space="preserve">כפר תפוח </t>
  </si>
  <si>
    <t xml:space="preserve">כפר תבור </t>
  </si>
  <si>
    <t xml:space="preserve">כפר טרומן </t>
  </si>
  <si>
    <t xml:space="preserve">כפר אוריה </t>
  </si>
  <si>
    <t xml:space="preserve">כפר ויתקין </t>
  </si>
  <si>
    <t xml:space="preserve">כפר ורבורג </t>
  </si>
  <si>
    <t xml:space="preserve">כפר ורדים </t>
  </si>
  <si>
    <t xml:space="preserve">כפר יעבץ </t>
  </si>
  <si>
    <t xml:space="preserve">כפר יחזקאל </t>
  </si>
  <si>
    <t xml:space="preserve">כפר יהושע </t>
  </si>
  <si>
    <t xml:space="preserve">כפר יונה </t>
  </si>
  <si>
    <t xml:space="preserve">כפר זיתים </t>
  </si>
  <si>
    <t xml:space="preserve">כפר זוהרים </t>
  </si>
  <si>
    <t xml:space="preserve">כליל </t>
  </si>
  <si>
    <t xml:space="preserve">כמהין </t>
  </si>
  <si>
    <t xml:space="preserve">כרמים </t>
  </si>
  <si>
    <t xml:space="preserve">כרם בן שמן </t>
  </si>
  <si>
    <t xml:space="preserve">כרם בן זמרה </t>
  </si>
  <si>
    <t xml:space="preserve">כרם ביבנה (ישיבה) </t>
  </si>
  <si>
    <t xml:space="preserve">כרם מהר"ל </t>
  </si>
  <si>
    <t xml:space="preserve">כרם שלום </t>
  </si>
  <si>
    <t xml:space="preserve">כסלון </t>
  </si>
  <si>
    <t xml:space="preserve">ח'ואלד </t>
  </si>
  <si>
    <t xml:space="preserve">ח'ואלד (שבט) </t>
  </si>
  <si>
    <t xml:space="preserve">כנרת (מושבה) </t>
  </si>
  <si>
    <t xml:space="preserve">כנרת (קבוצה) </t>
  </si>
  <si>
    <t xml:space="preserve">כישור </t>
  </si>
  <si>
    <t xml:space="preserve">כסרא-סמיע </t>
  </si>
  <si>
    <t xml:space="preserve">כיסופים </t>
  </si>
  <si>
    <t xml:space="preserve">כחלה </t>
  </si>
  <si>
    <t xml:space="preserve">כוכב השחר </t>
  </si>
  <si>
    <t xml:space="preserve">כוכב מיכאל </t>
  </si>
  <si>
    <t xml:space="preserve">כוכב יעקב </t>
  </si>
  <si>
    <t xml:space="preserve">כוכב יאיר </t>
  </si>
  <si>
    <t xml:space="preserve">כורזים </t>
  </si>
  <si>
    <t xml:space="preserve">כסיפה </t>
  </si>
  <si>
    <t xml:space="preserve">להב </t>
  </si>
  <si>
    <t xml:space="preserve">להבות הבשן </t>
  </si>
  <si>
    <t xml:space="preserve">להבות חביבה </t>
  </si>
  <si>
    <t xml:space="preserve">לכיש </t>
  </si>
  <si>
    <t xml:space="preserve">לפיד </t>
  </si>
  <si>
    <t xml:space="preserve">לפידות </t>
  </si>
  <si>
    <t xml:space="preserve">לקיה </t>
  </si>
  <si>
    <t xml:space="preserve">לביא </t>
  </si>
  <si>
    <t xml:space="preserve">לבון </t>
  </si>
  <si>
    <t xml:space="preserve">להבים </t>
  </si>
  <si>
    <t xml:space="preserve">שריגים (לי-און) </t>
  </si>
  <si>
    <t xml:space="preserve">לימן </t>
  </si>
  <si>
    <t xml:space="preserve">לבנים </t>
  </si>
  <si>
    <t xml:space="preserve">לוד </t>
  </si>
  <si>
    <t xml:space="preserve">לוחמי הגיטאות </t>
  </si>
  <si>
    <t xml:space="preserve">לוטן </t>
  </si>
  <si>
    <t xml:space="preserve">לוטם </t>
  </si>
  <si>
    <t xml:space="preserve">לוזית </t>
  </si>
  <si>
    <t xml:space="preserve">מעגן </t>
  </si>
  <si>
    <t xml:space="preserve">מעגן מיכאל </t>
  </si>
  <si>
    <t xml:space="preserve">מעלה אדומים </t>
  </si>
  <si>
    <t xml:space="preserve">מעלה עמוס </t>
  </si>
  <si>
    <t xml:space="preserve">מעלה אפרים </t>
  </si>
  <si>
    <t xml:space="preserve">מעלה גמלא </t>
  </si>
  <si>
    <t xml:space="preserve">מעלה גלבוע </t>
  </si>
  <si>
    <t xml:space="preserve">מעלה החמישה </t>
  </si>
  <si>
    <t xml:space="preserve">מעלה עירון </t>
  </si>
  <si>
    <t xml:space="preserve">מעלה לבונה </t>
  </si>
  <si>
    <t xml:space="preserve">מעלה מכמש </t>
  </si>
  <si>
    <t xml:space="preserve">מעלות-תרשיחא </t>
  </si>
  <si>
    <t xml:space="preserve">מענית </t>
  </si>
  <si>
    <t xml:space="preserve">מעש </t>
  </si>
  <si>
    <t xml:space="preserve">מעברות </t>
  </si>
  <si>
    <t xml:space="preserve">מעגלים </t>
  </si>
  <si>
    <t xml:space="preserve">מעון </t>
  </si>
  <si>
    <t xml:space="preserve">מאור </t>
  </si>
  <si>
    <t xml:space="preserve">מעוז חיים </t>
  </si>
  <si>
    <t xml:space="preserve">מעין ברוך </t>
  </si>
  <si>
    <t xml:space="preserve">מעין צבי </t>
  </si>
  <si>
    <t xml:space="preserve">מבועים </t>
  </si>
  <si>
    <t xml:space="preserve">מגן </t>
  </si>
  <si>
    <t xml:space="preserve">מגן שאול </t>
  </si>
  <si>
    <t xml:space="preserve">מגל </t>
  </si>
  <si>
    <t xml:space="preserve">מגשימים </t>
  </si>
  <si>
    <t xml:space="preserve">מחניים </t>
  </si>
  <si>
    <t xml:space="preserve">צוקים </t>
  </si>
  <si>
    <t xml:space="preserve">מחנה הילה </t>
  </si>
  <si>
    <t xml:space="preserve">מחנה מרים </t>
  </si>
  <si>
    <t xml:space="preserve">מחנה טלי </t>
  </si>
  <si>
    <t xml:space="preserve">מחנה תל נוף </t>
  </si>
  <si>
    <t xml:space="preserve">מחנה יפה </t>
  </si>
  <si>
    <t xml:space="preserve">מחנה יתיר </t>
  </si>
  <si>
    <t xml:space="preserve">מחנה יהודית </t>
  </si>
  <si>
    <t xml:space="preserve">מחנה יוכבד </t>
  </si>
  <si>
    <t xml:space="preserve">מחסיה </t>
  </si>
  <si>
    <t xml:space="preserve">מג'ד אל-כרום </t>
  </si>
  <si>
    <t xml:space="preserve">מג'דל שמס </t>
  </si>
  <si>
    <t xml:space="preserve">מכחול </t>
  </si>
  <si>
    <t xml:space="preserve">מלכיה </t>
  </si>
  <si>
    <t xml:space="preserve">מנוף </t>
  </si>
  <si>
    <t xml:space="preserve">מנות </t>
  </si>
  <si>
    <t xml:space="preserve">מנשית זבדה </t>
  </si>
  <si>
    <t xml:space="preserve">מרגליות </t>
  </si>
  <si>
    <t xml:space="preserve">מסעדה </t>
  </si>
  <si>
    <t xml:space="preserve">מסעודין אל-עזאזמה </t>
  </si>
  <si>
    <t xml:space="preserve">משאבי שדה </t>
  </si>
  <si>
    <t xml:space="preserve">משען </t>
  </si>
  <si>
    <t xml:space="preserve">משכיות </t>
  </si>
  <si>
    <t xml:space="preserve">מסלול </t>
  </si>
  <si>
    <t xml:space="preserve">מסד </t>
  </si>
  <si>
    <t xml:space="preserve">מסדה </t>
  </si>
  <si>
    <t xml:space="preserve">משואה </t>
  </si>
  <si>
    <t xml:space="preserve">משואות יצחק </t>
  </si>
  <si>
    <t xml:space="preserve">מטע </t>
  </si>
  <si>
    <t xml:space="preserve">מתן </t>
  </si>
  <si>
    <t xml:space="preserve">מתת </t>
  </si>
  <si>
    <t xml:space="preserve">מתתיהו </t>
  </si>
  <si>
    <t xml:space="preserve">מבקיעים </t>
  </si>
  <si>
    <t xml:space="preserve">מזכרת בתיה </t>
  </si>
  <si>
    <t xml:space="preserve">מצליח </t>
  </si>
  <si>
    <t xml:space="preserve">מזור </t>
  </si>
  <si>
    <t xml:space="preserve">מזרעה </t>
  </si>
  <si>
    <t xml:space="preserve">מצובה </t>
  </si>
  <si>
    <t xml:space="preserve">מי עמי </t>
  </si>
  <si>
    <t xml:space="preserve">מאיר שפיה </t>
  </si>
  <si>
    <t xml:space="preserve">מעונה </t>
  </si>
  <si>
    <t xml:space="preserve">מפלסים </t>
  </si>
  <si>
    <t xml:space="preserve">מגדים </t>
  </si>
  <si>
    <t xml:space="preserve">מגידו </t>
  </si>
  <si>
    <t xml:space="preserve">מחולה </t>
  </si>
  <si>
    <t xml:space="preserve">מייסר </t>
  </si>
  <si>
    <t xml:space="preserve">מכורה </t>
  </si>
  <si>
    <t xml:space="preserve">מלאה </t>
  </si>
  <si>
    <t xml:space="preserve">מלילות </t>
  </si>
  <si>
    <t xml:space="preserve">מנחמיה </t>
  </si>
  <si>
    <t xml:space="preserve">מנרה </t>
  </si>
  <si>
    <t xml:space="preserve">מנוחה </t>
  </si>
  <si>
    <t xml:space="preserve">מירב </t>
  </si>
  <si>
    <t xml:space="preserve">מרחב עם </t>
  </si>
  <si>
    <t xml:space="preserve">מרחביה (מושב) </t>
  </si>
  <si>
    <t xml:space="preserve">מרחביה (קיבוץ) </t>
  </si>
  <si>
    <t xml:space="preserve">מרכז שפירא </t>
  </si>
  <si>
    <t xml:space="preserve">מרום גולן </t>
  </si>
  <si>
    <t xml:space="preserve">מירון </t>
  </si>
  <si>
    <t xml:space="preserve">מישר </t>
  </si>
  <si>
    <t xml:space="preserve">משהד </t>
  </si>
  <si>
    <t xml:space="preserve">מסילת ציון </t>
  </si>
  <si>
    <t xml:space="preserve">מסילות </t>
  </si>
  <si>
    <t xml:space="preserve">מיטל </t>
  </si>
  <si>
    <t xml:space="preserve">מיתר </t>
  </si>
  <si>
    <t xml:space="preserve">מיטב </t>
  </si>
  <si>
    <t xml:space="preserve">מטולה </t>
  </si>
  <si>
    <t xml:space="preserve">מבשרת ציון </t>
  </si>
  <si>
    <t xml:space="preserve">מבוא ביתר </t>
  </si>
  <si>
    <t xml:space="preserve">מבוא דותן </t>
  </si>
  <si>
    <t xml:space="preserve">מבוא חמה </t>
  </si>
  <si>
    <t xml:space="preserve">מבוא חורון </t>
  </si>
  <si>
    <t xml:space="preserve">מבוא מודיעים </t>
  </si>
  <si>
    <t xml:space="preserve">מבואות ים </t>
  </si>
  <si>
    <t xml:space="preserve">מבואות יריחו </t>
  </si>
  <si>
    <t xml:space="preserve">מצדות יהודה </t>
  </si>
  <si>
    <t xml:space="preserve">מיצר </t>
  </si>
  <si>
    <t xml:space="preserve">מצר </t>
  </si>
  <si>
    <t xml:space="preserve">מעיליא </t>
  </si>
  <si>
    <t xml:space="preserve">מדרך עוז </t>
  </si>
  <si>
    <t xml:space="preserve">מדרשת בן גוריון </t>
  </si>
  <si>
    <t xml:space="preserve">מדרשת רופין </t>
  </si>
  <si>
    <t xml:space="preserve">מגדל </t>
  </si>
  <si>
    <t xml:space="preserve">מגדל העמק </t>
  </si>
  <si>
    <t xml:space="preserve">מגדל עוז </t>
  </si>
  <si>
    <t xml:space="preserve">מגדלים </t>
  </si>
  <si>
    <t xml:space="preserve">מכמנים </t>
  </si>
  <si>
    <t xml:space="preserve">מכמורת </t>
  </si>
  <si>
    <t xml:space="preserve">מקווה ישראל </t>
  </si>
  <si>
    <t xml:space="preserve">משגב עם </t>
  </si>
  <si>
    <t xml:space="preserve">משגב דב </t>
  </si>
  <si>
    <t xml:space="preserve">משמר איילון </t>
  </si>
  <si>
    <t xml:space="preserve">משמר דוד </t>
  </si>
  <si>
    <t xml:space="preserve">משמר העמק </t>
  </si>
  <si>
    <t xml:space="preserve">משמר הנגב </t>
  </si>
  <si>
    <t xml:space="preserve">משמר השרון </t>
  </si>
  <si>
    <t xml:space="preserve">משמר השבעה </t>
  </si>
  <si>
    <t xml:space="preserve">משמר הירדן </t>
  </si>
  <si>
    <t xml:space="preserve">משמר יהודה </t>
  </si>
  <si>
    <t xml:space="preserve">משמרות </t>
  </si>
  <si>
    <t xml:space="preserve">משמרת </t>
  </si>
  <si>
    <t xml:space="preserve">מצפה אילן </t>
  </si>
  <si>
    <t xml:space="preserve">מבטחים </t>
  </si>
  <si>
    <t xml:space="preserve">מצפה </t>
  </si>
  <si>
    <t xml:space="preserve">מצפה אבי"ב </t>
  </si>
  <si>
    <t xml:space="preserve">מצפה נטופה </t>
  </si>
  <si>
    <t xml:space="preserve">מצפה רמון </t>
  </si>
  <si>
    <t xml:space="preserve">מצפה שלם </t>
  </si>
  <si>
    <t xml:space="preserve">מצפה יריחו </t>
  </si>
  <si>
    <t xml:space="preserve">מזרע </t>
  </si>
  <si>
    <t xml:space="preserve">מודיעין עילית </t>
  </si>
  <si>
    <t xml:space="preserve">מודיעין-מכבים-רעות </t>
  </si>
  <si>
    <t xml:space="preserve">מולדת </t>
  </si>
  <si>
    <t xml:space="preserve">מורן </t>
  </si>
  <si>
    <t xml:space="preserve">מורשת </t>
  </si>
  <si>
    <t xml:space="preserve">מוצא עילית </t>
  </si>
  <si>
    <t xml:space="preserve">מגאר </t>
  </si>
  <si>
    <t xml:space="preserve">מוקייבלה </t>
  </si>
  <si>
    <t xml:space="preserve">נעלה </t>
  </si>
  <si>
    <t xml:space="preserve">נען </t>
  </si>
  <si>
    <t xml:space="preserve">נערן </t>
  </si>
  <si>
    <t xml:space="preserve">נאעורה </t>
  </si>
  <si>
    <t xml:space="preserve">נעמ"ה </t>
  </si>
  <si>
    <t xml:space="preserve">אשבל </t>
  </si>
  <si>
    <t xml:space="preserve">חמדת </t>
  </si>
  <si>
    <t xml:space="preserve">נחל עוז </t>
  </si>
  <si>
    <t xml:space="preserve">שיטים </t>
  </si>
  <si>
    <t xml:space="preserve">נחלה </t>
  </si>
  <si>
    <t xml:space="preserve">נהלל </t>
  </si>
  <si>
    <t xml:space="preserve">נחליאל </t>
  </si>
  <si>
    <t xml:space="preserve">נחם </t>
  </si>
  <si>
    <t xml:space="preserve">נהריה </t>
  </si>
  <si>
    <t xml:space="preserve">נחף </t>
  </si>
  <si>
    <t xml:space="preserve">נחשולים </t>
  </si>
  <si>
    <t xml:space="preserve">נחשון </t>
  </si>
  <si>
    <t xml:space="preserve">נחשונים </t>
  </si>
  <si>
    <t xml:space="preserve">נצאצרה (שבט) </t>
  </si>
  <si>
    <t xml:space="preserve">נטף </t>
  </si>
  <si>
    <t xml:space="preserve">נטור </t>
  </si>
  <si>
    <t xml:space="preserve">נווה </t>
  </si>
  <si>
    <t xml:space="preserve">נצרת </t>
  </si>
  <si>
    <t xml:space="preserve">נאות גולן </t>
  </si>
  <si>
    <t xml:space="preserve">נאות הכיכר </t>
  </si>
  <si>
    <t xml:space="preserve">נאות מרדכי </t>
  </si>
  <si>
    <t xml:space="preserve">נעורים </t>
  </si>
  <si>
    <t xml:space="preserve">נגבה </t>
  </si>
  <si>
    <t xml:space="preserve">נגוהות </t>
  </si>
  <si>
    <t xml:space="preserve">נחלים </t>
  </si>
  <si>
    <t xml:space="preserve">נהורה </t>
  </si>
  <si>
    <t xml:space="preserve">נחושה </t>
  </si>
  <si>
    <t xml:space="preserve">ניין </t>
  </si>
  <si>
    <t xml:space="preserve">נס עמים </t>
  </si>
  <si>
    <t xml:space="preserve">נס הרים </t>
  </si>
  <si>
    <t xml:space="preserve">נס ציונה </t>
  </si>
  <si>
    <t xml:space="preserve">נשר </t>
  </si>
  <si>
    <t xml:space="preserve">נטע </t>
  </si>
  <si>
    <t xml:space="preserve">נטעים </t>
  </si>
  <si>
    <t xml:space="preserve">נתניה </t>
  </si>
  <si>
    <t xml:space="preserve">נתיב העשרה </t>
  </si>
  <si>
    <t xml:space="preserve">נתיב הגדוד </t>
  </si>
  <si>
    <t xml:space="preserve">נתיב הל"ה </t>
  </si>
  <si>
    <t xml:space="preserve">נתיב השיירה </t>
  </si>
  <si>
    <t xml:space="preserve">נתיבות </t>
  </si>
  <si>
    <t xml:space="preserve">נטועה </t>
  </si>
  <si>
    <t xml:space="preserve">נבטים </t>
  </si>
  <si>
    <t xml:space="preserve">נוה צוף </t>
  </si>
  <si>
    <t xml:space="preserve">נווה אטי"ב </t>
  </si>
  <si>
    <t xml:space="preserve">נווה אבות </t>
  </si>
  <si>
    <t xml:space="preserve">נווה דניאל </t>
  </si>
  <si>
    <t xml:space="preserve">נווה איתן </t>
  </si>
  <si>
    <t xml:space="preserve">נווה חריף </t>
  </si>
  <si>
    <t xml:space="preserve">נווה אילן </t>
  </si>
  <si>
    <t xml:space="preserve">נווה מיכאל </t>
  </si>
  <si>
    <t xml:space="preserve">נווה מבטח </t>
  </si>
  <si>
    <t xml:space="preserve">נווה שלום </t>
  </si>
  <si>
    <t xml:space="preserve">נווה אור </t>
  </si>
  <si>
    <t xml:space="preserve">נווה ים </t>
  </si>
  <si>
    <t xml:space="preserve">נווה ימין </t>
  </si>
  <si>
    <t xml:space="preserve">נווה ירק </t>
  </si>
  <si>
    <t xml:space="preserve">נווה זיו </t>
  </si>
  <si>
    <t xml:space="preserve">נווה זוהר </t>
  </si>
  <si>
    <t xml:space="preserve">נצר חזני </t>
  </si>
  <si>
    <t xml:space="preserve">נצר סרני </t>
  </si>
  <si>
    <t xml:space="preserve">ניל"י </t>
  </si>
  <si>
    <t xml:space="preserve">נמרוד </t>
  </si>
  <si>
    <t xml:space="preserve">ניר עם </t>
  </si>
  <si>
    <t xml:space="preserve">ניר עקיבא </t>
  </si>
  <si>
    <t xml:space="preserve">ניר בנים </t>
  </si>
  <si>
    <t xml:space="preserve">ניר דוד (תל עמל) </t>
  </si>
  <si>
    <t xml:space="preserve">ניר אליהו </t>
  </si>
  <si>
    <t xml:space="preserve">ניר עציון </t>
  </si>
  <si>
    <t xml:space="preserve">ניר גלים </t>
  </si>
  <si>
    <t xml:space="preserve">ניר ח"ן </t>
  </si>
  <si>
    <t xml:space="preserve">ניר משה </t>
  </si>
  <si>
    <t xml:space="preserve">ניר עוז </t>
  </si>
  <si>
    <t xml:space="preserve">ניר יפה </t>
  </si>
  <si>
    <t xml:space="preserve">ניר ישראל </t>
  </si>
  <si>
    <t xml:space="preserve">ניר יצחק </t>
  </si>
  <si>
    <t xml:space="preserve">ניר צבי </t>
  </si>
  <si>
    <t xml:space="preserve">נירים </t>
  </si>
  <si>
    <t xml:space="preserve">נירית </t>
  </si>
  <si>
    <t xml:space="preserve">ניצן </t>
  </si>
  <si>
    <t xml:space="preserve">ניצן ב' </t>
  </si>
  <si>
    <t xml:space="preserve">ניצנה (קהילת חינוך) </t>
  </si>
  <si>
    <t xml:space="preserve">ניצני עוז </t>
  </si>
  <si>
    <t xml:space="preserve">ניצני סיני </t>
  </si>
  <si>
    <t xml:space="preserve">ניצנים </t>
  </si>
  <si>
    <t xml:space="preserve">נועם </t>
  </si>
  <si>
    <t xml:space="preserve">נוף איילון </t>
  </si>
  <si>
    <t xml:space="preserve">נוף הגליל </t>
  </si>
  <si>
    <t xml:space="preserve">נופך </t>
  </si>
  <si>
    <t xml:space="preserve">נופים </t>
  </si>
  <si>
    <t xml:space="preserve">נופית </t>
  </si>
  <si>
    <t xml:space="preserve">נוגה </t>
  </si>
  <si>
    <t xml:space="preserve">נוקדים </t>
  </si>
  <si>
    <t xml:space="preserve">נורדיה </t>
  </si>
  <si>
    <t xml:space="preserve">נוב </t>
  </si>
  <si>
    <t xml:space="preserve">נורית </t>
  </si>
  <si>
    <t xml:space="preserve">אודם </t>
  </si>
  <si>
    <t xml:space="preserve">אופקים </t>
  </si>
  <si>
    <t xml:space="preserve">עופר </t>
  </si>
  <si>
    <t xml:space="preserve">עופרה </t>
  </si>
  <si>
    <t xml:space="preserve">אוהד </t>
  </si>
  <si>
    <t xml:space="preserve">עולש </t>
  </si>
  <si>
    <t xml:space="preserve">אומן </t>
  </si>
  <si>
    <t xml:space="preserve">עומר </t>
  </si>
  <si>
    <t xml:space="preserve">אומץ </t>
  </si>
  <si>
    <t xml:space="preserve">אור עקיבא </t>
  </si>
  <si>
    <t xml:space="preserve">אור הגנוז </t>
  </si>
  <si>
    <t xml:space="preserve">אור הנר </t>
  </si>
  <si>
    <t xml:space="preserve">אור יהודה </t>
  </si>
  <si>
    <t xml:space="preserve">אורה </t>
  </si>
  <si>
    <t xml:space="preserve">אורנים </t>
  </si>
  <si>
    <t xml:space="preserve">אורנית </t>
  </si>
  <si>
    <t xml:space="preserve">אורות </t>
  </si>
  <si>
    <t xml:space="preserve">אורטל </t>
  </si>
  <si>
    <t xml:space="preserve">עתניאל </t>
  </si>
  <si>
    <t xml:space="preserve">עוצם </t>
  </si>
  <si>
    <t xml:space="preserve">פעמי תש"ז </t>
  </si>
  <si>
    <t xml:space="preserve">פלמחים </t>
  </si>
  <si>
    <t xml:space="preserve">פארן </t>
  </si>
  <si>
    <t xml:space="preserve">פרדס חנה-כרכור </t>
  </si>
  <si>
    <t xml:space="preserve">פרדסיה </t>
  </si>
  <si>
    <t xml:space="preserve">פרוד </t>
  </si>
  <si>
    <t xml:space="preserve">פטיש </t>
  </si>
  <si>
    <t xml:space="preserve">פדיה </t>
  </si>
  <si>
    <t xml:space="preserve">פדואל </t>
  </si>
  <si>
    <t xml:space="preserve">פדויים </t>
  </si>
  <si>
    <t xml:space="preserve">פלך </t>
  </si>
  <si>
    <t xml:space="preserve">פני חבר </t>
  </si>
  <si>
    <t xml:space="preserve">פקיעין (בוקייעה) </t>
  </si>
  <si>
    <t xml:space="preserve">פקיעין חדשה </t>
  </si>
  <si>
    <t xml:space="preserve">פרזון </t>
  </si>
  <si>
    <t xml:space="preserve">פרי גן </t>
  </si>
  <si>
    <t xml:space="preserve">פסגות </t>
  </si>
  <si>
    <t xml:space="preserve">פתח תקווה </t>
  </si>
  <si>
    <t xml:space="preserve">פתחיה </t>
  </si>
  <si>
    <t xml:space="preserve">פצאל </t>
  </si>
  <si>
    <t xml:space="preserve">פורת </t>
  </si>
  <si>
    <t xml:space="preserve">פוריה עילית </t>
  </si>
  <si>
    <t xml:space="preserve">פוריה - כפר עבודה </t>
  </si>
  <si>
    <t xml:space="preserve">פוריה - נווה עובד </t>
  </si>
  <si>
    <t xml:space="preserve">קבועה (שבט) </t>
  </si>
  <si>
    <t xml:space="preserve">קדרים </t>
  </si>
  <si>
    <t xml:space="preserve">קדימה-צורן </t>
  </si>
  <si>
    <t xml:space="preserve">קלנסווה </t>
  </si>
  <si>
    <t xml:space="preserve">קליה </t>
  </si>
  <si>
    <t xml:space="preserve">קרני שומרון </t>
  </si>
  <si>
    <t xml:space="preserve">קוואעין (שבט) </t>
  </si>
  <si>
    <t xml:space="preserve">קציר </t>
  </si>
  <si>
    <t xml:space="preserve">קצרין </t>
  </si>
  <si>
    <t xml:space="preserve">קדר </t>
  </si>
  <si>
    <t xml:space="preserve">קדמה </t>
  </si>
  <si>
    <t xml:space="preserve">קדומים </t>
  </si>
  <si>
    <t xml:space="preserve">קלע </t>
  </si>
  <si>
    <t xml:space="preserve">קלחים </t>
  </si>
  <si>
    <t xml:space="preserve">קיסריה </t>
  </si>
  <si>
    <t xml:space="preserve">קשת </t>
  </si>
  <si>
    <t xml:space="preserve">קטורה </t>
  </si>
  <si>
    <t xml:space="preserve">קבוצת יבנה </t>
  </si>
  <si>
    <t xml:space="preserve">קדמת צבי </t>
  </si>
  <si>
    <t xml:space="preserve">קדרון </t>
  </si>
  <si>
    <t xml:space="preserve">קרית ענבים </t>
  </si>
  <si>
    <t xml:space="preserve">קרית ארבע </t>
  </si>
  <si>
    <t xml:space="preserve">קרית אתא </t>
  </si>
  <si>
    <t xml:space="preserve">קרית ביאליק </t>
  </si>
  <si>
    <t xml:space="preserve">קרית עקרון </t>
  </si>
  <si>
    <t xml:space="preserve">קרית גת </t>
  </si>
  <si>
    <t xml:space="preserve">קרית מלאכי </t>
  </si>
  <si>
    <t xml:space="preserve">קרית מוצקין </t>
  </si>
  <si>
    <t xml:space="preserve">קרית נטפים </t>
  </si>
  <si>
    <t xml:space="preserve">קרית אונו </t>
  </si>
  <si>
    <t xml:space="preserve">קרית שלמה </t>
  </si>
  <si>
    <t xml:space="preserve">קרית שמונה </t>
  </si>
  <si>
    <t xml:space="preserve">קרית טבעון </t>
  </si>
  <si>
    <t xml:space="preserve">קרית ים </t>
  </si>
  <si>
    <t xml:space="preserve">קרית יערים </t>
  </si>
  <si>
    <t xml:space="preserve">קרית יערים(מוסד) </t>
  </si>
  <si>
    <t xml:space="preserve">קוממיות </t>
  </si>
  <si>
    <t xml:space="preserve">קורנית </t>
  </si>
  <si>
    <t xml:space="preserve">קודייראת א-צאנע(שבט) </t>
  </si>
  <si>
    <t xml:space="preserve">רעננה </t>
  </si>
  <si>
    <t xml:space="preserve">רהט </t>
  </si>
  <si>
    <t xml:space="preserve">רם-און </t>
  </si>
  <si>
    <t xml:space="preserve">רמת דוד </t>
  </si>
  <si>
    <t xml:space="preserve">רמת גן </t>
  </si>
  <si>
    <t xml:space="preserve">רמת הכובש </t>
  </si>
  <si>
    <t xml:space="preserve">רמת השרון </t>
  </si>
  <si>
    <t xml:space="preserve">רמת השופט </t>
  </si>
  <si>
    <t xml:space="preserve">רמת מגשימים </t>
  </si>
  <si>
    <t xml:space="preserve">רמת רחל </t>
  </si>
  <si>
    <t xml:space="preserve">רמת רזיאל </t>
  </si>
  <si>
    <t xml:space="preserve">רמת ישי </t>
  </si>
  <si>
    <t xml:space="preserve">רמת יוחנן </t>
  </si>
  <si>
    <t xml:space="preserve">רמת צבי </t>
  </si>
  <si>
    <t xml:space="preserve">ראמה </t>
  </si>
  <si>
    <t xml:space="preserve">רמלה </t>
  </si>
  <si>
    <t xml:space="preserve">רמות </t>
  </si>
  <si>
    <t xml:space="preserve">רמות השבים </t>
  </si>
  <si>
    <t xml:space="preserve">רמות מאיר </t>
  </si>
  <si>
    <t xml:space="preserve">רמות מנשה </t>
  </si>
  <si>
    <t xml:space="preserve">רמות נפתלי </t>
  </si>
  <si>
    <t xml:space="preserve">רנן </t>
  </si>
  <si>
    <t xml:space="preserve">רקפת </t>
  </si>
  <si>
    <t xml:space="preserve">ראס אל-עין </t>
  </si>
  <si>
    <t xml:space="preserve">ראס עלי </t>
  </si>
  <si>
    <t xml:space="preserve">רביד </t>
  </si>
  <si>
    <t xml:space="preserve">רעים </t>
  </si>
  <si>
    <t xml:space="preserve">רגבים </t>
  </si>
  <si>
    <t xml:space="preserve">רגבה </t>
  </si>
  <si>
    <t xml:space="preserve">ריחן </t>
  </si>
  <si>
    <t xml:space="preserve">רחלים </t>
  </si>
  <si>
    <t xml:space="preserve">רחוב </t>
  </si>
  <si>
    <t xml:space="preserve">רחובות </t>
  </si>
  <si>
    <t xml:space="preserve">ריחאניה </t>
  </si>
  <si>
    <t xml:space="preserve">ריינה </t>
  </si>
  <si>
    <t xml:space="preserve">רכסים </t>
  </si>
  <si>
    <t xml:space="preserve">רשפים </t>
  </si>
  <si>
    <t xml:space="preserve">רתמים </t>
  </si>
  <si>
    <t xml:space="preserve">רבדים </t>
  </si>
  <si>
    <t xml:space="preserve">רבבה </t>
  </si>
  <si>
    <t xml:space="preserve">רביבים </t>
  </si>
  <si>
    <t xml:space="preserve">רווחה </t>
  </si>
  <si>
    <t xml:space="preserve">רוויה </t>
  </si>
  <si>
    <t xml:space="preserve">רימונים </t>
  </si>
  <si>
    <t xml:space="preserve">רינתיה </t>
  </si>
  <si>
    <t xml:space="preserve">ראשון לציון </t>
  </si>
  <si>
    <t xml:space="preserve">רשפון </t>
  </si>
  <si>
    <t xml:space="preserve">רועי </t>
  </si>
  <si>
    <t xml:space="preserve">ראש העין </t>
  </si>
  <si>
    <t xml:space="preserve">ראש פינה </t>
  </si>
  <si>
    <t xml:space="preserve">ראש צורים </t>
  </si>
  <si>
    <t xml:space="preserve">רותם </t>
  </si>
  <si>
    <t xml:space="preserve">רוח מדבר </t>
  </si>
  <si>
    <t xml:space="preserve">רוחמה </t>
  </si>
  <si>
    <t xml:space="preserve">רומת הייב </t>
  </si>
  <si>
    <t xml:space="preserve">רומאנה </t>
  </si>
  <si>
    <t xml:space="preserve">סעד </t>
  </si>
  <si>
    <t xml:space="preserve">סער </t>
  </si>
  <si>
    <t xml:space="preserve">סעוה </t>
  </si>
  <si>
    <t xml:space="preserve">סאג'ור </t>
  </si>
  <si>
    <t xml:space="preserve">סח'נין </t>
  </si>
  <si>
    <t xml:space="preserve">סלעית </t>
  </si>
  <si>
    <t xml:space="preserve">סלמה </t>
  </si>
  <si>
    <t xml:space="preserve">סמר </t>
  </si>
  <si>
    <t xml:space="preserve">צנדלה </t>
  </si>
  <si>
    <t xml:space="preserve">ספיר </t>
  </si>
  <si>
    <t xml:space="preserve">שריד </t>
  </si>
  <si>
    <t xml:space="preserve">סאסא </t>
  </si>
  <si>
    <t xml:space="preserve">סביון </t>
  </si>
  <si>
    <t xml:space="preserve">סואעד (כמאנה) (שבט) </t>
  </si>
  <si>
    <t xml:space="preserve">סואעד (חמרייה) </t>
  </si>
  <si>
    <t xml:space="preserve">סייד (שבט) </t>
  </si>
  <si>
    <t xml:space="preserve">שדי אברהם </t>
  </si>
  <si>
    <t xml:space="preserve">שדה בוקר </t>
  </si>
  <si>
    <t xml:space="preserve">שדה דוד </t>
  </si>
  <si>
    <t xml:space="preserve">שדה אליעזר </t>
  </si>
  <si>
    <t xml:space="preserve">שדה אליהו </t>
  </si>
  <si>
    <t xml:space="preserve">שדי חמד </t>
  </si>
  <si>
    <t xml:space="preserve">שדה אילן </t>
  </si>
  <si>
    <t xml:space="preserve">שדה משה </t>
  </si>
  <si>
    <t xml:space="preserve">שדה נחום </t>
  </si>
  <si>
    <t xml:space="preserve">שדה נחמיה </t>
  </si>
  <si>
    <t xml:space="preserve">שדה ניצן </t>
  </si>
  <si>
    <t xml:space="preserve">שדי תרומות </t>
  </si>
  <si>
    <t xml:space="preserve">שדה עוזיהו </t>
  </si>
  <si>
    <t xml:space="preserve">שדה ורבורג </t>
  </si>
  <si>
    <t xml:space="preserve">שדה יעקב </t>
  </si>
  <si>
    <t xml:space="preserve">שדה יצחק </t>
  </si>
  <si>
    <t xml:space="preserve">שדה יואב </t>
  </si>
  <si>
    <t xml:space="preserve">שדה צבי </t>
  </si>
  <si>
    <t xml:space="preserve">שדרות </t>
  </si>
  <si>
    <t xml:space="preserve">שדות מיכה </t>
  </si>
  <si>
    <t xml:space="preserve">שדות ים </t>
  </si>
  <si>
    <t xml:space="preserve">שגב-שלום </t>
  </si>
  <si>
    <t xml:space="preserve">סגולה </t>
  </si>
  <si>
    <t xml:space="preserve">שניר </t>
  </si>
  <si>
    <t xml:space="preserve">שעב </t>
  </si>
  <si>
    <t xml:space="preserve">שעל </t>
  </si>
  <si>
    <t xml:space="preserve">שעלבים </t>
  </si>
  <si>
    <t xml:space="preserve">שער אפרים </t>
  </si>
  <si>
    <t xml:space="preserve">שער העמקים </t>
  </si>
  <si>
    <t xml:space="preserve">שער הגולן </t>
  </si>
  <si>
    <t xml:space="preserve">שער מנשה </t>
  </si>
  <si>
    <t xml:space="preserve">שער שומרון </t>
  </si>
  <si>
    <t xml:space="preserve">שדמות דבורה </t>
  </si>
  <si>
    <t xml:space="preserve">שדמות מחולה </t>
  </si>
  <si>
    <t xml:space="preserve">שפיר </t>
  </si>
  <si>
    <t xml:space="preserve">שחר </t>
  </si>
  <si>
    <t xml:space="preserve">שחרית </t>
  </si>
  <si>
    <t xml:space="preserve">שחרות </t>
  </si>
  <si>
    <t xml:space="preserve">שלווה במדבר </t>
  </si>
  <si>
    <t xml:space="preserve">שלווה </t>
  </si>
  <si>
    <t xml:space="preserve">שמרת </t>
  </si>
  <si>
    <t xml:space="preserve">שמיר </t>
  </si>
  <si>
    <t xml:space="preserve">שני </t>
  </si>
  <si>
    <t xml:space="preserve">שקד </t>
  </si>
  <si>
    <t xml:space="preserve">שרונה </t>
  </si>
  <si>
    <t xml:space="preserve">שרשרת </t>
  </si>
  <si>
    <t xml:space="preserve">שבי דרום </t>
  </si>
  <si>
    <t xml:space="preserve">שבי שומרון </t>
  </si>
  <si>
    <t xml:space="preserve">שבי ציון </t>
  </si>
  <si>
    <t xml:space="preserve">שאר ישוב </t>
  </si>
  <si>
    <t xml:space="preserve">שדמה </t>
  </si>
  <si>
    <t xml:space="preserve">שפרעם </t>
  </si>
  <si>
    <t xml:space="preserve">שפיים </t>
  </si>
  <si>
    <t xml:space="preserve">שפר </t>
  </si>
  <si>
    <t xml:space="preserve">שייח' דנון </t>
  </si>
  <si>
    <t xml:space="preserve">שכניה </t>
  </si>
  <si>
    <t xml:space="preserve">שלומי </t>
  </si>
  <si>
    <t xml:space="preserve">שלוחות </t>
  </si>
  <si>
    <t xml:space="preserve">שקף </t>
  </si>
  <si>
    <t xml:space="preserve">שתולה </t>
  </si>
  <si>
    <t xml:space="preserve">שתולים </t>
  </si>
  <si>
    <t xml:space="preserve">שיזף </t>
  </si>
  <si>
    <t xml:space="preserve">שזור </t>
  </si>
  <si>
    <t xml:space="preserve">שיבולים </t>
  </si>
  <si>
    <t xml:space="preserve">שבלי - אום אל-גנם </t>
  </si>
  <si>
    <t xml:space="preserve">שילת </t>
  </si>
  <si>
    <t xml:space="preserve">שילה </t>
  </si>
  <si>
    <t xml:space="preserve">שמעה </t>
  </si>
  <si>
    <t xml:space="preserve">שמשית </t>
  </si>
  <si>
    <t xml:space="preserve">נאות סמדר </t>
  </si>
  <si>
    <t xml:space="preserve">שלומית </t>
  </si>
  <si>
    <t xml:space="preserve">שואבה </t>
  </si>
  <si>
    <t xml:space="preserve">שוהם </t>
  </si>
  <si>
    <t xml:space="preserve">שומרה </t>
  </si>
  <si>
    <t xml:space="preserve">שומריה </t>
  </si>
  <si>
    <t xml:space="preserve">שוקדה </t>
  </si>
  <si>
    <t xml:space="preserve">שורשים </t>
  </si>
  <si>
    <t xml:space="preserve">שורש </t>
  </si>
  <si>
    <t xml:space="preserve">שושנת העמקים </t>
  </si>
  <si>
    <t xml:space="preserve">צוקי ים </t>
  </si>
  <si>
    <t xml:space="preserve">שובל </t>
  </si>
  <si>
    <t xml:space="preserve">שובה </t>
  </si>
  <si>
    <t xml:space="preserve">סתריה </t>
  </si>
  <si>
    <t xml:space="preserve">סופה </t>
  </si>
  <si>
    <t xml:space="preserve">סולם </t>
  </si>
  <si>
    <t xml:space="preserve">סוסיה </t>
  </si>
  <si>
    <t xml:space="preserve">תעוז </t>
  </si>
  <si>
    <t xml:space="preserve">טל שחר </t>
  </si>
  <si>
    <t xml:space="preserve">טל-אל </t>
  </si>
  <si>
    <t xml:space="preserve">תלמי ביל"ו </t>
  </si>
  <si>
    <t xml:space="preserve">תלמי אלעזר </t>
  </si>
  <si>
    <t xml:space="preserve">תלמי אליהו </t>
  </si>
  <si>
    <t xml:space="preserve">תלמי יפה </t>
  </si>
  <si>
    <t xml:space="preserve">תלמי יחיאל </t>
  </si>
  <si>
    <t xml:space="preserve">תלמי יוסף </t>
  </si>
  <si>
    <t xml:space="preserve">טלמון </t>
  </si>
  <si>
    <t xml:space="preserve">טמרה </t>
  </si>
  <si>
    <t xml:space="preserve">טמרה (יזרעאל) </t>
  </si>
  <si>
    <t xml:space="preserve">תראבין א-צאנע (שבט) </t>
  </si>
  <si>
    <t xml:space="preserve">תראבין א-צאנע(ישוב) </t>
  </si>
  <si>
    <t xml:space="preserve">תרום </t>
  </si>
  <si>
    <t xml:space="preserve">טייבה </t>
  </si>
  <si>
    <t xml:space="preserve">טייבה (בעמק) </t>
  </si>
  <si>
    <t xml:space="preserve">תאשור </t>
  </si>
  <si>
    <t xml:space="preserve">טפחות </t>
  </si>
  <si>
    <t xml:space="preserve">תל עדשים </t>
  </si>
  <si>
    <t xml:space="preserve">תל אביב - יפו </t>
  </si>
  <si>
    <t xml:space="preserve">תל מונד </t>
  </si>
  <si>
    <t xml:space="preserve">תל קציר </t>
  </si>
  <si>
    <t xml:space="preserve">תל שבע </t>
  </si>
  <si>
    <t xml:space="preserve">תל תאומים </t>
  </si>
  <si>
    <t xml:space="preserve">תל ציון </t>
  </si>
  <si>
    <t xml:space="preserve">תל יצחק </t>
  </si>
  <si>
    <t xml:space="preserve">תל יוסף </t>
  </si>
  <si>
    <t xml:space="preserve">טללים </t>
  </si>
  <si>
    <t xml:space="preserve">תלמים </t>
  </si>
  <si>
    <t xml:space="preserve">תלם </t>
  </si>
  <si>
    <t xml:space="preserve">טנא </t>
  </si>
  <si>
    <t xml:space="preserve">תנובות </t>
  </si>
  <si>
    <t xml:space="preserve">תקוע </t>
  </si>
  <si>
    <t xml:space="preserve">תקומה </t>
  </si>
  <si>
    <t xml:space="preserve">טבריה </t>
  </si>
  <si>
    <t xml:space="preserve">תדהר </t>
  </si>
  <si>
    <t xml:space="preserve">תפרח </t>
  </si>
  <si>
    <t xml:space="preserve">תימורים </t>
  </si>
  <si>
    <t xml:space="preserve">תמרת </t>
  </si>
  <si>
    <t xml:space="preserve">טירת כרמל </t>
  </si>
  <si>
    <t xml:space="preserve">טירת יהודה </t>
  </si>
  <si>
    <t xml:space="preserve">טירת צבי </t>
  </si>
  <si>
    <t xml:space="preserve">טירה </t>
  </si>
  <si>
    <t xml:space="preserve">תירוש </t>
  </si>
  <si>
    <t xml:space="preserve">תומר </t>
  </si>
  <si>
    <t xml:space="preserve">רמת טראמפ </t>
  </si>
  <si>
    <t xml:space="preserve">טובא-זנגריה </t>
  </si>
  <si>
    <t xml:space="preserve">טורעאן </t>
  </si>
  <si>
    <t xml:space="preserve">תושיה </t>
  </si>
  <si>
    <t xml:space="preserve">תובל </t>
  </si>
  <si>
    <t xml:space="preserve">אודים </t>
  </si>
  <si>
    <t xml:space="preserve">אום אל-פחם </t>
  </si>
  <si>
    <t xml:space="preserve">אום אל-קוטוף </t>
  </si>
  <si>
    <t xml:space="preserve">אום בטין </t>
  </si>
  <si>
    <t xml:space="preserve">עוקבי (בנו עוקבה) </t>
  </si>
  <si>
    <t xml:space="preserve">אורים </t>
  </si>
  <si>
    <t xml:space="preserve">אושה </t>
  </si>
  <si>
    <t xml:space="preserve">עוזה </t>
  </si>
  <si>
    <t xml:space="preserve">עוזייר </t>
  </si>
  <si>
    <t xml:space="preserve">ורדון </t>
  </si>
  <si>
    <t xml:space="preserve">ורד יריחו </t>
  </si>
  <si>
    <t xml:space="preserve">יעד </t>
  </si>
  <si>
    <t xml:space="preserve">יערה </t>
  </si>
  <si>
    <t xml:space="preserve">יעל </t>
  </si>
  <si>
    <t xml:space="preserve">יד בנימין </t>
  </si>
  <si>
    <t xml:space="preserve">יד חנה </t>
  </si>
  <si>
    <t xml:space="preserve">יד השמונה </t>
  </si>
  <si>
    <t xml:space="preserve">יד מרדכי </t>
  </si>
  <si>
    <t xml:space="preserve">יד נתן </t>
  </si>
  <si>
    <t xml:space="preserve">יד רמב"ם </t>
  </si>
  <si>
    <t xml:space="preserve">יפיע </t>
  </si>
  <si>
    <t xml:space="preserve">יפית </t>
  </si>
  <si>
    <t xml:space="preserve">יגל </t>
  </si>
  <si>
    <t xml:space="preserve">יגור </t>
  </si>
  <si>
    <t xml:space="preserve">יהל </t>
  </si>
  <si>
    <t xml:space="preserve">יכיני </t>
  </si>
  <si>
    <t xml:space="preserve">יאנוח-ג'ת </t>
  </si>
  <si>
    <t xml:space="preserve">ינוב </t>
  </si>
  <si>
    <t xml:space="preserve">יקיר </t>
  </si>
  <si>
    <t xml:space="preserve">יקום </t>
  </si>
  <si>
    <t xml:space="preserve">ירדנה </t>
  </si>
  <si>
    <t xml:space="preserve">ירחיב </t>
  </si>
  <si>
    <t xml:space="preserve">ירקונה </t>
  </si>
  <si>
    <t xml:space="preserve">יסעור </t>
  </si>
  <si>
    <t xml:space="preserve">ישרש </t>
  </si>
  <si>
    <t xml:space="preserve">יתד </t>
  </si>
  <si>
    <t xml:space="preserve">יבנה </t>
  </si>
  <si>
    <t xml:space="preserve">יבנאל </t>
  </si>
  <si>
    <t xml:space="preserve">יציץ </t>
  </si>
  <si>
    <t xml:space="preserve">יעף </t>
  </si>
  <si>
    <t xml:space="preserve">ידידה </t>
  </si>
  <si>
    <t xml:space="preserve">כפר ידידיה </t>
  </si>
  <si>
    <t xml:space="preserve">יחיעם </t>
  </si>
  <si>
    <t xml:space="preserve">יהוד-מונוסון </t>
  </si>
  <si>
    <t xml:space="preserve">ירוחם </t>
  </si>
  <si>
    <t xml:space="preserve">ישע </t>
  </si>
  <si>
    <t xml:space="preserve">יסודות </t>
  </si>
  <si>
    <t xml:space="preserve">יסוד המעלה </t>
  </si>
  <si>
    <t xml:space="preserve">יבול </t>
  </si>
  <si>
    <t xml:space="preserve">יפעת </t>
  </si>
  <si>
    <t xml:space="preserve">יפתח </t>
  </si>
  <si>
    <t xml:space="preserve">ינון </t>
  </si>
  <si>
    <t xml:space="preserve">יראון </t>
  </si>
  <si>
    <t xml:space="preserve">ירכא </t>
  </si>
  <si>
    <t xml:space="preserve">ישעי </t>
  </si>
  <si>
    <t xml:space="preserve">ייט"ב </t>
  </si>
  <si>
    <t xml:space="preserve">יצהר </t>
  </si>
  <si>
    <t xml:space="preserve">יזרעאל </t>
  </si>
  <si>
    <t xml:space="preserve">יודפת </t>
  </si>
  <si>
    <t xml:space="preserve">יונתן </t>
  </si>
  <si>
    <t xml:space="preserve">יקנעם עילית </t>
  </si>
  <si>
    <t xml:space="preserve">יקנעם (מושבה) </t>
  </si>
  <si>
    <t xml:space="preserve">יושיביה </t>
  </si>
  <si>
    <t xml:space="preserve">יטבתה </t>
  </si>
  <si>
    <t xml:space="preserve">יובל </t>
  </si>
  <si>
    <t xml:space="preserve">יובלים </t>
  </si>
  <si>
    <t xml:space="preserve">זבארגה (שבט) </t>
  </si>
  <si>
    <t xml:space="preserve">צפרירים </t>
  </si>
  <si>
    <t xml:space="preserve">צפריה </t>
  </si>
  <si>
    <t xml:space="preserve">זנוח </t>
  </si>
  <si>
    <t xml:space="preserve">זרזיר </t>
  </si>
  <si>
    <t xml:space="preserve">זבדיאל </t>
  </si>
  <si>
    <t xml:space="preserve">צאלים </t>
  </si>
  <si>
    <t xml:space="preserve">צפת </t>
  </si>
  <si>
    <t xml:space="preserve">זכריה </t>
  </si>
  <si>
    <t xml:space="preserve">צלפון </t>
  </si>
  <si>
    <t xml:space="preserve">זמר </t>
  </si>
  <si>
    <t xml:space="preserve">זרחיה </t>
  </si>
  <si>
    <t xml:space="preserve">זרועה </t>
  </si>
  <si>
    <t xml:space="preserve">צרופה </t>
  </si>
  <si>
    <t xml:space="preserve">זיתן </t>
  </si>
  <si>
    <t xml:space="preserve">זכרון יעקב </t>
  </si>
  <si>
    <t xml:space="preserve">זמרת </t>
  </si>
  <si>
    <t xml:space="preserve">ציפורי </t>
  </si>
  <si>
    <t xml:space="preserve">זיקים </t>
  </si>
  <si>
    <t xml:space="preserve">צבעון </t>
  </si>
  <si>
    <t xml:space="preserve">צופר </t>
  </si>
  <si>
    <t xml:space="preserve">צופית </t>
  </si>
  <si>
    <t xml:space="preserve">צופיה </t>
  </si>
  <si>
    <t xml:space="preserve">צוחר </t>
  </si>
  <si>
    <t xml:space="preserve">זוהר </t>
  </si>
  <si>
    <t xml:space="preserve">צרעה </t>
  </si>
  <si>
    <t xml:space="preserve">צובה </t>
  </si>
  <si>
    <t xml:space="preserve">צופים </t>
  </si>
  <si>
    <t xml:space="preserve">צור הדסה </t>
  </si>
  <si>
    <t xml:space="preserve">צור משה </t>
  </si>
  <si>
    <t xml:space="preserve">צור נתן </t>
  </si>
  <si>
    <t xml:space="preserve">צור יצחק </t>
  </si>
  <si>
    <t xml:space="preserve">צוריאל </t>
  </si>
  <si>
    <t xml:space="preserve">צורית </t>
  </si>
  <si>
    <t xml:space="preserve">צביה </t>
  </si>
  <si>
    <t>שם ישוב</t>
  </si>
  <si>
    <t>תוכנית מז"ל</t>
  </si>
  <si>
    <t>מניעת התעללות והזנחה</t>
  </si>
  <si>
    <t>תוכניות לשם: הפגת בדידות וקידום שייכות, מניעת סיכון, שימור ושיפור תפקוד</t>
  </si>
  <si>
    <t>מועדון נצל"ש (קפה אירופה, קפה בריטניה, בתים חמים וכדו')</t>
  </si>
  <si>
    <t>סל"ב</t>
  </si>
  <si>
    <t>הפגת בדידות בסופ"ש</t>
  </si>
  <si>
    <t>חרבות ברזל</t>
  </si>
  <si>
    <t>מועדון נצל"ש (קפה אירופה,קפה בריטניה בתים חמים וכדו')</t>
  </si>
  <si>
    <t>הפוגות לניצולי שואה</t>
  </si>
  <si>
    <t>הפוגות לנצל"ש</t>
  </si>
  <si>
    <t>סל תכנון בגישה קהילתית</t>
  </si>
  <si>
    <t>טבלת עזר לחישוב כמות מוקדי שייכות</t>
  </si>
  <si>
    <t>כמות מוקדים</t>
  </si>
  <si>
    <t>קטן</t>
  </si>
  <si>
    <t>בינוני</t>
  </si>
  <si>
    <t>גדול</t>
  </si>
  <si>
    <t>רשות קטנה רשאית לפתוח מוקדים קטנים.
רשות בינונית רשאית לפתוח מוקדים קטנים ובינוניים.
רשות גדולה רשאית לפתוח מוקדים קטנים, בינוניים וגדולים.</t>
  </si>
  <si>
    <t>גודל הרשות שלכם:</t>
  </si>
  <si>
    <t>הפגות לניצולי שואה</t>
  </si>
  <si>
    <r>
      <rPr>
        <b/>
        <sz val="14"/>
        <color theme="1"/>
        <rFont val="Gill Sans MT"/>
        <family val="2"/>
      </rPr>
      <t xml:space="preserve">גליון 1-"הוראות שימוש" 
בגיליון 2  "תכנון תקציבי" הגליון העיקרי בו תצטרכו למלא את תכנון תמהיל השירות בהתאם לתקציבכם. 
שימו לב, אין לשנות את מבנה או תוכן הטבלאות. יש למלא נתונים רק בתאים האפורים המיועדים לכך. 
במהלך התכנון, מומלץ להיעזר בחלק העליון של הגיליון - הדשבורד, על מנת לראות כמה תקציב נשאר לכם. לשם הנוחות, ישנה אפשרות לפתוח ולסגור אותו בכל זמן נתון בעזרת +/- בשורה 20. 
על כל שינוי הקצאה מביצוע אשתקד - יותר מ30% או פחות מ30% מאמדן ביצוע 2024 יופיע חיווי-רמזור אדום שיפתח את האפשרות להערות לסיבת השינוי במלל חופשי. 
גיליון 3 "עלות השירותים" -משמש כבסיס לחישובים בגליון התכנון ויספק לכם את עלויות השירותים והמושמים. מומלץ להיעזר בגיליון זה בעת מילוי הנתונים.
גליון 4 "מאגר השירותים" בו תוכלו למצוא הסברים לתוכניות המפורטות.
גליון 5  "מיזמים חדשים" יאפשר לכם לשקף את הפעילויות הקיימות ברשות ולתכנן פעילויות חדשות ברמה מפורטת יותר . שימו לב, אין בזאת להבטיח שיתקבל תקציב נוסף לטובת היוזמות. </t>
    </r>
    <r>
      <rPr>
        <b/>
        <sz val="14"/>
        <color rgb="FFFF0000"/>
        <rFont val="Gill Sans MT"/>
        <family val="2"/>
      </rPr>
      <t xml:space="preserve">נא למלא בהתאם להנחיות שישלחו. </t>
    </r>
    <r>
      <rPr>
        <b/>
        <sz val="14"/>
        <color theme="1"/>
        <rFont val="Gill Sans MT"/>
        <family val="2"/>
      </rPr>
      <t xml:space="preserve">
</t>
    </r>
    <r>
      <rPr>
        <sz val="14"/>
        <color theme="1"/>
        <rFont val="Gill Sans MT"/>
        <family val="2"/>
      </rPr>
      <t xml:space="preserve">     
</t>
    </r>
  </si>
  <si>
    <r>
      <rPr>
        <b/>
        <sz val="14"/>
        <color rgb="FFFF0000"/>
        <rFont val="Gill Sans MT"/>
        <family val="2"/>
      </rPr>
      <t>מס' הערות חשובות:</t>
    </r>
    <r>
      <rPr>
        <b/>
        <sz val="14"/>
        <color rgb="FFFF6B6B"/>
        <rFont val="Gill Sans MT"/>
        <family val="2"/>
      </rPr>
      <t xml:space="preserve">
</t>
    </r>
    <r>
      <rPr>
        <b/>
        <sz val="14"/>
        <rFont val="Gill Sans MT"/>
        <family val="2"/>
      </rPr>
      <t xml:space="preserve">• התקציב המוצג הינו התקציב שהוקצה ב2024 והינו אומדן בלבד. התקציב יוקצה לאחר תקציב המדינה. התקציב לשנת 2025 יופיע בדו"ח תקצוב והתחשבנות.
• התקציב נקבע על פי קריטריונים באופן שוויוני ואינו מותנה בתכנון יזמות.
• עלות השירותים מתעדכנת מעת לעת בהתאם לעדכוני התעריפים והמדדים במשק ועל כן האקסל משקף תמונת מצב על פי המצב כיום. 
• נתוני הביצוע המוצגים מתבססים על ביצוע בפועל של חודשים ינואר – אוקטובר 2024 בתוספת אומדן ביצוע, על סמך קצב ביצוע תקציב 2023 בחודשים נובמבר ודצמבר.
• בתוכניות שפוצלו מוצגים נתוני תכנון אשתקד באופן יחסי לאומדן הביצוע. 
• לתשומת ליבכם, את תעריף הנופשונים יש לתכנן ע"פ מס' לילות ממוצע בחודש. 
</t>
    </r>
  </si>
  <si>
    <t>שם המועדון</t>
  </si>
  <si>
    <t>יישוב
(במועצות איזוריות)</t>
  </si>
  <si>
    <t>מועדונים חברתיים</t>
  </si>
  <si>
    <t>סעיף 0243420</t>
  </si>
  <si>
    <t>סיווג התוכנית*</t>
  </si>
  <si>
    <t>שם התוכנית*</t>
  </si>
  <si>
    <t>אוכולוסית יעד*</t>
  </si>
  <si>
    <t>האם מיועד לאזרחים ותיקים המוכרים לרווחה?*</t>
  </si>
  <si>
    <t>טווח גילאים*</t>
  </si>
  <si>
    <t>תיאור קצר של התוכנית (מטרות התוכנית+הרציונל לבחירה בה כולל נתונים+אופן הפעלה מתוכנן)*</t>
  </si>
  <si>
    <t>תוכניות בדיווח רשות קיימות וחדשות</t>
  </si>
  <si>
    <t>מס' משתתפים*</t>
  </si>
  <si>
    <t>סוג הפעילות*</t>
  </si>
  <si>
    <t>סה"כ עלות*</t>
  </si>
  <si>
    <t>תכנון יזמות</t>
  </si>
  <si>
    <t>תאריך התחלה מתוכנן*</t>
  </si>
  <si>
    <t>האם הופעל בשנה שעברה?*</t>
  </si>
  <si>
    <t>האם יצא לפועל?*</t>
  </si>
  <si>
    <t>כמה משתתפים היו בפועל?*</t>
  </si>
  <si>
    <t>תוכניות יזמות</t>
  </si>
  <si>
    <t>התכנית מספקת סל שירותים לאזרחים הוותיקים המתגוררים בקהילה ומהווה רשת בטחון להישארותם בביתם ובקהילתם החברתית והפיזית. החברים בקהילות התומכות, עטופים במעטפת מקצועית של צוות הקהילה ובמעטפת חברתית של בני קהילתם</t>
  </si>
  <si>
    <t>חיזוק תחושת השייכות, עיבוי רשתות חברתיות, הגברת תחושת המשמעות, קידום ניהול אורח חיים פעיל ובריא, איתור אזרחים ותיקים במצבי סיכון</t>
  </si>
  <si>
    <t>עצמאי, תשוש, תשוש נפש, מרותק בית</t>
  </si>
  <si>
    <t>תיאור התוכנית</t>
  </si>
  <si>
    <t>מאגר תוכניות</t>
  </si>
  <si>
    <t>המועדונים מספקים פעילות חברתית מגוונת, ביטחון תזונתי הכולל ארוחת בוקר עשירה וארוחת צהריים מבושלת, והסעות מבתיהם ואל בתיהם של האזרחים הוותיקים המשתתפים.</t>
  </si>
  <si>
    <t xml:space="preserve">חיזוק תחשות השייכות, פיתוח ועיבוי רשתות חברתיות, הגברת תחושת המשמעות, מתן ביטחון תזונתי באמצעות הזנה מותאת </t>
  </si>
  <si>
    <t xml:space="preserve">מועדונים מועשרים משמשים להפגת בדידות ושיפור איכות חייהם של אזרחים ותיקים המתגוררים בקהילה ומחפשים מסגרת חברתית לשעות הפנאי אך אינם יכולים,  להגיע למרכז יום או למרכז פעילות כלשהו. עיקר הפעילות נסבה סביב תכנים חברתיים ותרבותיים.   </t>
  </si>
  <si>
    <t>חיזוק תחושת השייכות, פיתוח ועיבוי רשתות חברתיות, שיפור ושימור התפקודים הפיזיים והמנטליים, תעסוקה בונה ומשקמת בהיבט של שיפור ושימור תפקודים, קידום אורח חיים פעיל ובריא כולל תזונה, פיתוח ועיבוי רשתות חברתיות ,הגברת תחושת המשמעות,איתור אזרחים ותיקים במצבים מנבאי סיכון.</t>
  </si>
  <si>
    <t xml:space="preserve">מעגל זה"ב להט"ב היא תכנית ייחודית לאזרחים ותיקים להט"ב הנמצאים בסיכון. </t>
  </si>
  <si>
    <t>לא רלוונטי</t>
  </si>
  <si>
    <t>מרכזי היום הם מסגרות חברתיות וטיפוליות לאזרחים ותיקים המתגוררים בביתם והם תשושים הנזקקים לעזרה חלקית בפעולות היום-יום או תשושי נפש הסובלים מירידה קוגניטיבית ונזקקים להשגחה חלקית או קבועה. מרכזים אלו פרוסים ברחבי הארץ ופעילים חמישה ימים בשבוע בשעות הבוקר לטווח זמן של שש שעות לפחות</t>
  </si>
  <si>
    <t>חיזוק תחושת השייכות, פיתוח ועיבוי רשתות חברתיות, הגברת תחושת המשמעות,שיפור ושימור התפקודים הפיזיים והמנטלים, טיפול אישי,  תעסוקה בונה ומשקמת בהיבט של שיפור ושימור תפקודים. קידום אורח חיים פעיל ובריא,תזונה כושר ועוד.איתור אזרחים ותיקים במצבים מנבאי סיכון.</t>
  </si>
  <si>
    <t>הזדקנות מיטבית ודחיקת התלות בקרב זקנים המתגוררים בקהילה ונתמכים על ידי בני משפחה,שיפור החוסן והרווחה של בן המשפחה המטפל ,טיפול מיטבי של בן המשפחה המטפל בזקן.</t>
  </si>
  <si>
    <t xml:space="preserve">תכניות לצמצום תחושת הבדידות ,פיתוח ועיבוי רשתות חברתיות ,הגברת תחושת השייכות והמשמעות. התכניות צריכות להיות מתמשכות, לקבוצה קבועה במטרה לעודד יצירת קשרים חברתיים והתכנים יהיו כאלה, שמעודדים שימור יכולות ודחיקת תלות. </t>
  </si>
  <si>
    <t>קבוצות/סדנאות לפיתוח מיומנויות, גישות והתנהגויות להתמודדות מול אירועים קשים באמצעות מודעות וגילוי עצמי של כוחות חשיבה חיובית והתנהגויות גמישות, תרגול חמלה עצמית והכרה בחסרונות ויתרונות שלי כאדם, לצד למידה מכישלונו והפקת לקחים</t>
  </si>
  <si>
    <t>פיתוח חוסן נפשי  לאזרחים ותיקים שאירועי ה7/10 ומלחמת חרבות ברזל הביאו להתדרדרות במצבם הרגשי</t>
  </si>
  <si>
    <t>המועדונים מספקים עבור ניצולי שואה פעילות חברתית מגוונת, ביטחון תזונתי הכולל ארוחת בוקר עשירה וארוחת צהריים מבושלת, והסעות מבתיהם ואל בתיהם של האזרחים הוותיקים המשתתפים.</t>
  </si>
  <si>
    <t>התכנית מספקת עבור ניצולי שואה סל שירותים לאזרחים הוותיקים המתגוררים בקהילה ומהווה רשת בטחון להישארותם בביתם ובקהילתם החברתית והפיזית. החברים בקהילות התומכות, עטופים במעטפת מקצועית של צוות הקהילה ובמעטפת חברתית של בני קהילתם</t>
  </si>
  <si>
    <t>מסגרות חברתיות קטנות ואינטימיות (מועדון/בית חם) עבור ניצולי שואה התוכניות מאפשרות מפגשים חברתיים קבועים, השתייכות לקבוצה חברתית והפגת בדידות. הפעילויות מתקיימות בבתים מארחים או במרחבים תחומים במבני ציבור מארחים</t>
  </si>
  <si>
    <t xml:space="preserve">סל לניצול בבית. שיפור הרווחה הנפשית של ניצולי השואה, שמרותקים לביתם, באמצעות קשר עם איש מקצוע ו/או מתנדב, שאינם אחראים לטיפול הפיזי בהם. </t>
  </si>
  <si>
    <t>תשוש נפש וסיעודי</t>
  </si>
  <si>
    <t>הגברת משמעות, שימור יכולות, חיזוק הכישורים החברתיים והפחתת בדידות.</t>
  </si>
  <si>
    <t xml:space="preserve"> באפשרות הרשות להפעיל בסופי שבוע תכנית חברתית להפחתת בדידות שתכלול, במידת הצורך, גם ארוחות. </t>
  </si>
  <si>
    <t>במסגרת התכנית לצמצום תחושת הבדידות, עיבוי הרשתות החברתיות והגברת תחושת השייכות, (בשל חויית הבדידות המתעצמת בסופי שבוע ובחגים).</t>
  </si>
  <si>
    <t>תוכנית עבור ניצולי שואה המרותקים לביתם אשר מקדמת אורח חיים פעיל ובריא/שימור תפקודים פיזיים /קוגנטיביים.</t>
  </si>
  <si>
    <t>תוכניות לשם: הפגת בדידות וקידום שייכות,מניעת סיכון,שימור ושיפור תפקוד</t>
  </si>
  <si>
    <t xml:space="preserve">תכניות לצמצום תחושת הבדידות ,פיתוח ועיבוי רשתות חברתיות ,הגברת תחושת השייכות והמשמעות. התכניות צריכות להיות מתמשכות, לקבוצה קבועה של ניצולי שואה במטרה לעודד יצירת קשרים חברתיים והתכנים יהיו כאלה, שמעודדים שימור יכולות ודחיקת תלות. </t>
  </si>
  <si>
    <t>תכנית "בתים חמים" מבוססת על מסגרות חברתיות קטנות ואינטימיות לחברי קבוצות בעלות מכנה משותף כמו מקום מגורים, שפה, שורדי שואה וכדומה. התכנית מאפשרת מפגשים חברתיים קבועים, השתייכות לקבוצה חברתית והפגת בדידות. הפעילויות מתקיימות בבתים מארחים או במרחבים תחומים במבני ציבור מארחים.</t>
  </si>
  <si>
    <t>מועדונים חברתיים מספקים העשרה לאזרחים ותיקים בתחומים שונים ומאפשרים שילוב חברתי במסגרת חברתית וצמצום תחושת הבדידות. המועדונים החברתיים מיועדים לכל אזרח ותיק בקהילה שהוא עצמאי בהתנהלותו בחיי היום-יום ומסוגל להשתלב במרחב המועדון ובפעילות הסדירה ללא ליווי או סיוע יוצא דופן,  המועדונים פתוחים לרוב לשלושה ימי פעילות בשבוע, בדרך כלל בשעות הבוקר ולמשך 4 שעות לפחות.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</si>
</sst>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_(&quot;$&quot;* #,##0.00_);_(&quot;$&quot;* \(#,##0.00\);_(&quot;$&quot;* &quot;-&quot;??_);_(@_)"/>
    <numFmt numFmtId="165" formatCode="_ &quot;₪&quot;\ * #,##0_ ;_ &quot;₪&quot;\ * \-#,##0_ ;_ &quot;₪&quot;\ * &quot;-&quot;??_ ;_ @_ "/>
    <numFmt numFmtId="166" formatCode="0.0%"/>
    <numFmt numFmtId="167" formatCode="[$₪-40D]\ #,##0"/>
    <numFmt numFmtId="168" formatCode="_ * #,##0_ ;_ * \-#,##0_ ;_ * &quot;-&quot;??_ ;_ @_ "/>
    <numFmt numFmtId="169" formatCode="[$₪-40D]\ #,##0;[$₪-40D]\ \-#,##0"/>
    <numFmt numFmtId="170" formatCode="_ [$₪-40D]\ * #,##0.00_ ;_ [$₪-40D]\ * \-#,##0.00_ ;_ [$₪-40D]\ * &quot;-&quot;??_ ;_ @_ "/>
    <numFmt numFmtId="171" formatCode="_ [$₪-40D]\ * #,##0_ ;_ [$₪-40D]\ * \-#,##0_ ;_ [$₪-40D]\ * &quot;-&quot;??_ ;_ @_ "/>
  </numFmts>
  <fonts count="64">
    <font>
      <sz val="11"/>
      <color theme="1"/>
      <name val="Arial"/>
      <family val="2"/>
      <charset val="177"/>
      <scheme val="minor"/>
    </font>
    <font>
      <sz val="11"/>
      <color theme="1"/>
      <name val="Arial"/>
      <family val="2"/>
      <charset val="177"/>
      <scheme val="minor"/>
    </font>
    <font>
      <sz val="11"/>
      <color theme="1"/>
      <name val="Gill Sans Nova"/>
      <family val="2"/>
    </font>
    <font>
      <sz val="10"/>
      <name val="Arial"/>
      <family val="2"/>
    </font>
    <font>
      <sz val="11"/>
      <name val="Gill Sans Nova"/>
      <family val="2"/>
    </font>
    <font>
      <sz val="11"/>
      <color theme="0"/>
      <name val="Gill Sans Nova"/>
      <family val="2"/>
    </font>
    <font>
      <b/>
      <u/>
      <sz val="11"/>
      <color theme="1"/>
      <name val="Gill Sans Nova"/>
      <family val="2"/>
    </font>
    <font>
      <b/>
      <sz val="11"/>
      <color theme="1"/>
      <name val="Gill Sans Nova"/>
      <family val="2"/>
    </font>
    <font>
      <b/>
      <sz val="18"/>
      <color theme="0"/>
      <name val="Gill Sans Nova"/>
      <family val="2"/>
    </font>
    <font>
      <b/>
      <sz val="12"/>
      <color theme="8" tint="-0.499984740745262"/>
      <name val="Gill Sans Nova"/>
      <family val="2"/>
    </font>
    <font>
      <b/>
      <sz val="11"/>
      <color theme="0"/>
      <name val="Gill Sans Nova"/>
      <family val="2"/>
    </font>
    <font>
      <sz val="10"/>
      <name val="Gill Sans Nova"/>
      <family val="2"/>
    </font>
    <font>
      <sz val="8"/>
      <name val="Arial"/>
      <family val="2"/>
      <charset val="177"/>
      <scheme val="minor"/>
    </font>
    <font>
      <b/>
      <sz val="11"/>
      <name val="Gill Sans Nova"/>
      <family val="2"/>
    </font>
    <font>
      <b/>
      <sz val="18"/>
      <name val="Gill Sans Nova"/>
      <family val="2"/>
    </font>
    <font>
      <b/>
      <sz val="14"/>
      <name val="Gill Sans Nova"/>
      <family val="2"/>
    </font>
    <font>
      <b/>
      <i/>
      <sz val="12"/>
      <name val="Gill Sans Nova"/>
      <family val="2"/>
    </font>
    <font>
      <b/>
      <sz val="10"/>
      <name val="Gill Sans Nova"/>
      <family val="2"/>
    </font>
    <font>
      <b/>
      <i/>
      <sz val="11"/>
      <name val="Gill Sans Nova"/>
      <family val="2"/>
    </font>
    <font>
      <b/>
      <i/>
      <sz val="16"/>
      <name val="Gill Sans Nova"/>
      <family val="2"/>
    </font>
    <font>
      <b/>
      <i/>
      <sz val="11"/>
      <color theme="0"/>
      <name val="Gill Sans Nova"/>
      <family val="2"/>
    </font>
    <font>
      <b/>
      <sz val="18"/>
      <color rgb="FF9B8BF4"/>
      <name val="Gill Sans Nova"/>
      <family val="2"/>
    </font>
    <font>
      <sz val="11"/>
      <color theme="0" tint="-4.9989318521683403E-2"/>
      <name val="Gill Sans Nova"/>
      <family val="2"/>
    </font>
    <font>
      <b/>
      <sz val="11"/>
      <color theme="1"/>
      <name val="Arial"/>
      <family val="2"/>
      <scheme val="minor"/>
    </font>
    <font>
      <b/>
      <sz val="12"/>
      <name val="Gill Sans Nova"/>
      <family val="2"/>
    </font>
    <font>
      <u/>
      <sz val="11"/>
      <color theme="10"/>
      <name val="Arial"/>
      <family val="2"/>
      <charset val="177"/>
      <scheme val="minor"/>
    </font>
    <font>
      <b/>
      <sz val="11"/>
      <color rgb="FF595959"/>
      <name val="Arial"/>
      <family val="2"/>
      <scheme val="minor"/>
    </font>
    <font>
      <sz val="11"/>
      <color rgb="FF595959"/>
      <name val="Arial"/>
      <family val="2"/>
      <scheme val="minor"/>
    </font>
    <font>
      <sz val="11"/>
      <color theme="1"/>
      <name val="Arial"/>
      <family val="2"/>
    </font>
    <font>
      <b/>
      <sz val="12"/>
      <color theme="0" tint="-4.9989318521683403E-2"/>
      <name val="Gill Sans Nova"/>
      <family val="2"/>
    </font>
    <font>
      <b/>
      <sz val="11"/>
      <color theme="0" tint="-4.9989318521683403E-2"/>
      <name val="Gill Sans Nova"/>
      <family val="2"/>
    </font>
    <font>
      <b/>
      <sz val="14"/>
      <color theme="1"/>
      <name val="Gill Sans Nova"/>
      <family val="2"/>
    </font>
    <font>
      <sz val="14"/>
      <color theme="1"/>
      <name val="Gill Sans MT"/>
      <family val="2"/>
    </font>
    <font>
      <b/>
      <sz val="14"/>
      <color theme="1"/>
      <name val="Gill Sans MT"/>
      <family val="2"/>
    </font>
    <font>
      <sz val="14"/>
      <color theme="1"/>
      <name val="Arial"/>
      <family val="2"/>
      <scheme val="minor"/>
    </font>
    <font>
      <b/>
      <sz val="14"/>
      <color rgb="FFFF6B6B"/>
      <name val="Gill Sans MT"/>
      <family val="2"/>
    </font>
    <font>
      <sz val="14"/>
      <color theme="1"/>
      <name val="Arial"/>
      <family val="2"/>
      <charset val="177"/>
      <scheme val="minor"/>
    </font>
    <font>
      <b/>
      <sz val="14"/>
      <color rgb="FF4D4DFF"/>
      <name val="Arial"/>
      <family val="2"/>
      <scheme val="minor"/>
    </font>
    <font>
      <sz val="14"/>
      <color theme="1"/>
      <name val="Gill Sans Nova"/>
      <family val="2"/>
    </font>
    <font>
      <b/>
      <sz val="12"/>
      <color theme="1"/>
      <name val="Gill Sans Nova"/>
      <family val="2"/>
    </font>
    <font>
      <u/>
      <sz val="14"/>
      <color theme="10"/>
      <name val="Arial"/>
      <family val="2"/>
      <charset val="177"/>
      <scheme val="minor"/>
    </font>
    <font>
      <sz val="18"/>
      <color theme="1"/>
      <name val="Arial"/>
      <family val="2"/>
      <charset val="177"/>
      <scheme val="minor"/>
    </font>
    <font>
      <b/>
      <sz val="18"/>
      <color theme="1"/>
      <name val="Gill Sans Nova"/>
      <family val="2"/>
    </font>
    <font>
      <b/>
      <sz val="14"/>
      <color rgb="FF9B8BF4"/>
      <name val="Gill Sans Nova"/>
      <family val="2"/>
    </font>
    <font>
      <u/>
      <sz val="11"/>
      <color theme="0" tint="-4.9989318521683403E-2"/>
      <name val="Gill Sans Nova"/>
      <family val="2"/>
    </font>
    <font>
      <b/>
      <sz val="18"/>
      <color rgb="FF7030A0"/>
      <name val="Gill Sans Nova"/>
      <family val="2"/>
    </font>
    <font>
      <b/>
      <sz val="11"/>
      <color theme="1"/>
      <name val="Arial"/>
      <family val="2"/>
    </font>
    <font>
      <sz val="8"/>
      <color theme="1"/>
      <name val="Gill Sans Nova"/>
      <family val="2"/>
    </font>
    <font>
      <sz val="9"/>
      <name val="Gill Sans Nova"/>
      <family val="2"/>
    </font>
    <font>
      <sz val="10"/>
      <color rgb="FF000000"/>
      <name val="Gill Sans Nova"/>
      <family val="2"/>
    </font>
    <font>
      <sz val="11"/>
      <color rgb="FF000000"/>
      <name val="Gill Sans Nova"/>
      <family val="2"/>
    </font>
    <font>
      <b/>
      <u/>
      <sz val="11"/>
      <color theme="0" tint="-4.9989318521683403E-2"/>
      <name val="Gill Sans Nova"/>
      <family val="2"/>
    </font>
    <font>
      <b/>
      <sz val="11"/>
      <color rgb="FF000000"/>
      <name val="Gill Sans Nova"/>
      <family val="2"/>
    </font>
    <font>
      <b/>
      <sz val="10"/>
      <color rgb="FF000000"/>
      <name val="Gill Sans Nova"/>
      <family val="2"/>
    </font>
    <font>
      <sz val="10"/>
      <color theme="0" tint="-4.9989318521683403E-2"/>
      <name val="Gill Sans Nova"/>
      <family val="2"/>
    </font>
    <font>
      <b/>
      <sz val="11"/>
      <name val="Arial"/>
      <family val="2"/>
      <scheme val="minor"/>
    </font>
    <font>
      <b/>
      <u/>
      <sz val="16"/>
      <color rgb="FF9B8BF4"/>
      <name val="Arial"/>
      <family val="2"/>
      <scheme val="minor"/>
    </font>
    <font>
      <b/>
      <sz val="12"/>
      <color theme="0"/>
      <name val="Gill Sans Nova"/>
      <family val="2"/>
    </font>
    <font>
      <b/>
      <u/>
      <sz val="16"/>
      <color theme="0"/>
      <name val="Gill Sans Nova"/>
      <family val="2"/>
    </font>
    <font>
      <b/>
      <u/>
      <sz val="11"/>
      <color theme="1"/>
      <name val="Arial"/>
      <family val="2"/>
      <scheme val="minor"/>
    </font>
    <font>
      <sz val="11"/>
      <name val="Arial"/>
      <family val="2"/>
      <scheme val="minor"/>
    </font>
    <font>
      <b/>
      <u/>
      <sz val="11"/>
      <name val="Gill Sans Nova"/>
      <family val="2"/>
    </font>
    <font>
      <b/>
      <sz val="14"/>
      <name val="Gill Sans MT"/>
      <family val="2"/>
    </font>
    <font>
      <b/>
      <sz val="14"/>
      <color rgb="FFFF0000"/>
      <name val="Gill Sans MT"/>
      <family val="2"/>
    </font>
  </fonts>
  <fills count="13">
    <fill>
      <patternFill patternType="none"/>
    </fill>
    <fill>
      <patternFill patternType="gray125"/>
    </fill>
    <fill>
      <patternFill patternType="solid">
        <fgColor rgb="FFF3F3F3"/>
        <bgColor indexed="64"/>
      </patternFill>
    </fill>
    <fill>
      <patternFill patternType="solid">
        <fgColor theme="0"/>
        <bgColor indexed="64"/>
      </patternFill>
    </fill>
    <fill>
      <patternFill patternType="solid">
        <fgColor theme="0" tint="-0.249977111117893"/>
        <bgColor indexed="64"/>
      </patternFill>
    </fill>
    <fill>
      <patternFill patternType="solid">
        <fgColor rgb="FF9B8BF4"/>
        <bgColor indexed="64"/>
      </patternFill>
    </fill>
    <fill>
      <patternFill patternType="solid">
        <fgColor rgb="FFD9E4FF"/>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93366"/>
        <bgColor indexed="64"/>
      </patternFill>
    </fill>
  </fills>
  <borders count="241">
    <border>
      <left/>
      <right/>
      <top/>
      <bottom/>
      <diagonal/>
    </border>
    <border>
      <left style="thick">
        <color rgb="FF9B8BF4"/>
      </left>
      <right style="thick">
        <color rgb="FF9B8BF4"/>
      </right>
      <top style="thick">
        <color rgb="FF9B8BF4"/>
      </top>
      <bottom style="thick">
        <color rgb="FF9B8BF4"/>
      </bottom>
      <diagonal/>
    </border>
    <border>
      <left/>
      <right/>
      <top/>
      <bottom style="thick">
        <color rgb="FF9B8BF4"/>
      </bottom>
      <diagonal/>
    </border>
    <border>
      <left/>
      <right style="thick">
        <color rgb="FF9B8BF4"/>
      </right>
      <top/>
      <bottom style="thick">
        <color rgb="FF9B8BF4"/>
      </bottom>
      <diagonal/>
    </border>
    <border>
      <left style="thick">
        <color rgb="FF9B8BF4"/>
      </left>
      <right style="thick">
        <color rgb="FF9B8BF4"/>
      </right>
      <top/>
      <bottom style="thick">
        <color rgb="FF9B8BF4"/>
      </bottom>
      <diagonal/>
    </border>
    <border>
      <left style="thick">
        <color rgb="FF9B8BF4"/>
      </left>
      <right/>
      <top/>
      <bottom style="thick">
        <color rgb="FF9B8BF4"/>
      </bottom>
      <diagonal/>
    </border>
    <border>
      <left style="thick">
        <color rgb="FF9B8BF4"/>
      </left>
      <right/>
      <top style="thick">
        <color rgb="FF9B8BF4"/>
      </top>
      <bottom/>
      <diagonal/>
    </border>
    <border>
      <left/>
      <right/>
      <top style="thick">
        <color rgb="FF9B8BF4"/>
      </top>
      <bottom/>
      <diagonal/>
    </border>
    <border>
      <left/>
      <right style="thick">
        <color rgb="FF9B8BF4"/>
      </right>
      <top style="thick">
        <color rgb="FF9B8BF4"/>
      </top>
      <bottom/>
      <diagonal/>
    </border>
    <border>
      <left style="thick">
        <color rgb="FF9B8BF4"/>
      </left>
      <right/>
      <top/>
      <bottom/>
      <diagonal/>
    </border>
    <border>
      <left/>
      <right style="thick">
        <color rgb="FF9B8BF4"/>
      </right>
      <top/>
      <bottom/>
      <diagonal/>
    </border>
    <border>
      <left style="thick">
        <color rgb="FF9B8BF4"/>
      </left>
      <right style="thick">
        <color rgb="FF9B8BF4"/>
      </right>
      <top style="thick">
        <color rgb="FF9B8BF4"/>
      </top>
      <bottom/>
      <diagonal/>
    </border>
    <border>
      <left style="thick">
        <color rgb="FF9B8BF4"/>
      </left>
      <right style="thick">
        <color rgb="FF9B8BF4"/>
      </right>
      <top style="thick">
        <color rgb="FF9B8BF4"/>
      </top>
      <bottom style="hair">
        <color rgb="FF9B8BF4"/>
      </bottom>
      <diagonal/>
    </border>
    <border>
      <left style="thick">
        <color rgb="FF9B8BF4"/>
      </left>
      <right style="thick">
        <color rgb="FF9B8BF4"/>
      </right>
      <top style="hair">
        <color rgb="FF9B8BF4"/>
      </top>
      <bottom style="hair">
        <color rgb="FF9B8BF4"/>
      </bottom>
      <diagonal/>
    </border>
    <border>
      <left style="thick">
        <color rgb="FF9B8BF4"/>
      </left>
      <right style="thick">
        <color rgb="FF9B8BF4"/>
      </right>
      <top style="hair">
        <color rgb="FF9B8BF4"/>
      </top>
      <bottom style="thick">
        <color rgb="FF9B8BF4"/>
      </bottom>
      <diagonal/>
    </border>
    <border>
      <left style="thick">
        <color rgb="FF9B8BF4"/>
      </left>
      <right style="thick">
        <color rgb="FF9B8BF4"/>
      </right>
      <top style="thick">
        <color rgb="FF9B8BF4"/>
      </top>
      <bottom style="mediumDashed">
        <color rgb="FF9B8BF4"/>
      </bottom>
      <diagonal/>
    </border>
    <border>
      <left style="thick">
        <color rgb="FF9B8BF4"/>
      </left>
      <right style="thick">
        <color rgb="FF9B8BF4"/>
      </right>
      <top/>
      <bottom style="hair">
        <color rgb="FF9B8BF4"/>
      </bottom>
      <diagonal/>
    </border>
    <border>
      <left style="thick">
        <color rgb="FF9B8BF4"/>
      </left>
      <right style="thick">
        <color rgb="FF9B8BF4"/>
      </right>
      <top style="hair">
        <color rgb="FF9B8BF4"/>
      </top>
      <bottom style="mediumDashed">
        <color rgb="FF9B8BF4"/>
      </bottom>
      <diagonal/>
    </border>
    <border>
      <left style="thick">
        <color rgb="FF9B8BF4"/>
      </left>
      <right style="thick">
        <color rgb="FF9B8BF4"/>
      </right>
      <top style="mediumDashed">
        <color rgb="FF9B8BF4"/>
      </top>
      <bottom style="mediumDashed">
        <color rgb="FF9B8BF4"/>
      </bottom>
      <diagonal/>
    </border>
    <border>
      <left style="thick">
        <color rgb="FF9B8BF4"/>
      </left>
      <right style="thick">
        <color rgb="FF9B8BF4"/>
      </right>
      <top style="mediumDashed">
        <color rgb="FF9B8BF4"/>
      </top>
      <bottom style="hair">
        <color rgb="FF9B8BF4"/>
      </bottom>
      <diagonal/>
    </border>
    <border>
      <left style="thick">
        <color rgb="FF9B8BF4"/>
      </left>
      <right style="thick">
        <color rgb="FF9B8BF4"/>
      </right>
      <top/>
      <bottom/>
      <diagonal/>
    </border>
    <border>
      <left style="thick">
        <color rgb="FF9B8BF4"/>
      </left>
      <right/>
      <top style="thick">
        <color rgb="FF9B8BF4"/>
      </top>
      <bottom style="thick">
        <color rgb="FF9B8BF4"/>
      </bottom>
      <diagonal/>
    </border>
    <border>
      <left/>
      <right/>
      <top style="thick">
        <color rgb="FF9B8BF4"/>
      </top>
      <bottom style="thick">
        <color rgb="FF9B8BF4"/>
      </bottom>
      <diagonal/>
    </border>
    <border>
      <left style="thick">
        <color rgb="FF9B8BF4"/>
      </left>
      <right style="thick">
        <color rgb="FF9B8BF4"/>
      </right>
      <top style="mediumDashed">
        <color rgb="FF9B8BF4"/>
      </top>
      <bottom style="thick">
        <color rgb="FF9B8BF4"/>
      </bottom>
      <diagonal/>
    </border>
    <border>
      <left style="thick">
        <color rgb="FF9B8BF4"/>
      </left>
      <right style="thick">
        <color rgb="FF9B8BF4"/>
      </right>
      <top style="hair">
        <color rgb="FF9B8BF4"/>
      </top>
      <bottom/>
      <diagonal/>
    </border>
    <border>
      <left/>
      <right style="thick">
        <color rgb="FF9B8BF4"/>
      </right>
      <top style="thick">
        <color rgb="FF9B8BF4"/>
      </top>
      <bottom style="thick">
        <color rgb="FF9B8BF4"/>
      </bottom>
      <diagonal/>
    </border>
    <border>
      <left style="thick">
        <color rgb="FF9B8BF4"/>
      </left>
      <right style="thick">
        <color rgb="FF9B8BF4"/>
      </right>
      <top/>
      <bottom style="mediumDashed">
        <color rgb="FF9B8BF4"/>
      </bottom>
      <diagonal/>
    </border>
    <border>
      <left style="thick">
        <color rgb="FF9B8BF4"/>
      </left>
      <right style="thick">
        <color rgb="FF9B8BF4"/>
      </right>
      <top style="mediumDashed">
        <color rgb="FF9B8BF4"/>
      </top>
      <bottom/>
      <diagonal/>
    </border>
    <border>
      <left/>
      <right style="medium">
        <color indexed="64"/>
      </right>
      <top/>
      <bottom style="medium">
        <color indexed="64"/>
      </bottom>
      <diagonal/>
    </border>
    <border>
      <left style="thick">
        <color rgb="FF9B8BF4"/>
      </left>
      <right style="thick">
        <color rgb="FF9B8BF4"/>
      </right>
      <top style="thick">
        <color rgb="FF9B8BF4"/>
      </top>
      <bottom style="medium">
        <color rgb="FF9B8BF4"/>
      </bottom>
      <diagonal/>
    </border>
    <border>
      <left style="thick">
        <color rgb="FF9B8BF4"/>
      </left>
      <right style="thick">
        <color rgb="FF9B8BF4"/>
      </right>
      <top style="medium">
        <color rgb="FF9B8BF4"/>
      </top>
      <bottom style="medium">
        <color rgb="FF9B8BF4"/>
      </bottom>
      <diagonal/>
    </border>
    <border>
      <left style="thick">
        <color rgb="FF9B8BF4"/>
      </left>
      <right style="thick">
        <color rgb="FF9B8BF4"/>
      </right>
      <top/>
      <bottom style="medium">
        <color rgb="FF9B8BF4"/>
      </bottom>
      <diagonal/>
    </border>
    <border>
      <left style="thick">
        <color rgb="FF9B8BF4"/>
      </left>
      <right style="thick">
        <color rgb="FF9B8BF4"/>
      </right>
      <top style="medium">
        <color rgb="FF9B8BF4"/>
      </top>
      <bottom/>
      <diagonal/>
    </border>
    <border>
      <left style="thick">
        <color rgb="FF9B8BF4"/>
      </left>
      <right style="thick">
        <color rgb="FF9B8BF4"/>
      </right>
      <top style="medium">
        <color rgb="FF9B8BF4"/>
      </top>
      <bottom style="thick">
        <color rgb="FF9B8BF4"/>
      </bottom>
      <diagonal/>
    </border>
    <border>
      <left style="thick">
        <color rgb="FF9B8BF4"/>
      </left>
      <right style="medium">
        <color rgb="FF9B8BF4"/>
      </right>
      <top style="thick">
        <color rgb="FF9B8BF4"/>
      </top>
      <bottom style="medium">
        <color rgb="FF9B8BF4"/>
      </bottom>
      <diagonal/>
    </border>
    <border>
      <left style="medium">
        <color rgb="FF9B8BF4"/>
      </left>
      <right style="medium">
        <color rgb="FF9B8BF4"/>
      </right>
      <top style="thick">
        <color rgb="FF9B8BF4"/>
      </top>
      <bottom style="medium">
        <color rgb="FF9B8BF4"/>
      </bottom>
      <diagonal/>
    </border>
    <border>
      <left style="medium">
        <color rgb="FF9B8BF4"/>
      </left>
      <right style="thick">
        <color rgb="FF9B8BF4"/>
      </right>
      <top style="thick">
        <color rgb="FF9B8BF4"/>
      </top>
      <bottom style="medium">
        <color rgb="FF9B8BF4"/>
      </bottom>
      <diagonal/>
    </border>
    <border>
      <left style="thick">
        <color rgb="FF9B8BF4"/>
      </left>
      <right style="medium">
        <color rgb="FF9B8BF4"/>
      </right>
      <top style="medium">
        <color rgb="FF9B8BF4"/>
      </top>
      <bottom style="medium">
        <color rgb="FF9B8BF4"/>
      </bottom>
      <diagonal/>
    </border>
    <border>
      <left style="medium">
        <color rgb="FF9B8BF4"/>
      </left>
      <right style="medium">
        <color rgb="FF9B8BF4"/>
      </right>
      <top style="medium">
        <color rgb="FF9B8BF4"/>
      </top>
      <bottom style="medium">
        <color rgb="FF9B8BF4"/>
      </bottom>
      <diagonal/>
    </border>
    <border>
      <left style="medium">
        <color rgb="FF9B8BF4"/>
      </left>
      <right style="thick">
        <color rgb="FF9B8BF4"/>
      </right>
      <top style="medium">
        <color rgb="FF9B8BF4"/>
      </top>
      <bottom style="medium">
        <color rgb="FF9B8BF4"/>
      </bottom>
      <diagonal/>
    </border>
    <border>
      <left style="thick">
        <color rgb="FF9B8BF4"/>
      </left>
      <right style="medium">
        <color rgb="FF9B8BF4"/>
      </right>
      <top/>
      <bottom/>
      <diagonal/>
    </border>
    <border>
      <left style="medium">
        <color rgb="FF9B8BF4"/>
      </left>
      <right style="medium">
        <color rgb="FF9B8BF4"/>
      </right>
      <top/>
      <bottom/>
      <diagonal/>
    </border>
    <border>
      <left style="medium">
        <color rgb="FF9B8BF4"/>
      </left>
      <right style="thick">
        <color rgb="FF9B8BF4"/>
      </right>
      <top/>
      <bottom/>
      <diagonal/>
    </border>
    <border>
      <left style="thick">
        <color rgb="FF9B8BF4"/>
      </left>
      <right style="medium">
        <color rgb="FF9B8BF4"/>
      </right>
      <top/>
      <bottom style="thick">
        <color rgb="FF9B8BF4"/>
      </bottom>
      <diagonal/>
    </border>
    <border>
      <left style="medium">
        <color rgb="FF9B8BF4"/>
      </left>
      <right style="medium">
        <color rgb="FF9B8BF4"/>
      </right>
      <top/>
      <bottom style="thick">
        <color rgb="FF9B8BF4"/>
      </bottom>
      <diagonal/>
    </border>
    <border>
      <left style="medium">
        <color rgb="FF9B8BF4"/>
      </left>
      <right style="thick">
        <color rgb="FF9B8BF4"/>
      </right>
      <top/>
      <bottom style="thick">
        <color rgb="FF9B8BF4"/>
      </bottom>
      <diagonal/>
    </border>
    <border>
      <left style="thick">
        <color rgb="FF9B8BF4"/>
      </left>
      <right style="medium">
        <color rgb="FF9B8BF4"/>
      </right>
      <top style="medium">
        <color rgb="FF9B8BF4"/>
      </top>
      <bottom style="dotted">
        <color rgb="FF9B8BF4"/>
      </bottom>
      <diagonal/>
    </border>
    <border>
      <left style="medium">
        <color rgb="FF9B8BF4"/>
      </left>
      <right style="medium">
        <color rgb="FF9B8BF4"/>
      </right>
      <top style="medium">
        <color rgb="FF9B8BF4"/>
      </top>
      <bottom style="dotted">
        <color rgb="FF9B8BF4"/>
      </bottom>
      <diagonal/>
    </border>
    <border>
      <left style="medium">
        <color rgb="FF9B8BF4"/>
      </left>
      <right style="thick">
        <color rgb="FF9B8BF4"/>
      </right>
      <top style="medium">
        <color rgb="FF9B8BF4"/>
      </top>
      <bottom style="dotted">
        <color rgb="FF9B8BF4"/>
      </bottom>
      <diagonal/>
    </border>
    <border>
      <left style="thick">
        <color rgb="FF9B8BF4"/>
      </left>
      <right style="medium">
        <color rgb="FF9B8BF4"/>
      </right>
      <top style="dotted">
        <color rgb="FF9B8BF4"/>
      </top>
      <bottom style="dotted">
        <color rgb="FF9B8BF4"/>
      </bottom>
      <diagonal/>
    </border>
    <border>
      <left style="medium">
        <color rgb="FF9B8BF4"/>
      </left>
      <right style="medium">
        <color rgb="FF9B8BF4"/>
      </right>
      <top style="dotted">
        <color rgb="FF9B8BF4"/>
      </top>
      <bottom style="dotted">
        <color rgb="FF9B8BF4"/>
      </bottom>
      <diagonal/>
    </border>
    <border>
      <left style="medium">
        <color rgb="FF9B8BF4"/>
      </left>
      <right style="thick">
        <color rgb="FF9B8BF4"/>
      </right>
      <top style="dotted">
        <color rgb="FF9B8BF4"/>
      </top>
      <bottom style="dotted">
        <color rgb="FF9B8BF4"/>
      </bottom>
      <diagonal/>
    </border>
    <border>
      <left style="thick">
        <color rgb="FF9B8BF4"/>
      </left>
      <right style="medium">
        <color rgb="FF9B8BF4"/>
      </right>
      <top style="dotted">
        <color rgb="FF9B8BF4"/>
      </top>
      <bottom style="thick">
        <color rgb="FF9B8BF4"/>
      </bottom>
      <diagonal/>
    </border>
    <border>
      <left style="medium">
        <color rgb="FF9B8BF4"/>
      </left>
      <right style="medium">
        <color rgb="FF9B8BF4"/>
      </right>
      <top style="dotted">
        <color rgb="FF9B8BF4"/>
      </top>
      <bottom style="thick">
        <color rgb="FF9B8BF4"/>
      </bottom>
      <diagonal/>
    </border>
    <border>
      <left style="thick">
        <color rgb="FF9B8BF4"/>
      </left>
      <right style="medium">
        <color rgb="FF9B8BF4"/>
      </right>
      <top style="thick">
        <color rgb="FF9B8BF4"/>
      </top>
      <bottom style="dotted">
        <color rgb="FF9B8BF4"/>
      </bottom>
      <diagonal/>
    </border>
    <border>
      <left style="medium">
        <color rgb="FF9B8BF4"/>
      </left>
      <right style="medium">
        <color rgb="FF9B8BF4"/>
      </right>
      <top style="thick">
        <color rgb="FF9B8BF4"/>
      </top>
      <bottom style="dotted">
        <color rgb="FF9B8BF4"/>
      </bottom>
      <diagonal/>
    </border>
    <border>
      <left style="medium">
        <color rgb="FF9B8BF4"/>
      </left>
      <right style="thick">
        <color rgb="FF9B8BF4"/>
      </right>
      <top style="thick">
        <color rgb="FF9B8BF4"/>
      </top>
      <bottom style="dotted">
        <color rgb="FF9B8BF4"/>
      </bottom>
      <diagonal/>
    </border>
    <border>
      <left style="medium">
        <color rgb="FF9B8BF4"/>
      </left>
      <right style="medium">
        <color rgb="FF9B8BF4"/>
      </right>
      <top style="dotted">
        <color rgb="FF9B8BF4"/>
      </top>
      <bottom style="medium">
        <color rgb="FF9B8BF4"/>
      </bottom>
      <diagonal/>
    </border>
    <border>
      <left style="medium">
        <color rgb="FF9B8BF4"/>
      </left>
      <right style="thick">
        <color rgb="FF9B8BF4"/>
      </right>
      <top style="dotted">
        <color rgb="FF9B8BF4"/>
      </top>
      <bottom style="medium">
        <color rgb="FF9B8BF4"/>
      </bottom>
      <diagonal/>
    </border>
    <border>
      <left style="thick">
        <color rgb="FF9B8BF4"/>
      </left>
      <right style="medium">
        <color rgb="FF9B8BF4"/>
      </right>
      <top style="medium">
        <color rgb="FF9B8BF4"/>
      </top>
      <bottom style="thick">
        <color rgb="FF9B8BF4"/>
      </bottom>
      <diagonal/>
    </border>
    <border>
      <left style="medium">
        <color rgb="FF9B8BF4"/>
      </left>
      <right style="medium">
        <color rgb="FF9B8BF4"/>
      </right>
      <top style="medium">
        <color rgb="FF9B8BF4"/>
      </top>
      <bottom style="thick">
        <color rgb="FF9B8BF4"/>
      </bottom>
      <diagonal/>
    </border>
    <border>
      <left style="medium">
        <color rgb="FF9B8BF4"/>
      </left>
      <right style="thick">
        <color rgb="FF9B8BF4"/>
      </right>
      <top style="medium">
        <color rgb="FF9B8BF4"/>
      </top>
      <bottom style="thick">
        <color rgb="FF9B8BF4"/>
      </bottom>
      <diagonal/>
    </border>
    <border>
      <left style="thick">
        <color rgb="FF9B8BF4"/>
      </left>
      <right style="medium">
        <color rgb="FF9B8BF4"/>
      </right>
      <top style="medium">
        <color rgb="FF9B8BF4"/>
      </top>
      <bottom/>
      <diagonal/>
    </border>
    <border>
      <left style="medium">
        <color rgb="FF9B8BF4"/>
      </left>
      <right style="medium">
        <color rgb="FF9B8BF4"/>
      </right>
      <top style="medium">
        <color rgb="FF9B8BF4"/>
      </top>
      <bottom/>
      <diagonal/>
    </border>
    <border>
      <left style="thick">
        <color rgb="FF9B8BF4"/>
      </left>
      <right style="medium">
        <color rgb="FF9B8BF4"/>
      </right>
      <top/>
      <bottom style="dotted">
        <color rgb="FF9B8BF4"/>
      </bottom>
      <diagonal/>
    </border>
    <border>
      <left style="medium">
        <color rgb="FF9B8BF4"/>
      </left>
      <right style="medium">
        <color rgb="FF9B8BF4"/>
      </right>
      <top/>
      <bottom style="dotted">
        <color rgb="FF9B8BF4"/>
      </bottom>
      <diagonal/>
    </border>
    <border>
      <left style="thick">
        <color rgb="FF9B8BF4"/>
      </left>
      <right style="medium">
        <color rgb="FF9B8BF4"/>
      </right>
      <top style="dotted">
        <color rgb="FF9B8BF4"/>
      </top>
      <bottom/>
      <diagonal/>
    </border>
    <border>
      <left style="medium">
        <color rgb="FF9B8BF4"/>
      </left>
      <right style="medium">
        <color rgb="FF9B8BF4"/>
      </right>
      <top style="dotted">
        <color rgb="FF9B8BF4"/>
      </top>
      <bottom/>
      <diagonal/>
    </border>
    <border>
      <left style="medium">
        <color rgb="FF9B8BF4"/>
      </left>
      <right style="thick">
        <color rgb="FF9B8BF4"/>
      </right>
      <top style="dotted">
        <color rgb="FF9B8BF4"/>
      </top>
      <bottom/>
      <diagonal/>
    </border>
    <border>
      <left style="thick">
        <color rgb="FF9B8BF4"/>
      </left>
      <right style="medium">
        <color rgb="FF9B8BF4"/>
      </right>
      <top/>
      <bottom style="medium">
        <color rgb="FF9B8BF4"/>
      </bottom>
      <diagonal/>
    </border>
    <border>
      <left style="medium">
        <color rgb="FF9B8BF4"/>
      </left>
      <right style="thick">
        <color rgb="FF9B8BF4"/>
      </right>
      <top style="medium">
        <color rgb="FF9B8BF4"/>
      </top>
      <bottom/>
      <diagonal/>
    </border>
    <border>
      <left style="medium">
        <color rgb="FF9B8BF4"/>
      </left>
      <right style="medium">
        <color rgb="FF9B8BF4"/>
      </right>
      <top/>
      <bottom style="medium">
        <color rgb="FF9B8BF4"/>
      </bottom>
      <diagonal/>
    </border>
    <border>
      <left style="thick">
        <color rgb="FF9B8BF4"/>
      </left>
      <right style="thick">
        <color rgb="FF9B8BF4"/>
      </right>
      <top style="thick">
        <color rgb="FF9B8BF4"/>
      </top>
      <bottom style="dotted">
        <color rgb="FF9B8BF4"/>
      </bottom>
      <diagonal/>
    </border>
    <border>
      <left style="thick">
        <color rgb="FF9B8BF4"/>
      </left>
      <right style="thick">
        <color rgb="FF9B8BF4"/>
      </right>
      <top style="dotted">
        <color rgb="FF9B8BF4"/>
      </top>
      <bottom style="dotted">
        <color rgb="FF9B8BF4"/>
      </bottom>
      <diagonal/>
    </border>
    <border>
      <left style="thick">
        <color rgb="FF9B8BF4"/>
      </left>
      <right style="thick">
        <color rgb="FF9B8BF4"/>
      </right>
      <top style="dotted">
        <color rgb="FF9B8BF4"/>
      </top>
      <bottom style="thick">
        <color rgb="FF9B8BF4"/>
      </bottom>
      <diagonal/>
    </border>
    <border>
      <left style="thick">
        <color rgb="FF9B8BF4"/>
      </left>
      <right style="dotted">
        <color rgb="FF9B8BF4"/>
      </right>
      <top style="thick">
        <color rgb="FF9B8BF4"/>
      </top>
      <bottom style="dotted">
        <color rgb="FF9B8BF4"/>
      </bottom>
      <diagonal/>
    </border>
    <border>
      <left style="dotted">
        <color rgb="FF9B8BF4"/>
      </left>
      <right style="dotted">
        <color rgb="FF9B8BF4"/>
      </right>
      <top style="thick">
        <color rgb="FF9B8BF4"/>
      </top>
      <bottom style="dotted">
        <color rgb="FF9B8BF4"/>
      </bottom>
      <diagonal/>
    </border>
    <border>
      <left style="dotted">
        <color rgb="FF9B8BF4"/>
      </left>
      <right style="thick">
        <color rgb="FF9B8BF4"/>
      </right>
      <top style="thick">
        <color rgb="FF9B8BF4"/>
      </top>
      <bottom style="dotted">
        <color rgb="FF9B8BF4"/>
      </bottom>
      <diagonal/>
    </border>
    <border>
      <left style="thick">
        <color rgb="FF9B8BF4"/>
      </left>
      <right style="dotted">
        <color rgb="FF9B8BF4"/>
      </right>
      <top style="dotted">
        <color rgb="FF9B8BF4"/>
      </top>
      <bottom style="dotted">
        <color rgb="FF9B8BF4"/>
      </bottom>
      <diagonal/>
    </border>
    <border>
      <left style="dotted">
        <color rgb="FF9B8BF4"/>
      </left>
      <right style="dotted">
        <color rgb="FF9B8BF4"/>
      </right>
      <top style="dotted">
        <color rgb="FF9B8BF4"/>
      </top>
      <bottom style="dotted">
        <color rgb="FF9B8BF4"/>
      </bottom>
      <diagonal/>
    </border>
    <border>
      <left style="dotted">
        <color rgb="FF9B8BF4"/>
      </left>
      <right style="thick">
        <color rgb="FF9B8BF4"/>
      </right>
      <top style="dotted">
        <color rgb="FF9B8BF4"/>
      </top>
      <bottom style="dotted">
        <color rgb="FF9B8BF4"/>
      </bottom>
      <diagonal/>
    </border>
    <border>
      <left style="thick">
        <color rgb="FF9B8BF4"/>
      </left>
      <right style="dotted">
        <color rgb="FF9B8BF4"/>
      </right>
      <top style="dotted">
        <color rgb="FF9B8BF4"/>
      </top>
      <bottom style="thick">
        <color rgb="FF9B8BF4"/>
      </bottom>
      <diagonal/>
    </border>
    <border>
      <left style="dotted">
        <color rgb="FF9B8BF4"/>
      </left>
      <right style="dotted">
        <color rgb="FF9B8BF4"/>
      </right>
      <top style="dotted">
        <color rgb="FF9B8BF4"/>
      </top>
      <bottom style="thick">
        <color rgb="FF9B8BF4"/>
      </bottom>
      <diagonal/>
    </border>
    <border>
      <left style="dotted">
        <color rgb="FF9B8BF4"/>
      </left>
      <right style="thick">
        <color rgb="FF9B8BF4"/>
      </right>
      <top style="dotted">
        <color rgb="FF9B8BF4"/>
      </top>
      <bottom style="thick">
        <color rgb="FF9B8BF4"/>
      </bottom>
      <diagonal/>
    </border>
    <border>
      <left style="dotted">
        <color rgb="FF9B8BF4"/>
      </left>
      <right/>
      <top style="thick">
        <color rgb="FF9B8BF4"/>
      </top>
      <bottom style="dotted">
        <color rgb="FF9B8BF4"/>
      </bottom>
      <diagonal/>
    </border>
    <border>
      <left style="dotted">
        <color rgb="FF9B8BF4"/>
      </left>
      <right/>
      <top style="dotted">
        <color rgb="FF9B8BF4"/>
      </top>
      <bottom style="dotted">
        <color rgb="FF9B8BF4"/>
      </bottom>
      <diagonal/>
    </border>
    <border>
      <left style="dotted">
        <color rgb="FF9B8BF4"/>
      </left>
      <right/>
      <top style="dotted">
        <color rgb="FF9B8BF4"/>
      </top>
      <bottom style="thick">
        <color rgb="FF9B8BF4"/>
      </bottom>
      <diagonal/>
    </border>
    <border>
      <left/>
      <right style="dotted">
        <color rgb="FF9B8BF4"/>
      </right>
      <top style="thick">
        <color rgb="FF9B8BF4"/>
      </top>
      <bottom style="dotted">
        <color rgb="FF9B8BF4"/>
      </bottom>
      <diagonal/>
    </border>
    <border>
      <left/>
      <right style="dotted">
        <color rgb="FF9B8BF4"/>
      </right>
      <top style="dotted">
        <color rgb="FF9B8BF4"/>
      </top>
      <bottom style="dotted">
        <color rgb="FF9B8BF4"/>
      </bottom>
      <diagonal/>
    </border>
    <border>
      <left style="medium">
        <color rgb="FF9B8BF4"/>
      </left>
      <right style="dotted">
        <color rgb="FF9B8BF4"/>
      </right>
      <top style="thick">
        <color rgb="FF9B8BF4"/>
      </top>
      <bottom style="dotted">
        <color rgb="FF9B8BF4"/>
      </bottom>
      <diagonal/>
    </border>
    <border>
      <left style="dotted">
        <color rgb="FF9B8BF4"/>
      </left>
      <right style="medium">
        <color rgb="FF9B8BF4"/>
      </right>
      <top style="thick">
        <color rgb="FF9B8BF4"/>
      </top>
      <bottom style="dotted">
        <color rgb="FF9B8BF4"/>
      </bottom>
      <diagonal/>
    </border>
    <border>
      <left style="medium">
        <color rgb="FF9B8BF4"/>
      </left>
      <right style="dotted">
        <color rgb="FF9B8BF4"/>
      </right>
      <top style="dotted">
        <color rgb="FF9B8BF4"/>
      </top>
      <bottom style="dotted">
        <color rgb="FF9B8BF4"/>
      </bottom>
      <diagonal/>
    </border>
    <border>
      <left style="dotted">
        <color rgb="FF9B8BF4"/>
      </left>
      <right style="medium">
        <color rgb="FF9B8BF4"/>
      </right>
      <top style="dotted">
        <color rgb="FF9B8BF4"/>
      </top>
      <bottom style="dotted">
        <color rgb="FF9B8BF4"/>
      </bottom>
      <diagonal/>
    </border>
    <border>
      <left style="dotted">
        <color rgb="FF9B8BF4"/>
      </left>
      <right style="medium">
        <color rgb="FF9B8BF4"/>
      </right>
      <top style="dotted">
        <color rgb="FF9B8BF4"/>
      </top>
      <bottom style="thick">
        <color rgb="FF9B8BF4"/>
      </bottom>
      <diagonal/>
    </border>
    <border>
      <left style="thick">
        <color rgb="FF9B8BF4"/>
      </left>
      <right style="dotted">
        <color rgb="FF9B8BF4"/>
      </right>
      <top style="dotted">
        <color rgb="FF9B8BF4"/>
      </top>
      <bottom/>
      <diagonal/>
    </border>
    <border>
      <left style="dotted">
        <color rgb="FF9B8BF4"/>
      </left>
      <right/>
      <top style="dotted">
        <color rgb="FF9B8BF4"/>
      </top>
      <bottom/>
      <diagonal/>
    </border>
    <border>
      <left/>
      <right style="dotted">
        <color rgb="FF9B8BF4"/>
      </right>
      <top style="dotted">
        <color rgb="FF9B8BF4"/>
      </top>
      <bottom/>
      <diagonal/>
    </border>
    <border>
      <left style="dotted">
        <color rgb="FF9B8BF4"/>
      </left>
      <right style="thick">
        <color rgb="FF9B8BF4"/>
      </right>
      <top style="dotted">
        <color rgb="FF9B8BF4"/>
      </top>
      <bottom/>
      <diagonal/>
    </border>
    <border>
      <left style="thick">
        <color rgb="FF9B8BF4"/>
      </left>
      <right style="medium">
        <color rgb="FF9B8BF4"/>
      </right>
      <top style="thick">
        <color rgb="FF9B8BF4"/>
      </top>
      <bottom style="thick">
        <color rgb="FF9B8BF4"/>
      </bottom>
      <diagonal/>
    </border>
    <border>
      <left style="medium">
        <color rgb="FF9B8BF4"/>
      </left>
      <right style="medium">
        <color rgb="FF9B8BF4"/>
      </right>
      <top style="thick">
        <color rgb="FF9B8BF4"/>
      </top>
      <bottom style="thick">
        <color rgb="FF9B8BF4"/>
      </bottom>
      <diagonal/>
    </border>
    <border>
      <left style="medium">
        <color rgb="FF9B8BF4"/>
      </left>
      <right style="thick">
        <color rgb="FF9B8BF4"/>
      </right>
      <top style="thick">
        <color rgb="FF9B8BF4"/>
      </top>
      <bottom style="thick">
        <color rgb="FF9B8BF4"/>
      </bottom>
      <diagonal/>
    </border>
    <border>
      <left style="medium">
        <color rgb="FF9B8BF4"/>
      </left>
      <right/>
      <top style="thick">
        <color rgb="FF9B8BF4"/>
      </top>
      <bottom style="thick">
        <color rgb="FF9B8BF4"/>
      </bottom>
      <diagonal/>
    </border>
    <border>
      <left/>
      <right style="medium">
        <color rgb="FF9B8BF4"/>
      </right>
      <top style="thick">
        <color rgb="FF9B8BF4"/>
      </top>
      <bottom style="thick">
        <color rgb="FF9B8BF4"/>
      </bottom>
      <diagonal/>
    </border>
    <border>
      <left style="thick">
        <color rgb="FF9B8BF4"/>
      </left>
      <right/>
      <top style="thick">
        <color rgb="FF9B8BF4"/>
      </top>
      <bottom style="dotted">
        <color rgb="FF9B8BF4"/>
      </bottom>
      <diagonal/>
    </border>
    <border>
      <left/>
      <right style="thick">
        <color rgb="FF9B8BF4"/>
      </right>
      <top style="thick">
        <color rgb="FF9B8BF4"/>
      </top>
      <bottom style="dotted">
        <color rgb="FF9B8BF4"/>
      </bottom>
      <diagonal/>
    </border>
    <border>
      <left style="thick">
        <color rgb="FF9B8BF4"/>
      </left>
      <right/>
      <top style="dotted">
        <color rgb="FF9B8BF4"/>
      </top>
      <bottom style="dotted">
        <color rgb="FF9B8BF4"/>
      </bottom>
      <diagonal/>
    </border>
    <border>
      <left/>
      <right style="thick">
        <color rgb="FF9B8BF4"/>
      </right>
      <top style="dotted">
        <color rgb="FF9B8BF4"/>
      </top>
      <bottom style="dotted">
        <color rgb="FF9B8BF4"/>
      </bottom>
      <diagonal/>
    </border>
    <border>
      <left style="thick">
        <color rgb="FF9B8BF4"/>
      </left>
      <right/>
      <top style="dotted">
        <color rgb="FF9B8BF4"/>
      </top>
      <bottom style="thick">
        <color rgb="FF9B8BF4"/>
      </bottom>
      <diagonal/>
    </border>
    <border>
      <left/>
      <right style="thick">
        <color rgb="FF9B8BF4"/>
      </right>
      <top style="dotted">
        <color rgb="FF9B8BF4"/>
      </top>
      <bottom style="thick">
        <color rgb="FF9B8BF4"/>
      </bottom>
      <diagonal/>
    </border>
    <border>
      <left style="thick">
        <color rgb="FF9B8BF4"/>
      </left>
      <right/>
      <top style="dotted">
        <color rgb="FF9B8BF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ck">
        <color rgb="FF9B8BF4"/>
      </left>
      <right/>
      <top/>
      <bottom style="dotted">
        <color rgb="FF9B8BF4"/>
      </bottom>
      <diagonal/>
    </border>
    <border>
      <left/>
      <right style="thick">
        <color rgb="FF9B8BF4"/>
      </right>
      <top/>
      <bottom style="dotted">
        <color rgb="FF9B8BF4"/>
      </bottom>
      <diagonal/>
    </border>
    <border>
      <left style="thick">
        <color rgb="FF9B8BF4"/>
      </left>
      <right style="thick">
        <color rgb="FF9B8BF4"/>
      </right>
      <top/>
      <bottom style="dotted">
        <color rgb="FF9B8BF4"/>
      </bottom>
      <diagonal/>
    </border>
    <border>
      <left style="thick">
        <color rgb="FF9B8BF4"/>
      </left>
      <right style="dotted">
        <color rgb="FF9B8BF4"/>
      </right>
      <top/>
      <bottom style="dotted">
        <color rgb="FF9B8BF4"/>
      </bottom>
      <diagonal/>
    </border>
    <border>
      <left style="dotted">
        <color rgb="FF9B8BF4"/>
      </left>
      <right/>
      <top/>
      <bottom style="dotted">
        <color rgb="FF9B8BF4"/>
      </bottom>
      <diagonal/>
    </border>
    <border>
      <left style="medium">
        <color rgb="FF9B8BF4"/>
      </left>
      <right style="dotted">
        <color rgb="FF9B8BF4"/>
      </right>
      <top/>
      <bottom style="dotted">
        <color rgb="FF9B8BF4"/>
      </bottom>
      <diagonal/>
    </border>
    <border>
      <left/>
      <right style="dotted">
        <color rgb="FF9B8BF4"/>
      </right>
      <top/>
      <bottom style="dotted">
        <color rgb="FF9B8BF4"/>
      </bottom>
      <diagonal/>
    </border>
    <border>
      <left style="dotted">
        <color rgb="FF9B8BF4"/>
      </left>
      <right style="medium">
        <color rgb="FF9B8BF4"/>
      </right>
      <top/>
      <bottom style="dotted">
        <color rgb="FF9B8BF4"/>
      </bottom>
      <diagonal/>
    </border>
    <border>
      <left style="dotted">
        <color rgb="FF9B8BF4"/>
      </left>
      <right style="thick">
        <color rgb="FF9B8BF4"/>
      </right>
      <top/>
      <bottom style="dotted">
        <color rgb="FF9B8BF4"/>
      </bottom>
      <diagonal/>
    </border>
    <border>
      <left/>
      <right style="medium">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dotted">
        <color rgb="FF9B8BF4"/>
      </left>
      <right style="dotted">
        <color rgb="FF9B8BF4"/>
      </right>
      <top/>
      <bottom style="dotted">
        <color rgb="FF9B8BF4"/>
      </bottom>
      <diagonal/>
    </border>
    <border>
      <left style="thick">
        <color rgb="FF9B8BF4"/>
      </left>
      <right style="dotted">
        <color rgb="FF9B8BF4"/>
      </right>
      <top/>
      <bottom/>
      <diagonal/>
    </border>
    <border>
      <left style="dotted">
        <color rgb="FF9B8BF4"/>
      </left>
      <right/>
      <top/>
      <bottom/>
      <diagonal/>
    </border>
    <border>
      <left style="medium">
        <color rgb="FF9B8BF4"/>
      </left>
      <right style="dotted">
        <color rgb="FF9B8BF4"/>
      </right>
      <top/>
      <bottom/>
      <diagonal/>
    </border>
    <border>
      <left/>
      <right style="dotted">
        <color rgb="FF9B8BF4"/>
      </right>
      <top/>
      <bottom/>
      <diagonal/>
    </border>
    <border>
      <left style="dotted">
        <color rgb="FF9B8BF4"/>
      </left>
      <right style="thick">
        <color rgb="FF9B8BF4"/>
      </right>
      <top/>
      <bottom/>
      <diagonal/>
    </border>
    <border>
      <left style="thick">
        <color rgb="FF4D4DFF"/>
      </left>
      <right style="thick">
        <color rgb="FF4D4DFF"/>
      </right>
      <top style="thick">
        <color rgb="FF4D4DFF"/>
      </top>
      <bottom style="thick">
        <color rgb="FF4D4DFF"/>
      </bottom>
      <diagonal/>
    </border>
    <border>
      <left style="medium">
        <color rgb="FF9B8BF4"/>
      </left>
      <right style="medium">
        <color rgb="FF9B8BF4"/>
      </right>
      <top style="thick">
        <color rgb="FF9B8BF4"/>
      </top>
      <bottom/>
      <diagonal/>
    </border>
    <border>
      <left style="thick">
        <color rgb="FF9B8BF4"/>
      </left>
      <right style="thin">
        <color rgb="FF9B8BF4"/>
      </right>
      <top style="thick">
        <color rgb="FF9B8BF4"/>
      </top>
      <bottom style="thin">
        <color rgb="FF9B8BF4"/>
      </bottom>
      <diagonal/>
    </border>
    <border>
      <left style="thin">
        <color rgb="FF9B8BF4"/>
      </left>
      <right style="thin">
        <color rgb="FF9B8BF4"/>
      </right>
      <top style="thick">
        <color rgb="FF9B8BF4"/>
      </top>
      <bottom style="thin">
        <color rgb="FF9B8BF4"/>
      </bottom>
      <diagonal/>
    </border>
    <border>
      <left style="thin">
        <color rgb="FF9B8BF4"/>
      </left>
      <right style="thin">
        <color rgb="FF9B8BF4"/>
      </right>
      <top/>
      <bottom style="thin">
        <color rgb="FF9B8BF4"/>
      </bottom>
      <diagonal/>
    </border>
    <border>
      <left style="thick">
        <color rgb="FF9B8BF4"/>
      </left>
      <right style="thin">
        <color rgb="FF9B8BF4"/>
      </right>
      <top style="thin">
        <color rgb="FF9B8BF4"/>
      </top>
      <bottom style="thin">
        <color rgb="FF9B8BF4"/>
      </bottom>
      <diagonal/>
    </border>
    <border>
      <left style="thin">
        <color rgb="FF9B8BF4"/>
      </left>
      <right style="thin">
        <color rgb="FF9B8BF4"/>
      </right>
      <top style="thin">
        <color rgb="FF9B8BF4"/>
      </top>
      <bottom style="thin">
        <color rgb="FF9B8BF4"/>
      </bottom>
      <diagonal/>
    </border>
    <border>
      <left style="thick">
        <color rgb="FF9B8BF4"/>
      </left>
      <right style="thin">
        <color rgb="FF9B8BF4"/>
      </right>
      <top style="thin">
        <color rgb="FF9B8BF4"/>
      </top>
      <bottom style="thick">
        <color rgb="FF9B8BF4"/>
      </bottom>
      <diagonal/>
    </border>
    <border>
      <left style="thin">
        <color rgb="FF9B8BF4"/>
      </left>
      <right style="thin">
        <color rgb="FF9B8BF4"/>
      </right>
      <top style="thin">
        <color rgb="FF9B8BF4"/>
      </top>
      <bottom style="thick">
        <color rgb="FF9B8BF4"/>
      </bottom>
      <diagonal/>
    </border>
    <border>
      <left style="thin">
        <color rgb="FF9B8BF4"/>
      </left>
      <right style="thin">
        <color rgb="FF9B8BF4"/>
      </right>
      <top style="thin">
        <color rgb="FF9B8BF4"/>
      </top>
      <bottom/>
      <diagonal/>
    </border>
    <border>
      <left style="thin">
        <color rgb="FF9B8BF4"/>
      </left>
      <right style="thin">
        <color rgb="FF9B8BF4"/>
      </right>
      <top/>
      <bottom/>
      <diagonal/>
    </border>
    <border>
      <left style="thin">
        <color rgb="FF9B8BF4"/>
      </left>
      <right/>
      <top style="thin">
        <color rgb="FF9B8BF4"/>
      </top>
      <bottom style="thin">
        <color rgb="FF9B8BF4"/>
      </bottom>
      <diagonal/>
    </border>
    <border>
      <left/>
      <right style="thin">
        <color rgb="FF9B8BF4"/>
      </right>
      <top style="thin">
        <color rgb="FF9B8BF4"/>
      </top>
      <bottom style="thin">
        <color rgb="FF9B8BF4"/>
      </bottom>
      <diagonal/>
    </border>
    <border>
      <left style="thin">
        <color rgb="FF9B8BF4"/>
      </left>
      <right/>
      <top style="thin">
        <color rgb="FF9B8BF4"/>
      </top>
      <bottom/>
      <diagonal/>
    </border>
    <border>
      <left/>
      <right style="thin">
        <color rgb="FF9B8BF4"/>
      </right>
      <top style="thin">
        <color rgb="FF9B8BF4"/>
      </top>
      <bottom/>
      <diagonal/>
    </border>
    <border>
      <left style="thin">
        <color rgb="FF9B8BF4"/>
      </left>
      <right/>
      <top/>
      <bottom/>
      <diagonal/>
    </border>
    <border>
      <left/>
      <right style="thin">
        <color rgb="FF9B8BF4"/>
      </right>
      <top/>
      <bottom/>
      <diagonal/>
    </border>
    <border>
      <left style="thin">
        <color rgb="FF9B8BF4"/>
      </left>
      <right/>
      <top/>
      <bottom style="thin">
        <color rgb="FF9B8BF4"/>
      </bottom>
      <diagonal/>
    </border>
    <border>
      <left/>
      <right style="thin">
        <color rgb="FF9B8BF4"/>
      </right>
      <top/>
      <bottom style="thin">
        <color rgb="FF9B8BF4"/>
      </bottom>
      <diagonal/>
    </border>
    <border>
      <left style="thick">
        <color rgb="FF9B8BF4"/>
      </left>
      <right style="thin">
        <color rgb="FF9B8BF4"/>
      </right>
      <top/>
      <bottom/>
      <diagonal/>
    </border>
    <border>
      <left style="thick">
        <color rgb="FF9B8BF4"/>
      </left>
      <right style="thin">
        <color rgb="FF9B8BF4"/>
      </right>
      <top/>
      <bottom style="thick">
        <color rgb="FF9B8BF4"/>
      </bottom>
      <diagonal/>
    </border>
    <border>
      <left style="thin">
        <color rgb="FF9B8BF4"/>
      </left>
      <right style="thin">
        <color rgb="FF9B8BF4"/>
      </right>
      <top/>
      <bottom style="thick">
        <color rgb="FF9B8BF4"/>
      </bottom>
      <diagonal/>
    </border>
    <border>
      <left style="thin">
        <color rgb="FF9B8BF4"/>
      </left>
      <right/>
      <top/>
      <bottom style="thick">
        <color rgb="FF9B8BF4"/>
      </bottom>
      <diagonal/>
    </border>
    <border>
      <left/>
      <right style="thin">
        <color rgb="FF9B8BF4"/>
      </right>
      <top/>
      <bottom style="thick">
        <color rgb="FF9B8BF4"/>
      </bottom>
      <diagonal/>
    </border>
    <border>
      <left style="thin">
        <color rgb="FF9B8BF4"/>
      </left>
      <right/>
      <top style="thick">
        <color rgb="FF9B8BF4"/>
      </top>
      <bottom style="thin">
        <color rgb="FF9B8BF4"/>
      </bottom>
      <diagonal/>
    </border>
    <border>
      <left/>
      <right style="thin">
        <color rgb="FF9B8BF4"/>
      </right>
      <top style="thick">
        <color rgb="FF9B8BF4"/>
      </top>
      <bottom style="thin">
        <color rgb="FF9B8BF4"/>
      </bottom>
      <diagonal/>
    </border>
    <border>
      <left style="thin">
        <color rgb="FF9B8BF4"/>
      </left>
      <right/>
      <top style="thin">
        <color rgb="FF9B8BF4"/>
      </top>
      <bottom style="thick">
        <color rgb="FF9B8BF4"/>
      </bottom>
      <diagonal/>
    </border>
    <border>
      <left/>
      <right style="thin">
        <color rgb="FF9B8BF4"/>
      </right>
      <top style="thin">
        <color rgb="FF9B8BF4"/>
      </top>
      <bottom style="thick">
        <color rgb="FF9B8BF4"/>
      </bottom>
      <diagonal/>
    </border>
    <border>
      <left style="thin">
        <color rgb="FF9B8BF4"/>
      </left>
      <right style="thin">
        <color rgb="FF9B8BF4"/>
      </right>
      <top style="thick">
        <color rgb="FF9B8BF4"/>
      </top>
      <bottom/>
      <diagonal/>
    </border>
    <border>
      <left style="thick">
        <color rgb="FF9B8BF4"/>
      </left>
      <right style="thin">
        <color rgb="FF9B8BF4"/>
      </right>
      <top style="thick">
        <color rgb="FF9B8BF4"/>
      </top>
      <bottom/>
      <diagonal/>
    </border>
    <border>
      <left style="thin">
        <color rgb="FF9B8BF4"/>
      </left>
      <right/>
      <top style="thick">
        <color rgb="FF9B8BF4"/>
      </top>
      <bottom/>
      <diagonal/>
    </border>
    <border>
      <left/>
      <right style="thin">
        <color rgb="FF9B8BF4"/>
      </right>
      <top style="thick">
        <color rgb="FF9B8BF4"/>
      </top>
      <bottom/>
      <diagonal/>
    </border>
    <border>
      <left style="thin">
        <color rgb="FF9B8BF4"/>
      </left>
      <right style="thick">
        <color rgb="FF9B8BF4"/>
      </right>
      <top style="thick">
        <color rgb="FF9B8BF4"/>
      </top>
      <bottom/>
      <diagonal/>
    </border>
    <border>
      <left style="thin">
        <color rgb="FF9B8BF4"/>
      </left>
      <right style="thick">
        <color rgb="FF9B8BF4"/>
      </right>
      <top/>
      <bottom/>
      <diagonal/>
    </border>
    <border>
      <left style="thin">
        <color rgb="FF9B8BF4"/>
      </left>
      <right style="thick">
        <color rgb="FF9B8BF4"/>
      </right>
      <top/>
      <bottom style="thick">
        <color rgb="FF9B8BF4"/>
      </bottom>
      <diagonal/>
    </border>
    <border>
      <left style="medium">
        <color rgb="FF9B8BF4"/>
      </left>
      <right style="thick">
        <color rgb="FF9B8BF4"/>
      </right>
      <top/>
      <bottom style="dotted">
        <color rgb="FF9B8BF4"/>
      </bottom>
      <diagonal/>
    </border>
    <border>
      <left style="dotted">
        <color rgb="FF9B8BF4"/>
      </left>
      <right style="dotted">
        <color rgb="FF9B8BF4"/>
      </right>
      <top style="dotted">
        <color rgb="FF9B8BF4"/>
      </top>
      <bottom/>
      <diagonal/>
    </border>
    <border>
      <left style="dotted">
        <color rgb="FF9B8BF4"/>
      </left>
      <right style="dotted">
        <color rgb="FF9B8BF4"/>
      </right>
      <top/>
      <bottom/>
      <diagonal/>
    </border>
    <border>
      <left style="dotted">
        <color rgb="FF9B8BF4"/>
      </left>
      <right style="dotted">
        <color rgb="FF9B8BF4"/>
      </right>
      <top/>
      <bottom style="thick">
        <color rgb="FF9B8BF4"/>
      </bottom>
      <diagonal/>
    </border>
    <border>
      <left/>
      <right/>
      <top/>
      <bottom style="dotted">
        <color rgb="FF9B8BF4"/>
      </bottom>
      <diagonal/>
    </border>
    <border>
      <left style="dotted">
        <color rgb="FF9B8BF4"/>
      </left>
      <right style="dotted">
        <color rgb="FF9B8BF4"/>
      </right>
      <top style="thick">
        <color rgb="FF9B8BF4"/>
      </top>
      <bottom/>
      <diagonal/>
    </border>
    <border>
      <left style="dotted">
        <color rgb="FF9B8BF4"/>
      </left>
      <right/>
      <top style="thick">
        <color rgb="FF9B8BF4"/>
      </top>
      <bottom/>
      <diagonal/>
    </border>
    <border>
      <left style="dotted">
        <color rgb="FF9B8BF4"/>
      </left>
      <right/>
      <top/>
      <bottom style="thick">
        <color rgb="FF9B8BF4"/>
      </bottom>
      <diagonal/>
    </border>
    <border>
      <left/>
      <right/>
      <top style="thick">
        <color rgb="FF9B8BF4"/>
      </top>
      <bottom style="dotted">
        <color rgb="FF9B8BF4"/>
      </bottom>
      <diagonal/>
    </border>
    <border>
      <left style="dotted">
        <color rgb="FF9B8BF4"/>
      </left>
      <right style="thick">
        <color rgb="FF9B8BF4"/>
      </right>
      <top style="thick">
        <color rgb="FF9B8BF4"/>
      </top>
      <bottom/>
      <diagonal/>
    </border>
    <border>
      <left style="dotted">
        <color rgb="FF9B8BF4"/>
      </left>
      <right style="thick">
        <color rgb="FF9B8BF4"/>
      </right>
      <top/>
      <bottom style="thick">
        <color rgb="FF9B8BF4"/>
      </bottom>
      <diagonal/>
    </border>
    <border>
      <left style="thick">
        <color rgb="FF9B8BF4"/>
      </left>
      <right style="thick">
        <color rgb="FF9B8BF4"/>
      </right>
      <top style="dotted">
        <color rgb="FF9B8BF4"/>
      </top>
      <bottom/>
      <diagonal/>
    </border>
    <border>
      <left style="medium">
        <color rgb="FF9B8BF4"/>
      </left>
      <right style="dotted">
        <color rgb="FF9B8BF4"/>
      </right>
      <top style="dotted">
        <color rgb="FF9B8BF4"/>
      </top>
      <bottom/>
      <diagonal/>
    </border>
    <border>
      <left style="dotted">
        <color rgb="FF9B8BF4"/>
      </left>
      <right style="medium">
        <color rgb="FF9B8BF4"/>
      </right>
      <top style="dotted">
        <color rgb="FF9B8BF4"/>
      </top>
      <bottom/>
      <diagonal/>
    </border>
    <border>
      <left style="thick">
        <color rgb="FF9B8BF4"/>
      </left>
      <right style="dotted">
        <color rgb="FF9B8BF4"/>
      </right>
      <top/>
      <bottom style="thick">
        <color rgb="FF9B8BF4"/>
      </bottom>
      <diagonal/>
    </border>
    <border>
      <left style="medium">
        <color rgb="FF9B8BF4"/>
      </left>
      <right style="dotted">
        <color rgb="FF9B8BF4"/>
      </right>
      <top/>
      <bottom style="thick">
        <color rgb="FF9B8BF4"/>
      </bottom>
      <diagonal/>
    </border>
    <border>
      <left/>
      <right style="dotted">
        <color rgb="FF9B8BF4"/>
      </right>
      <top/>
      <bottom style="thick">
        <color rgb="FF9B8BF4"/>
      </bottom>
      <diagonal/>
    </border>
    <border>
      <left style="thick">
        <color rgb="FF9B8BF4"/>
      </left>
      <right style="thick">
        <color rgb="FF9B8BF4"/>
      </right>
      <top style="dotted">
        <color rgb="FF9B8BF4"/>
      </top>
      <bottom style="medium">
        <color rgb="FF9B8BF4"/>
      </bottom>
      <diagonal/>
    </border>
    <border>
      <left style="dotted">
        <color rgb="FF9B8BF4"/>
      </left>
      <right/>
      <top style="dotted">
        <color rgb="FF9B8BF4"/>
      </top>
      <bottom style="medium">
        <color rgb="FF9B8BF4"/>
      </bottom>
      <diagonal/>
    </border>
    <border>
      <left style="dotted">
        <color rgb="FF9B8BF4"/>
      </left>
      <right style="medium">
        <color rgb="FF9B8BF4"/>
      </right>
      <top style="dotted">
        <color rgb="FF9B8BF4"/>
      </top>
      <bottom style="medium">
        <color rgb="FF9B8BF4"/>
      </bottom>
      <diagonal/>
    </border>
    <border>
      <left style="dotted">
        <color rgb="FF9B8BF4"/>
      </left>
      <right style="thick">
        <color rgb="FF9B8BF4"/>
      </right>
      <top style="dotted">
        <color rgb="FF9B8BF4"/>
      </top>
      <bottom style="medium">
        <color rgb="FF9B8BF4"/>
      </bottom>
      <diagonal/>
    </border>
    <border>
      <left style="thick">
        <color rgb="FF9B8BF4"/>
      </left>
      <right style="dotted">
        <color rgb="FF9B8BF4"/>
      </right>
      <top style="dotted">
        <color rgb="FF9B8BF4"/>
      </top>
      <bottom style="mediumDashed">
        <color rgb="FF9B8BF4"/>
      </bottom>
      <diagonal/>
    </border>
    <border>
      <left style="dotted">
        <color rgb="FF9B8BF4"/>
      </left>
      <right style="dotted">
        <color rgb="FF9B8BF4"/>
      </right>
      <top style="dotted">
        <color rgb="FF9B8BF4"/>
      </top>
      <bottom style="mediumDashed">
        <color rgb="FF9B8BF4"/>
      </bottom>
      <diagonal/>
    </border>
    <border>
      <left style="dotted">
        <color rgb="FF9B8BF4"/>
      </left>
      <right style="dotted">
        <color rgb="FF9B8BF4"/>
      </right>
      <top/>
      <bottom style="mediumDashed">
        <color rgb="FF9B8BF4"/>
      </bottom>
      <diagonal/>
    </border>
    <border>
      <left style="dotted">
        <color rgb="FF9B8BF4"/>
      </left>
      <right style="thick">
        <color rgb="FF9B8BF4"/>
      </right>
      <top style="dotted">
        <color rgb="FF9B8BF4"/>
      </top>
      <bottom style="mediumDashed">
        <color rgb="FF9B8BF4"/>
      </bottom>
      <diagonal/>
    </border>
    <border>
      <left style="thick">
        <color rgb="FF9B8BF4"/>
      </left>
      <right style="dotted">
        <color rgb="FF9B8BF4"/>
      </right>
      <top style="mediumDashed">
        <color rgb="FF9B8BF4"/>
      </top>
      <bottom style="dotted">
        <color rgb="FF9B8BF4"/>
      </bottom>
      <diagonal/>
    </border>
    <border>
      <left style="dotted">
        <color rgb="FF9B8BF4"/>
      </left>
      <right style="dotted">
        <color rgb="FF9B8BF4"/>
      </right>
      <top style="mediumDashed">
        <color rgb="FF9B8BF4"/>
      </top>
      <bottom style="dotted">
        <color rgb="FF9B8BF4"/>
      </bottom>
      <diagonal/>
    </border>
    <border>
      <left style="dotted">
        <color rgb="FF9B8BF4"/>
      </left>
      <right style="dotted">
        <color rgb="FF9B8BF4"/>
      </right>
      <top style="mediumDashed">
        <color rgb="FF9B8BF4"/>
      </top>
      <bottom/>
      <diagonal/>
    </border>
    <border>
      <left style="dotted">
        <color rgb="FF9B8BF4"/>
      </left>
      <right/>
      <top style="mediumDashed">
        <color rgb="FF9B8BF4"/>
      </top>
      <bottom style="dotted">
        <color rgb="FF9B8BF4"/>
      </bottom>
      <diagonal/>
    </border>
    <border>
      <left/>
      <right/>
      <top style="mediumDashed">
        <color rgb="FF9B8BF4"/>
      </top>
      <bottom style="dotted">
        <color rgb="FF9B8BF4"/>
      </bottom>
      <diagonal/>
    </border>
    <border>
      <left/>
      <right style="thick">
        <color rgb="FF9B8BF4"/>
      </right>
      <top style="mediumDashed">
        <color rgb="FF9B8BF4"/>
      </top>
      <bottom style="dotted">
        <color rgb="FF9B8BF4"/>
      </bottom>
      <diagonal/>
    </border>
    <border>
      <left style="thick">
        <color rgb="FF9B8BF4"/>
      </left>
      <right/>
      <top style="dotted">
        <color rgb="FF9B8BF4"/>
      </top>
      <bottom style="mediumDashed">
        <color rgb="FF9B8BF4"/>
      </bottom>
      <diagonal/>
    </border>
    <border>
      <left style="thick">
        <color rgb="FF9B8BF4"/>
      </left>
      <right/>
      <top style="mediumDashed">
        <color rgb="FF9B8BF4"/>
      </top>
      <bottom style="dotted">
        <color rgb="FF9B8BF4"/>
      </bottom>
      <diagonal/>
    </border>
    <border>
      <left style="dotted">
        <color rgb="FF9B8BF4"/>
      </left>
      <right style="thick">
        <color rgb="FF9B8BF4"/>
      </right>
      <top style="mediumDashed">
        <color rgb="FF9B8BF4"/>
      </top>
      <bottom style="dotted">
        <color rgb="FF9B8BF4"/>
      </bottom>
      <diagonal/>
    </border>
    <border>
      <left style="thick">
        <color rgb="FF9B8BF4"/>
      </left>
      <right style="dotted">
        <color rgb="FF9B8BF4"/>
      </right>
      <top/>
      <bottom style="medium">
        <color rgb="FF9B8BF4"/>
      </bottom>
      <diagonal/>
    </border>
    <border>
      <left style="medium">
        <color rgb="FF9B8BF4"/>
      </left>
      <right style="dotted">
        <color rgb="FF9B8BF4"/>
      </right>
      <top/>
      <bottom style="medium">
        <color rgb="FF9B8BF4"/>
      </bottom>
      <diagonal/>
    </border>
    <border>
      <left/>
      <right style="dotted">
        <color rgb="FF9B8BF4"/>
      </right>
      <top/>
      <bottom style="medium">
        <color rgb="FF9B8BF4"/>
      </bottom>
      <diagonal/>
    </border>
    <border>
      <left style="dotted">
        <color rgb="FF9B8BF4"/>
      </left>
      <right/>
      <top style="mediumDashed">
        <color rgb="FF9B8BF4"/>
      </top>
      <bottom/>
      <diagonal/>
    </border>
    <border>
      <left/>
      <right/>
      <top style="mediumDashed">
        <color rgb="FF9B8BF4"/>
      </top>
      <bottom/>
      <diagonal/>
    </border>
    <border>
      <left/>
      <right style="thick">
        <color rgb="FF9B8BF4"/>
      </right>
      <top style="mediumDashed">
        <color rgb="FF9B8BF4"/>
      </top>
      <bottom/>
      <diagonal/>
    </border>
    <border>
      <left style="dotted">
        <color rgb="FF9B8BF4"/>
      </left>
      <right/>
      <top/>
      <bottom style="mediumDashed">
        <color rgb="FF9B8BF4"/>
      </bottom>
      <diagonal/>
    </border>
    <border>
      <left/>
      <right style="dotted">
        <color rgb="FF9B8BF4"/>
      </right>
      <top style="thick">
        <color rgb="FF9B8BF4"/>
      </top>
      <bottom/>
      <diagonal/>
    </border>
    <border>
      <left/>
      <right style="dotted">
        <color rgb="FF9B8BF4"/>
      </right>
      <top/>
      <bottom style="mediumDashed">
        <color rgb="FF9B8BF4"/>
      </bottom>
      <diagonal/>
    </border>
    <border>
      <left/>
      <right style="dotted">
        <color rgb="FF9B8BF4"/>
      </right>
      <top style="mediumDashed">
        <color rgb="FF9B8BF4"/>
      </top>
      <bottom/>
      <diagonal/>
    </border>
    <border>
      <left style="medium">
        <color indexed="64"/>
      </left>
      <right/>
      <top style="medium">
        <color indexed="64"/>
      </top>
      <bottom/>
      <diagonal/>
    </border>
    <border>
      <left style="thick">
        <color rgb="FF9B8BF4"/>
      </left>
      <right/>
      <top/>
      <bottom style="mediumDashed">
        <color rgb="FF9B8BF4"/>
      </bottom>
      <diagonal/>
    </border>
    <border>
      <left style="thick">
        <color rgb="FF9B8BF4"/>
      </left>
      <right/>
      <top style="mediumDashed">
        <color rgb="FF9B8BF4"/>
      </top>
      <bottom/>
      <diagonal/>
    </border>
    <border>
      <left style="dotted">
        <color rgb="FF9B8BF4"/>
      </left>
      <right/>
      <top style="mediumDashed">
        <color rgb="FF9B8BF4"/>
      </top>
      <bottom style="hair">
        <color rgb="FF9B8BF4"/>
      </bottom>
      <diagonal/>
    </border>
    <border>
      <left/>
      <right/>
      <top style="mediumDashed">
        <color rgb="FF9B8BF4"/>
      </top>
      <bottom style="hair">
        <color rgb="FF9B8BF4"/>
      </bottom>
      <diagonal/>
    </border>
    <border>
      <left/>
      <right style="thick">
        <color rgb="FF9B8BF4"/>
      </right>
      <top style="mediumDashed">
        <color rgb="FF9B8BF4"/>
      </top>
      <bottom style="hair">
        <color rgb="FF9B8BF4"/>
      </bottom>
      <diagonal/>
    </border>
    <border>
      <left style="dotted">
        <color rgb="FF9B8BF4"/>
      </left>
      <right style="hair">
        <color rgb="FF9B8BF4"/>
      </right>
      <top style="hair">
        <color rgb="FF9B8BF4"/>
      </top>
      <bottom style="mediumDashed">
        <color rgb="FF9B8BF4"/>
      </bottom>
      <diagonal/>
    </border>
    <border>
      <left style="hair">
        <color rgb="FF9B8BF4"/>
      </left>
      <right style="hair">
        <color rgb="FF9B8BF4"/>
      </right>
      <top style="hair">
        <color rgb="FF9B8BF4"/>
      </top>
      <bottom style="mediumDashed">
        <color rgb="FF9B8BF4"/>
      </bottom>
      <diagonal/>
    </border>
    <border>
      <left style="hair">
        <color rgb="FF9B8BF4"/>
      </left>
      <right style="thick">
        <color rgb="FF9B8BF4"/>
      </right>
      <top style="hair">
        <color rgb="FF9B8BF4"/>
      </top>
      <bottom style="mediumDashed">
        <color rgb="FF9B8BF4"/>
      </bottom>
      <diagonal/>
    </border>
    <border>
      <left style="thick">
        <color rgb="FF9B8BF4"/>
      </left>
      <right/>
      <top style="mediumDashed">
        <color rgb="FF9B8BF4"/>
      </top>
      <bottom style="hair">
        <color rgb="FF9B8BF4"/>
      </bottom>
      <diagonal/>
    </border>
    <border>
      <left/>
      <right style="dotted">
        <color rgb="FF9B8BF4"/>
      </right>
      <top style="mediumDashed">
        <color rgb="FF9B8BF4"/>
      </top>
      <bottom style="hair">
        <color rgb="FF9B8BF4"/>
      </bottom>
      <diagonal/>
    </border>
    <border>
      <left style="dotted">
        <color rgb="FF9B8BF4"/>
      </left>
      <right style="dotted">
        <color rgb="FF9B8BF4"/>
      </right>
      <top style="mediumDashed">
        <color rgb="FF9B8BF4"/>
      </top>
      <bottom style="hair">
        <color rgb="FF9B8BF4"/>
      </bottom>
      <diagonal/>
    </border>
    <border>
      <left style="thick">
        <color rgb="FF9B8BF4"/>
      </left>
      <right/>
      <top style="hair">
        <color rgb="FF9B8BF4"/>
      </top>
      <bottom style="thick">
        <color rgb="FF9B8BF4"/>
      </bottom>
      <diagonal/>
    </border>
    <border>
      <left style="dotted">
        <color rgb="FF9B8BF4"/>
      </left>
      <right/>
      <top style="hair">
        <color rgb="FF9B8BF4"/>
      </top>
      <bottom style="thick">
        <color rgb="FF9B8BF4"/>
      </bottom>
      <diagonal/>
    </border>
    <border>
      <left/>
      <right style="dotted">
        <color rgb="FF9B8BF4"/>
      </right>
      <top style="hair">
        <color rgb="FF9B8BF4"/>
      </top>
      <bottom style="thick">
        <color rgb="FF9B8BF4"/>
      </bottom>
      <diagonal/>
    </border>
    <border>
      <left style="dotted">
        <color rgb="FF9B8BF4"/>
      </left>
      <right style="dotted">
        <color rgb="FF9B8BF4"/>
      </right>
      <top style="hair">
        <color rgb="FF9B8BF4"/>
      </top>
      <bottom style="thick">
        <color rgb="FF9B8BF4"/>
      </bottom>
      <diagonal/>
    </border>
    <border>
      <left style="hair">
        <color rgb="FF9B8BF4"/>
      </left>
      <right style="thick">
        <color rgb="FF9B8BF4"/>
      </right>
      <top/>
      <bottom/>
      <diagonal/>
    </border>
    <border>
      <left style="hair">
        <color rgb="FF9B8BF4"/>
      </left>
      <right style="hair">
        <color rgb="FF9B8BF4"/>
      </right>
      <top/>
      <bottom/>
      <diagonal/>
    </border>
    <border>
      <left style="hair">
        <color rgb="FF9B8BF4"/>
      </left>
      <right style="hair">
        <color rgb="FF9B8BF4"/>
      </right>
      <top style="hair">
        <color rgb="FF9B8BF4"/>
      </top>
      <bottom style="thick">
        <color rgb="FF9B8BF4"/>
      </bottom>
      <diagonal/>
    </border>
    <border>
      <left style="hair">
        <color rgb="FF9B8BF4"/>
      </left>
      <right style="thick">
        <color rgb="FF9B8BF4"/>
      </right>
      <top style="hair">
        <color rgb="FF9B8BF4"/>
      </top>
      <bottom style="thick">
        <color rgb="FF9B8BF4"/>
      </bottom>
      <diagonal/>
    </border>
    <border>
      <left/>
      <right style="thick">
        <color rgb="FF9B8BF4"/>
      </right>
      <top style="medium">
        <color rgb="FF9B8BF4"/>
      </top>
      <bottom style="medium">
        <color rgb="FF9B8BF4"/>
      </bottom>
      <diagonal/>
    </border>
    <border>
      <left/>
      <right style="thick">
        <color rgb="FF9B8BF4"/>
      </right>
      <top/>
      <bottom style="medium">
        <color rgb="FF9B8BF4"/>
      </bottom>
      <diagonal/>
    </border>
    <border>
      <left/>
      <right style="medium">
        <color rgb="FF9B8BF4"/>
      </right>
      <top style="medium">
        <color rgb="FF9B8BF4"/>
      </top>
      <bottom style="dotted">
        <color rgb="FF9B8BF4"/>
      </bottom>
      <diagonal/>
    </border>
    <border>
      <left/>
      <right style="medium">
        <color rgb="FF9B8BF4"/>
      </right>
      <top style="dotted">
        <color rgb="FF9B8BF4"/>
      </top>
      <bottom style="dotted">
        <color rgb="FF9B8BF4"/>
      </bottom>
      <diagonal/>
    </border>
    <border>
      <left/>
      <right style="medium">
        <color rgb="FF9B8BF4"/>
      </right>
      <top style="dotted">
        <color rgb="FF9B8BF4"/>
      </top>
      <bottom style="medium">
        <color rgb="FF9B8BF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xf numFmtId="0" fontId="25" fillId="0" borderId="0" applyNumberFormat="0" applyFill="0" applyBorder="0" applyAlignment="0" applyProtection="0"/>
  </cellStyleXfs>
  <cellXfs count="944">
    <xf numFmtId="0" fontId="0" fillId="0" borderId="0" xfId="0"/>
    <xf numFmtId="0" fontId="2" fillId="2" borderId="0" xfId="0" applyFont="1" applyFill="1"/>
    <xf numFmtId="0" fontId="2" fillId="0" borderId="0" xfId="0" applyFont="1"/>
    <xf numFmtId="0" fontId="4" fillId="2" borderId="0" xfId="3" applyFont="1" applyFill="1"/>
    <xf numFmtId="0" fontId="5" fillId="2" borderId="0" xfId="3" applyFont="1" applyFill="1"/>
    <xf numFmtId="0" fontId="9" fillId="2" borderId="0" xfId="0" applyFont="1" applyFill="1" applyAlignment="1">
      <alignment horizontal="center" vertical="center" wrapText="1"/>
    </xf>
    <xf numFmtId="0" fontId="10" fillId="2" borderId="0" xfId="0" applyFont="1" applyFill="1" applyAlignment="1">
      <alignment horizontal="center" vertical="center" wrapText="1"/>
    </xf>
    <xf numFmtId="165" fontId="7" fillId="2" borderId="0" xfId="0" applyNumberFormat="1" applyFont="1" applyFill="1" applyAlignment="1">
      <alignment horizontal="center" vertical="center"/>
    </xf>
    <xf numFmtId="166" fontId="7" fillId="2" borderId="0" xfId="2" applyNumberFormat="1" applyFont="1" applyFill="1" applyBorder="1" applyAlignment="1" applyProtection="1">
      <alignment horizontal="center" vertical="center"/>
    </xf>
    <xf numFmtId="0" fontId="7" fillId="2" borderId="0" xfId="0" applyFont="1" applyFill="1" applyAlignment="1">
      <alignment horizontal="center" vertical="center"/>
    </xf>
    <xf numFmtId="0" fontId="4" fillId="7" borderId="0" xfId="0" applyFont="1" applyFill="1" applyAlignment="1">
      <alignment horizontal="center" vertical="center"/>
    </xf>
    <xf numFmtId="0" fontId="13" fillId="7" borderId="0" xfId="0" applyFont="1" applyFill="1" applyAlignment="1">
      <alignment horizontal="center" vertical="center"/>
    </xf>
    <xf numFmtId="165" fontId="13" fillId="7" borderId="0" xfId="0" applyNumberFormat="1" applyFont="1" applyFill="1" applyAlignment="1">
      <alignment horizontal="center" vertical="center"/>
    </xf>
    <xf numFmtId="166" fontId="13" fillId="7" borderId="0" xfId="2" applyNumberFormat="1" applyFont="1" applyFill="1" applyBorder="1" applyAlignment="1" applyProtection="1">
      <alignment horizontal="center" vertical="center"/>
    </xf>
    <xf numFmtId="0" fontId="13" fillId="2" borderId="0" xfId="0" applyFont="1" applyFill="1" applyAlignment="1">
      <alignment horizontal="center" vertical="center" wrapText="1"/>
    </xf>
    <xf numFmtId="0" fontId="2" fillId="0" borderId="0" xfId="0" applyFont="1" applyAlignment="1">
      <alignment horizontal="center" vertical="center"/>
    </xf>
    <xf numFmtId="0" fontId="2" fillId="7" borderId="0" xfId="0" applyFont="1" applyFill="1"/>
    <xf numFmtId="0" fontId="4" fillId="7" borderId="0" xfId="3" applyFont="1" applyFill="1"/>
    <xf numFmtId="0" fontId="10" fillId="7" borderId="0" xfId="0" applyFont="1" applyFill="1" applyAlignment="1">
      <alignment horizontal="center" vertical="center" wrapText="1"/>
    </xf>
    <xf numFmtId="0" fontId="2" fillId="7" borderId="0" xfId="0" applyFont="1" applyFill="1" applyAlignment="1">
      <alignment horizontal="center" vertical="center"/>
    </xf>
    <xf numFmtId="0" fontId="4" fillId="7" borderId="0" xfId="3" applyFont="1" applyFill="1" applyAlignment="1">
      <alignment horizontal="center" vertical="center"/>
    </xf>
    <xf numFmtId="0" fontId="10" fillId="5" borderId="1" xfId="3" applyFont="1" applyFill="1" applyBorder="1" applyAlignment="1">
      <alignment horizontal="center" vertical="center"/>
    </xf>
    <xf numFmtId="0" fontId="20" fillId="5" borderId="1" xfId="3" applyFont="1" applyFill="1" applyBorder="1" applyAlignment="1">
      <alignment horizontal="center" vertical="center" wrapText="1"/>
    </xf>
    <xf numFmtId="0" fontId="13" fillId="3" borderId="29" xfId="0" applyFont="1" applyFill="1" applyBorder="1" applyAlignment="1">
      <alignment horizontal="center" vertical="center"/>
    </xf>
    <xf numFmtId="0" fontId="13" fillId="3" borderId="30"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29" xfId="0" applyFont="1" applyFill="1" applyBorder="1" applyAlignment="1">
      <alignment horizontal="center" vertical="center" wrapText="1"/>
    </xf>
    <xf numFmtId="0" fontId="13" fillId="3" borderId="30" xfId="0" applyFont="1" applyFill="1" applyBorder="1" applyAlignment="1">
      <alignment horizontal="center" vertical="center" wrapText="1"/>
    </xf>
    <xf numFmtId="0" fontId="13" fillId="3" borderId="34" xfId="0" applyFont="1" applyFill="1" applyBorder="1" applyAlignment="1">
      <alignment horizontal="center" vertical="center"/>
    </xf>
    <xf numFmtId="167" fontId="13" fillId="3" borderId="35" xfId="0" applyNumberFormat="1" applyFont="1" applyFill="1" applyBorder="1" applyAlignment="1">
      <alignment horizontal="center" vertical="center"/>
    </xf>
    <xf numFmtId="169" fontId="13" fillId="3" borderId="35" xfId="0" applyNumberFormat="1" applyFont="1" applyFill="1" applyBorder="1" applyAlignment="1">
      <alignment horizontal="center" vertical="center"/>
    </xf>
    <xf numFmtId="167" fontId="13" fillId="3" borderId="35" xfId="2" applyNumberFormat="1" applyFont="1" applyFill="1" applyBorder="1" applyAlignment="1" applyProtection="1">
      <alignment horizontal="center" vertical="center"/>
    </xf>
    <xf numFmtId="0" fontId="13" fillId="3" borderId="35" xfId="2" applyNumberFormat="1" applyFont="1" applyFill="1" applyBorder="1" applyAlignment="1" applyProtection="1">
      <alignment horizontal="center" vertical="center"/>
    </xf>
    <xf numFmtId="0" fontId="13" fillId="3" borderId="37" xfId="0" applyFont="1" applyFill="1" applyBorder="1" applyAlignment="1">
      <alignment horizontal="center" vertical="center"/>
    </xf>
    <xf numFmtId="167" fontId="13" fillId="3" borderId="38" xfId="0" applyNumberFormat="1" applyFont="1" applyFill="1" applyBorder="1" applyAlignment="1">
      <alignment horizontal="center" vertical="center"/>
    </xf>
    <xf numFmtId="169" fontId="13" fillId="3" borderId="38" xfId="0" applyNumberFormat="1" applyFont="1" applyFill="1" applyBorder="1" applyAlignment="1">
      <alignment horizontal="center" vertical="center"/>
    </xf>
    <xf numFmtId="167" fontId="13" fillId="3" borderId="38" xfId="2" applyNumberFormat="1" applyFont="1" applyFill="1" applyBorder="1" applyAlignment="1" applyProtection="1">
      <alignment horizontal="center" vertical="center"/>
    </xf>
    <xf numFmtId="0" fontId="13" fillId="3" borderId="38" xfId="2" applyNumberFormat="1" applyFont="1" applyFill="1" applyBorder="1" applyAlignment="1" applyProtection="1">
      <alignment horizontal="center" vertical="center"/>
    </xf>
    <xf numFmtId="0" fontId="13" fillId="3" borderId="40" xfId="0" applyFont="1" applyFill="1" applyBorder="1" applyAlignment="1">
      <alignment horizontal="center" vertical="center"/>
    </xf>
    <xf numFmtId="167" fontId="13" fillId="3" borderId="41" xfId="0" applyNumberFormat="1" applyFont="1" applyFill="1" applyBorder="1" applyAlignment="1">
      <alignment horizontal="center" vertical="center"/>
    </xf>
    <xf numFmtId="169" fontId="13" fillId="3" borderId="41" xfId="0" applyNumberFormat="1" applyFont="1" applyFill="1" applyBorder="1" applyAlignment="1">
      <alignment horizontal="center" vertical="center"/>
    </xf>
    <xf numFmtId="167" fontId="13" fillId="3" borderId="41" xfId="2" applyNumberFormat="1" applyFont="1" applyFill="1" applyBorder="1" applyAlignment="1" applyProtection="1">
      <alignment horizontal="center" vertical="center"/>
    </xf>
    <xf numFmtId="0" fontId="13" fillId="3" borderId="41" xfId="2" applyNumberFormat="1" applyFont="1" applyFill="1" applyBorder="1" applyAlignment="1" applyProtection="1">
      <alignment horizontal="center" vertical="center"/>
    </xf>
    <xf numFmtId="0" fontId="13" fillId="3" borderId="46" xfId="0" applyFont="1" applyFill="1" applyBorder="1" applyAlignment="1">
      <alignment horizontal="center" vertical="center"/>
    </xf>
    <xf numFmtId="0" fontId="13" fillId="3" borderId="47" xfId="0" applyFont="1" applyFill="1" applyBorder="1" applyAlignment="1">
      <alignment horizontal="center" vertical="center"/>
    </xf>
    <xf numFmtId="167" fontId="13" fillId="3" borderId="47" xfId="0" applyNumberFormat="1" applyFont="1" applyFill="1" applyBorder="1" applyAlignment="1">
      <alignment horizontal="center" vertical="center"/>
    </xf>
    <xf numFmtId="169" fontId="13" fillId="3" borderId="47" xfId="0" applyNumberFormat="1" applyFont="1" applyFill="1" applyBorder="1" applyAlignment="1">
      <alignment horizontal="center" vertical="center"/>
    </xf>
    <xf numFmtId="167" fontId="13" fillId="3" borderId="47" xfId="2" applyNumberFormat="1" applyFont="1" applyFill="1" applyBorder="1" applyAlignment="1" applyProtection="1">
      <alignment horizontal="center" vertical="center"/>
    </xf>
    <xf numFmtId="0" fontId="13" fillId="3" borderId="47" xfId="2" applyNumberFormat="1" applyFont="1" applyFill="1" applyBorder="1" applyAlignment="1" applyProtection="1">
      <alignment horizontal="center" vertical="center"/>
    </xf>
    <xf numFmtId="0" fontId="13" fillId="3" borderId="49" xfId="0" applyFont="1" applyFill="1" applyBorder="1" applyAlignment="1">
      <alignment horizontal="center" vertical="center"/>
    </xf>
    <xf numFmtId="0" fontId="13" fillId="3" borderId="50" xfId="0" applyFont="1" applyFill="1" applyBorder="1" applyAlignment="1">
      <alignment horizontal="center" vertical="center"/>
    </xf>
    <xf numFmtId="167" fontId="13" fillId="3" borderId="50" xfId="0" applyNumberFormat="1" applyFont="1" applyFill="1" applyBorder="1" applyAlignment="1">
      <alignment horizontal="center" vertical="center"/>
    </xf>
    <xf numFmtId="169" fontId="13" fillId="3" borderId="50" xfId="0" applyNumberFormat="1" applyFont="1" applyFill="1" applyBorder="1" applyAlignment="1">
      <alignment horizontal="center" vertical="center"/>
    </xf>
    <xf numFmtId="167" fontId="13" fillId="3" borderId="50" xfId="2" applyNumberFormat="1" applyFont="1" applyFill="1" applyBorder="1" applyAlignment="1" applyProtection="1">
      <alignment horizontal="center" vertical="center"/>
    </xf>
    <xf numFmtId="0" fontId="13" fillId="3" borderId="50" xfId="2" applyNumberFormat="1" applyFont="1" applyFill="1" applyBorder="1" applyAlignment="1" applyProtection="1">
      <alignment horizontal="center" vertical="center"/>
    </xf>
    <xf numFmtId="0" fontId="13" fillId="3" borderId="52" xfId="0" applyFont="1" applyFill="1" applyBorder="1" applyAlignment="1">
      <alignment horizontal="center" vertical="center"/>
    </xf>
    <xf numFmtId="0" fontId="13" fillId="3" borderId="53" xfId="0" applyFont="1" applyFill="1" applyBorder="1" applyAlignment="1">
      <alignment horizontal="center" vertical="center"/>
    </xf>
    <xf numFmtId="167" fontId="13" fillId="3" borderId="53" xfId="0" applyNumberFormat="1" applyFont="1" applyFill="1" applyBorder="1" applyAlignment="1">
      <alignment horizontal="center" vertical="center"/>
    </xf>
    <xf numFmtId="169" fontId="13" fillId="3" borderId="53" xfId="0" applyNumberFormat="1" applyFont="1" applyFill="1" applyBorder="1" applyAlignment="1">
      <alignment horizontal="center" vertical="center"/>
    </xf>
    <xf numFmtId="167" fontId="13" fillId="3" borderId="53" xfId="2" applyNumberFormat="1" applyFont="1" applyFill="1" applyBorder="1" applyAlignment="1" applyProtection="1">
      <alignment horizontal="center" vertical="center"/>
    </xf>
    <xf numFmtId="0" fontId="13" fillId="3" borderId="53" xfId="2" applyNumberFormat="1" applyFont="1" applyFill="1" applyBorder="1" applyAlignment="1" applyProtection="1">
      <alignment horizontal="center" vertical="center"/>
    </xf>
    <xf numFmtId="165" fontId="13" fillId="3" borderId="50" xfId="0" applyNumberFormat="1" applyFont="1" applyFill="1" applyBorder="1" applyAlignment="1">
      <alignment horizontal="center" vertical="center"/>
    </xf>
    <xf numFmtId="165" fontId="13" fillId="3" borderId="47" xfId="0" applyNumberFormat="1" applyFont="1" applyFill="1" applyBorder="1" applyAlignment="1">
      <alignment horizontal="center" vertical="center"/>
    </xf>
    <xf numFmtId="0" fontId="13" fillId="3" borderId="37" xfId="0" applyFont="1" applyFill="1" applyBorder="1" applyAlignment="1">
      <alignment horizontal="center" vertical="center" wrapText="1"/>
    </xf>
    <xf numFmtId="0" fontId="13" fillId="3" borderId="30" xfId="0" applyFont="1" applyFill="1" applyBorder="1" applyAlignment="1">
      <alignment horizontal="center" vertical="center" wrapText="1" readingOrder="2"/>
    </xf>
    <xf numFmtId="0" fontId="4" fillId="3" borderId="34" xfId="0" applyFont="1" applyFill="1" applyBorder="1" applyAlignment="1">
      <alignment horizontal="center" vertical="center" wrapText="1"/>
    </xf>
    <xf numFmtId="0" fontId="4" fillId="3" borderId="35" xfId="0" applyFont="1" applyFill="1" applyBorder="1" applyAlignment="1">
      <alignment horizontal="center" vertical="center" wrapText="1"/>
    </xf>
    <xf numFmtId="166" fontId="13" fillId="6" borderId="55" xfId="2" applyNumberFormat="1" applyFont="1" applyFill="1" applyBorder="1" applyAlignment="1" applyProtection="1">
      <alignment horizontal="center" vertical="center"/>
    </xf>
    <xf numFmtId="0" fontId="13" fillId="6" borderId="50" xfId="0" applyFont="1" applyFill="1" applyBorder="1" applyAlignment="1">
      <alignment horizontal="center" vertical="center"/>
    </xf>
    <xf numFmtId="165" fontId="13" fillId="6" borderId="50" xfId="0" applyNumberFormat="1" applyFont="1" applyFill="1" applyBorder="1" applyAlignment="1">
      <alignment horizontal="center" vertical="center"/>
    </xf>
    <xf numFmtId="167" fontId="13" fillId="6" borderId="50" xfId="0" applyNumberFormat="1" applyFont="1" applyFill="1" applyBorder="1" applyAlignment="1">
      <alignment horizontal="center" vertical="center"/>
    </xf>
    <xf numFmtId="166" fontId="13" fillId="6" borderId="50" xfId="2" applyNumberFormat="1" applyFont="1" applyFill="1" applyBorder="1" applyAlignment="1" applyProtection="1">
      <alignment horizontal="center" vertical="center"/>
    </xf>
    <xf numFmtId="166" fontId="10" fillId="6" borderId="50" xfId="2" applyNumberFormat="1" applyFont="1" applyFill="1" applyBorder="1" applyAlignment="1" applyProtection="1">
      <alignment horizontal="center" vertical="center"/>
    </xf>
    <xf numFmtId="166" fontId="10" fillId="6" borderId="51" xfId="2" applyNumberFormat="1" applyFont="1" applyFill="1" applyBorder="1" applyAlignment="1" applyProtection="1">
      <alignment horizontal="center" vertical="center"/>
    </xf>
    <xf numFmtId="0" fontId="13" fillId="6" borderId="57" xfId="0" applyFont="1" applyFill="1" applyBorder="1" applyAlignment="1">
      <alignment horizontal="center" vertical="center"/>
    </xf>
    <xf numFmtId="165" fontId="13" fillId="6" borderId="57" xfId="0" applyNumberFormat="1" applyFont="1" applyFill="1" applyBorder="1" applyAlignment="1">
      <alignment horizontal="center" vertical="center"/>
    </xf>
    <xf numFmtId="167" fontId="13" fillId="6" borderId="57" xfId="0" applyNumberFormat="1" applyFont="1" applyFill="1" applyBorder="1" applyAlignment="1">
      <alignment horizontal="center" vertical="center"/>
    </xf>
    <xf numFmtId="166" fontId="13" fillId="6" borderId="57" xfId="2" applyNumberFormat="1" applyFont="1" applyFill="1" applyBorder="1" applyAlignment="1" applyProtection="1">
      <alignment horizontal="center" vertical="center"/>
    </xf>
    <xf numFmtId="166" fontId="10" fillId="6" borderId="57" xfId="2" applyNumberFormat="1" applyFont="1" applyFill="1" applyBorder="1" applyAlignment="1" applyProtection="1">
      <alignment horizontal="center" vertical="center"/>
    </xf>
    <xf numFmtId="0" fontId="13" fillId="6" borderId="47" xfId="0" applyFont="1" applyFill="1" applyBorder="1" applyAlignment="1">
      <alignment horizontal="center" vertical="center"/>
    </xf>
    <xf numFmtId="165" fontId="13" fillId="6" borderId="47" xfId="0" applyNumberFormat="1" applyFont="1" applyFill="1" applyBorder="1" applyAlignment="1">
      <alignment horizontal="center" vertical="center"/>
    </xf>
    <xf numFmtId="167" fontId="13" fillId="6" borderId="47" xfId="0" applyNumberFormat="1" applyFont="1" applyFill="1" applyBorder="1" applyAlignment="1">
      <alignment horizontal="center" vertical="center"/>
    </xf>
    <xf numFmtId="166" fontId="13" fillId="6" borderId="47" xfId="2" applyNumberFormat="1" applyFont="1" applyFill="1" applyBorder="1" applyAlignment="1" applyProtection="1">
      <alignment horizontal="center" vertical="center"/>
    </xf>
    <xf numFmtId="166" fontId="10" fillId="6" borderId="47" xfId="2" applyNumberFormat="1" applyFont="1" applyFill="1" applyBorder="1" applyAlignment="1" applyProtection="1">
      <alignment horizontal="center" vertical="center"/>
    </xf>
    <xf numFmtId="166" fontId="10" fillId="6" borderId="48" xfId="2" applyNumberFormat="1" applyFont="1" applyFill="1" applyBorder="1" applyAlignment="1" applyProtection="1">
      <alignment horizontal="center" vertical="center"/>
    </xf>
    <xf numFmtId="0" fontId="2" fillId="5" borderId="0" xfId="0" applyFont="1" applyFill="1"/>
    <xf numFmtId="0" fontId="13" fillId="6" borderId="67" xfId="0" applyFont="1" applyFill="1" applyBorder="1" applyAlignment="1">
      <alignment horizontal="center" vertical="center"/>
    </xf>
    <xf numFmtId="165" fontId="13" fillId="6" borderId="67" xfId="0" applyNumberFormat="1" applyFont="1" applyFill="1" applyBorder="1" applyAlignment="1">
      <alignment horizontal="center" vertical="center"/>
    </xf>
    <xf numFmtId="167" fontId="13" fillId="6" borderId="67" xfId="0" applyNumberFormat="1" applyFont="1" applyFill="1" applyBorder="1" applyAlignment="1">
      <alignment horizontal="center" vertical="center"/>
    </xf>
    <xf numFmtId="166" fontId="13" fillId="6" borderId="67" xfId="2" applyNumberFormat="1" applyFont="1" applyFill="1" applyBorder="1" applyAlignment="1" applyProtection="1">
      <alignment horizontal="center" vertical="center"/>
    </xf>
    <xf numFmtId="166" fontId="10" fillId="6" borderId="67" xfId="2" applyNumberFormat="1" applyFont="1" applyFill="1" applyBorder="1" applyAlignment="1" applyProtection="1">
      <alignment horizontal="center" vertical="center"/>
    </xf>
    <xf numFmtId="1" fontId="13" fillId="3" borderId="50" xfId="2" applyNumberFormat="1" applyFont="1" applyFill="1" applyBorder="1" applyAlignment="1" applyProtection="1">
      <alignment horizontal="center" vertical="center"/>
    </xf>
    <xf numFmtId="1" fontId="13" fillId="3" borderId="47" xfId="2" applyNumberFormat="1" applyFont="1" applyFill="1" applyBorder="1" applyAlignment="1" applyProtection="1">
      <alignment horizontal="center" vertical="center"/>
    </xf>
    <xf numFmtId="169" fontId="13" fillId="3" borderId="50" xfId="2" applyNumberFormat="1" applyFont="1" applyFill="1" applyBorder="1" applyAlignment="1" applyProtection="1">
      <alignment horizontal="center" vertical="center"/>
    </xf>
    <xf numFmtId="169" fontId="13" fillId="3" borderId="47" xfId="2" applyNumberFormat="1" applyFont="1" applyFill="1" applyBorder="1" applyAlignment="1" applyProtection="1">
      <alignment horizontal="center" vertical="center"/>
    </xf>
    <xf numFmtId="166" fontId="13" fillId="3" borderId="48" xfId="2" applyNumberFormat="1" applyFont="1" applyFill="1" applyBorder="1" applyAlignment="1" applyProtection="1">
      <alignment horizontal="center" vertical="center" wrapText="1"/>
    </xf>
    <xf numFmtId="166" fontId="13" fillId="6" borderId="56" xfId="2" applyNumberFormat="1" applyFont="1" applyFill="1" applyBorder="1" applyAlignment="1" applyProtection="1">
      <alignment horizontal="center" vertical="center"/>
    </xf>
    <xf numFmtId="166" fontId="13" fillId="6" borderId="51" xfId="2" applyNumberFormat="1" applyFont="1" applyFill="1" applyBorder="1" applyAlignment="1" applyProtection="1">
      <alignment horizontal="center" vertical="center"/>
    </xf>
    <xf numFmtId="166" fontId="13" fillId="6" borderId="58" xfId="2" applyNumberFormat="1" applyFont="1" applyFill="1" applyBorder="1" applyAlignment="1" applyProtection="1">
      <alignment horizontal="center" vertical="center"/>
    </xf>
    <xf numFmtId="166" fontId="13" fillId="6" borderId="48" xfId="2" applyNumberFormat="1" applyFont="1" applyFill="1" applyBorder="1" applyAlignment="1" applyProtection="1">
      <alignment horizontal="center" vertical="center"/>
    </xf>
    <xf numFmtId="166" fontId="13" fillId="6" borderId="44" xfId="2" applyNumberFormat="1" applyFont="1" applyFill="1" applyBorder="1" applyAlignment="1" applyProtection="1">
      <alignment horizontal="center" vertical="center"/>
    </xf>
    <xf numFmtId="170" fontId="13" fillId="6" borderId="50" xfId="0" applyNumberFormat="1" applyFont="1" applyFill="1" applyBorder="1" applyAlignment="1">
      <alignment horizontal="center" vertical="center" wrapText="1"/>
    </xf>
    <xf numFmtId="165" fontId="13" fillId="6" borderId="50" xfId="0" applyNumberFormat="1" applyFont="1" applyFill="1" applyBorder="1" applyAlignment="1">
      <alignment horizontal="center" vertical="center" wrapText="1"/>
    </xf>
    <xf numFmtId="169" fontId="13" fillId="6" borderId="50" xfId="0" applyNumberFormat="1" applyFont="1" applyFill="1" applyBorder="1" applyAlignment="1">
      <alignment horizontal="center" vertical="center"/>
    </xf>
    <xf numFmtId="0" fontId="0" fillId="0" borderId="111" xfId="0" applyBorder="1"/>
    <xf numFmtId="0" fontId="23" fillId="0" borderId="116" xfId="0" applyFont="1" applyBorder="1" applyAlignment="1">
      <alignment horizontal="center"/>
    </xf>
    <xf numFmtId="16" fontId="0" fillId="0" borderId="116" xfId="0" applyNumberFormat="1" applyBorder="1" applyAlignment="1">
      <alignment readingOrder="2"/>
    </xf>
    <xf numFmtId="0" fontId="0" fillId="0" borderId="126" xfId="0" applyBorder="1"/>
    <xf numFmtId="0" fontId="0" fillId="0" borderId="28" xfId="0" applyBorder="1"/>
    <xf numFmtId="0" fontId="27" fillId="0" borderId="114" xfId="0" applyFont="1" applyBorder="1" applyAlignment="1">
      <alignment horizontal="right" vertical="center" wrapText="1"/>
    </xf>
    <xf numFmtId="0" fontId="27" fillId="0" borderId="0" xfId="0" applyFont="1" applyAlignment="1">
      <alignment horizontal="right" vertical="center" wrapText="1"/>
    </xf>
    <xf numFmtId="0" fontId="27" fillId="0" borderId="113" xfId="0" applyFont="1" applyBorder="1" applyAlignment="1">
      <alignment horizontal="right" vertical="center" wrapText="1"/>
    </xf>
    <xf numFmtId="0" fontId="0" fillId="0" borderId="113" xfId="0" applyBorder="1"/>
    <xf numFmtId="166" fontId="13" fillId="3" borderId="79" xfId="2" applyNumberFormat="1" applyFont="1" applyFill="1" applyBorder="1" applyAlignment="1" applyProtection="1">
      <alignment horizontal="center" vertical="center"/>
    </xf>
    <xf numFmtId="166" fontId="13" fillId="3" borderId="82" xfId="2" applyNumberFormat="1" applyFont="1" applyFill="1" applyBorder="1" applyAlignment="1" applyProtection="1">
      <alignment horizontal="center" vertical="center"/>
    </xf>
    <xf numFmtId="0" fontId="26" fillId="9" borderId="116" xfId="0" applyFont="1" applyFill="1" applyBorder="1" applyAlignment="1">
      <alignment vertical="center" wrapText="1"/>
    </xf>
    <xf numFmtId="0" fontId="26" fillId="9" borderId="127" xfId="0" applyFont="1" applyFill="1" applyBorder="1" applyAlignment="1">
      <alignment vertical="center" wrapText="1"/>
    </xf>
    <xf numFmtId="0" fontId="26" fillId="9" borderId="115" xfId="0" applyFont="1" applyFill="1" applyBorder="1" applyAlignment="1">
      <alignment vertical="center" wrapText="1"/>
    </xf>
    <xf numFmtId="0" fontId="26" fillId="0" borderId="116" xfId="0" applyFont="1" applyBorder="1" applyAlignment="1">
      <alignment vertical="center" wrapText="1"/>
    </xf>
    <xf numFmtId="0" fontId="26" fillId="0" borderId="127" xfId="0" applyFont="1" applyBorder="1" applyAlignment="1">
      <alignment vertical="center" wrapText="1"/>
    </xf>
    <xf numFmtId="0" fontId="26" fillId="0" borderId="115" xfId="0" applyFont="1" applyBorder="1" applyAlignment="1">
      <alignment vertical="center" wrapText="1"/>
    </xf>
    <xf numFmtId="0" fontId="26" fillId="11" borderId="116" xfId="0" applyFont="1" applyFill="1" applyBorder="1" applyAlignment="1">
      <alignment vertical="center" wrapText="1"/>
    </xf>
    <xf numFmtId="0" fontId="26" fillId="11" borderId="127" xfId="0" applyFont="1" applyFill="1" applyBorder="1" applyAlignment="1">
      <alignment vertical="center" wrapText="1"/>
    </xf>
    <xf numFmtId="0" fontId="26" fillId="11" borderId="115" xfId="0" applyFont="1" applyFill="1" applyBorder="1" applyAlignment="1">
      <alignment vertical="center" wrapText="1"/>
    </xf>
    <xf numFmtId="0" fontId="2" fillId="0" borderId="111" xfId="0" applyFont="1" applyBorder="1" applyAlignment="1">
      <alignment wrapText="1"/>
    </xf>
    <xf numFmtId="0" fontId="2" fillId="2" borderId="0" xfId="0" applyFont="1" applyFill="1" applyAlignment="1">
      <alignment horizontal="center" vertical="center"/>
    </xf>
    <xf numFmtId="0" fontId="5" fillId="2" borderId="0" xfId="3" applyFont="1" applyFill="1" applyAlignment="1">
      <alignment horizontal="center" vertical="center"/>
    </xf>
    <xf numFmtId="0" fontId="4" fillId="2" borderId="0" xfId="3" applyFont="1" applyFill="1" applyAlignment="1">
      <alignment horizontal="center" vertical="center"/>
    </xf>
    <xf numFmtId="0" fontId="13" fillId="3" borderId="59" xfId="2" applyNumberFormat="1" applyFont="1" applyFill="1" applyBorder="1" applyAlignment="1" applyProtection="1">
      <alignment horizontal="center" vertical="center"/>
    </xf>
    <xf numFmtId="0" fontId="13" fillId="6" borderId="54" xfId="2" applyNumberFormat="1" applyFont="1" applyFill="1" applyBorder="1" applyAlignment="1" applyProtection="1">
      <alignment horizontal="center" vertical="center"/>
    </xf>
    <xf numFmtId="0" fontId="13" fillId="6" borderId="49" xfId="2" applyNumberFormat="1" applyFont="1" applyFill="1" applyBorder="1" applyAlignment="1" applyProtection="1">
      <alignment horizontal="center" vertical="center"/>
    </xf>
    <xf numFmtId="0" fontId="13" fillId="6" borderId="37" xfId="2" applyNumberFormat="1" applyFont="1" applyFill="1" applyBorder="1" applyAlignment="1" applyProtection="1">
      <alignment horizontal="center" vertical="center"/>
    </xf>
    <xf numFmtId="0" fontId="13" fillId="6" borderId="43" xfId="2" applyNumberFormat="1" applyFont="1" applyFill="1" applyBorder="1" applyAlignment="1" applyProtection="1">
      <alignment horizontal="center" vertical="center"/>
    </xf>
    <xf numFmtId="167" fontId="13" fillId="3" borderId="60" xfId="2" applyNumberFormat="1" applyFont="1" applyFill="1" applyBorder="1" applyAlignment="1" applyProtection="1">
      <alignment horizontal="center" vertical="center"/>
    </xf>
    <xf numFmtId="166" fontId="13" fillId="6" borderId="38" xfId="2" applyNumberFormat="1" applyFont="1" applyFill="1" applyBorder="1" applyAlignment="1" applyProtection="1">
      <alignment horizontal="center" vertical="center"/>
    </xf>
    <xf numFmtId="166" fontId="13" fillId="6" borderId="39" xfId="2" applyNumberFormat="1" applyFont="1" applyFill="1" applyBorder="1" applyAlignment="1" applyProtection="1">
      <alignment horizontal="center" vertical="center"/>
    </xf>
    <xf numFmtId="167" fontId="13" fillId="6" borderId="35" xfId="2" applyNumberFormat="1" applyFont="1" applyFill="1" applyBorder="1" applyAlignment="1" applyProtection="1">
      <alignment horizontal="center" vertical="center"/>
    </xf>
    <xf numFmtId="167" fontId="13" fillId="6" borderId="60" xfId="2" applyNumberFormat="1" applyFont="1" applyFill="1" applyBorder="1" applyAlignment="1" applyProtection="1">
      <alignment horizontal="center" vertical="center"/>
    </xf>
    <xf numFmtId="0" fontId="13" fillId="3" borderId="60" xfId="2" applyNumberFormat="1" applyFont="1" applyFill="1" applyBorder="1" applyAlignment="1" applyProtection="1">
      <alignment horizontal="center" vertical="center"/>
    </xf>
    <xf numFmtId="166" fontId="13" fillId="6" borderId="36" xfId="2" applyNumberFormat="1" applyFont="1" applyFill="1" applyBorder="1" applyAlignment="1" applyProtection="1">
      <alignment horizontal="center" vertical="center"/>
    </xf>
    <xf numFmtId="0" fontId="2" fillId="0" borderId="0" xfId="0" applyFont="1" applyAlignment="1">
      <alignment horizontal="center"/>
    </xf>
    <xf numFmtId="0" fontId="4" fillId="3" borderId="38" xfId="0" applyFont="1" applyFill="1" applyBorder="1" applyAlignment="1">
      <alignment horizontal="center" vertical="center" wrapText="1"/>
    </xf>
    <xf numFmtId="0" fontId="4" fillId="3" borderId="38" xfId="0" applyFont="1" applyFill="1" applyBorder="1" applyAlignment="1">
      <alignment horizontal="center" vertical="center"/>
    </xf>
    <xf numFmtId="9" fontId="2" fillId="2" borderId="0" xfId="0" applyNumberFormat="1" applyFont="1" applyFill="1" applyAlignment="1">
      <alignment horizontal="center" vertical="center"/>
    </xf>
    <xf numFmtId="0" fontId="11" fillId="2" borderId="0" xfId="3" applyFont="1" applyFill="1" applyAlignment="1">
      <alignment horizontal="center" vertical="center"/>
    </xf>
    <xf numFmtId="0" fontId="6" fillId="2" borderId="0" xfId="0" applyFont="1" applyFill="1" applyAlignment="1">
      <alignment horizontal="center" vertical="center"/>
    </xf>
    <xf numFmtId="0" fontId="8" fillId="5" borderId="1"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17" fillId="2" borderId="0" xfId="3" applyFont="1" applyFill="1" applyAlignment="1">
      <alignment horizontal="center" vertical="center"/>
    </xf>
    <xf numFmtId="0" fontId="46" fillId="0" borderId="61" xfId="0" applyFont="1" applyBorder="1" applyAlignment="1">
      <alignment horizontal="center" vertical="center" wrapText="1"/>
    </xf>
    <xf numFmtId="0" fontId="13" fillId="3" borderId="20" xfId="0" applyFont="1" applyFill="1" applyBorder="1" applyAlignment="1">
      <alignment horizontal="center" vertical="center" wrapText="1"/>
    </xf>
    <xf numFmtId="0" fontId="13" fillId="3" borderId="4" xfId="0" applyFont="1" applyFill="1" applyBorder="1" applyAlignment="1">
      <alignment horizontal="center" vertical="center"/>
    </xf>
    <xf numFmtId="0" fontId="13" fillId="3" borderId="32" xfId="0" applyFont="1" applyFill="1" applyBorder="1" applyAlignment="1">
      <alignment horizontal="center" vertical="center" wrapText="1"/>
    </xf>
    <xf numFmtId="0" fontId="13" fillId="7" borderId="0" xfId="0" applyFont="1" applyFill="1" applyAlignment="1">
      <alignment horizontal="center" vertical="center" wrapText="1"/>
    </xf>
    <xf numFmtId="0" fontId="4" fillId="3" borderId="37" xfId="0" applyFont="1" applyFill="1" applyBorder="1" applyAlignment="1">
      <alignment horizontal="center" vertical="center" wrapText="1"/>
    </xf>
    <xf numFmtId="0" fontId="4" fillId="3" borderId="64" xfId="0" applyFont="1" applyFill="1" applyBorder="1" applyAlignment="1">
      <alignment horizontal="center" vertical="center" wrapText="1"/>
    </xf>
    <xf numFmtId="0" fontId="4" fillId="3" borderId="65" xfId="0" applyFont="1" applyFill="1" applyBorder="1" applyAlignment="1">
      <alignment horizontal="center" vertical="center" wrapText="1"/>
    </xf>
    <xf numFmtId="166" fontId="4" fillId="3" borderId="37" xfId="2" applyNumberFormat="1" applyFont="1" applyFill="1" applyBorder="1" applyAlignment="1" applyProtection="1">
      <alignment horizontal="center" vertical="center" wrapText="1"/>
    </xf>
    <xf numFmtId="166" fontId="4" fillId="3" borderId="38" xfId="2" applyNumberFormat="1" applyFont="1" applyFill="1" applyBorder="1" applyAlignment="1" applyProtection="1">
      <alignment horizontal="center" vertical="center" wrapText="1"/>
    </xf>
    <xf numFmtId="166" fontId="4" fillId="3" borderId="43" xfId="2" applyNumberFormat="1" applyFont="1" applyFill="1" applyBorder="1" applyAlignment="1" applyProtection="1">
      <alignment horizontal="center" vertical="center" wrapText="1"/>
    </xf>
    <xf numFmtId="166" fontId="4" fillId="3" borderId="44" xfId="2" applyNumberFormat="1" applyFont="1" applyFill="1" applyBorder="1" applyAlignment="1" applyProtection="1">
      <alignment horizontal="center" vertical="center" wrapText="1"/>
    </xf>
    <xf numFmtId="167" fontId="4" fillId="3" borderId="36" xfId="0" applyNumberFormat="1" applyFont="1" applyFill="1" applyBorder="1" applyAlignment="1">
      <alignment horizontal="center" vertical="center" wrapText="1"/>
    </xf>
    <xf numFmtId="167" fontId="4" fillId="3" borderId="39" xfId="0" applyNumberFormat="1" applyFont="1" applyFill="1" applyBorder="1" applyAlignment="1">
      <alignment horizontal="center" vertical="center" wrapText="1"/>
    </xf>
    <xf numFmtId="0" fontId="4" fillId="3" borderId="39" xfId="0" applyFont="1" applyFill="1" applyBorder="1" applyAlignment="1">
      <alignment horizontal="center" vertical="center" wrapText="1"/>
    </xf>
    <xf numFmtId="0" fontId="4" fillId="3" borderId="172" xfId="0" applyFont="1" applyFill="1" applyBorder="1" applyAlignment="1">
      <alignment horizontal="center" vertical="center" wrapText="1"/>
    </xf>
    <xf numFmtId="166" fontId="4" fillId="3" borderId="39" xfId="2" applyNumberFormat="1" applyFont="1" applyFill="1" applyBorder="1" applyAlignment="1" applyProtection="1">
      <alignment horizontal="center" vertical="center" wrapText="1"/>
    </xf>
    <xf numFmtId="166" fontId="4" fillId="3" borderId="45" xfId="2" applyNumberFormat="1" applyFont="1" applyFill="1" applyBorder="1" applyAlignment="1" applyProtection="1">
      <alignment horizontal="center" vertical="center" wrapText="1"/>
    </xf>
    <xf numFmtId="166" fontId="13" fillId="0" borderId="80" xfId="2" applyNumberFormat="1" applyFont="1" applyFill="1" applyBorder="1" applyAlignment="1" applyProtection="1">
      <alignment horizontal="center" vertical="center" wrapText="1"/>
      <protection locked="0"/>
    </xf>
    <xf numFmtId="0" fontId="31" fillId="2" borderId="0" xfId="0" applyFont="1" applyFill="1"/>
    <xf numFmtId="0" fontId="34" fillId="2" borderId="0" xfId="0" applyFont="1" applyFill="1" applyAlignment="1">
      <alignment horizontal="right" vertical="center" wrapText="1"/>
    </xf>
    <xf numFmtId="0" fontId="36" fillId="2" borderId="0" xfId="0" applyFont="1" applyFill="1" applyAlignment="1">
      <alignment horizontal="right" vertical="center" wrapText="1"/>
    </xf>
    <xf numFmtId="0" fontId="37" fillId="2" borderId="0" xfId="0" applyFont="1" applyFill="1" applyAlignment="1">
      <alignment horizontal="center" vertical="center" wrapText="1"/>
    </xf>
    <xf numFmtId="0" fontId="36" fillId="2" borderId="0" xfId="0" applyFont="1" applyFill="1" applyAlignment="1">
      <alignment horizontal="center" vertical="center" wrapText="1"/>
    </xf>
    <xf numFmtId="0" fontId="43" fillId="2" borderId="0" xfId="0" applyFont="1" applyFill="1" applyAlignment="1">
      <alignment horizontal="center" vertical="center" wrapText="1"/>
    </xf>
    <xf numFmtId="0" fontId="38" fillId="2" borderId="0" xfId="0" applyFont="1" applyFill="1" applyAlignment="1">
      <alignment horizontal="center" vertical="center" wrapText="1"/>
    </xf>
    <xf numFmtId="0" fontId="39" fillId="2" borderId="0" xfId="0" applyFont="1" applyFill="1"/>
    <xf numFmtId="0" fontId="7" fillId="8" borderId="137" xfId="0" applyFont="1" applyFill="1" applyBorder="1" applyAlignment="1">
      <alignment horizontal="center" vertical="center"/>
    </xf>
    <xf numFmtId="0" fontId="7" fillId="2" borderId="0" xfId="0" applyFont="1" applyFill="1"/>
    <xf numFmtId="9" fontId="2" fillId="2" borderId="0" xfId="0" applyNumberFormat="1" applyFont="1" applyFill="1" applyAlignment="1">
      <alignment horizontal="center"/>
    </xf>
    <xf numFmtId="165" fontId="31" fillId="2" borderId="0" xfId="0" applyNumberFormat="1" applyFont="1" applyFill="1" applyAlignment="1">
      <alignment horizontal="center" vertical="center"/>
    </xf>
    <xf numFmtId="0" fontId="36" fillId="2" borderId="0" xfId="0" applyFont="1" applyFill="1"/>
    <xf numFmtId="0" fontId="36" fillId="0" borderId="0" xfId="0" applyFont="1"/>
    <xf numFmtId="0" fontId="40" fillId="2" borderId="0" xfId="5" applyFont="1" applyFill="1" applyProtection="1"/>
    <xf numFmtId="0" fontId="41" fillId="2" borderId="0" xfId="0" applyFont="1" applyFill="1"/>
    <xf numFmtId="165" fontId="42" fillId="2" borderId="0" xfId="0" applyNumberFormat="1" applyFont="1" applyFill="1" applyAlignment="1">
      <alignment horizontal="center" vertical="center"/>
    </xf>
    <xf numFmtId="9" fontId="13" fillId="3" borderId="79" xfId="2" applyFont="1" applyFill="1" applyBorder="1" applyAlignment="1" applyProtection="1">
      <alignment horizontal="center" vertical="center"/>
    </xf>
    <xf numFmtId="9" fontId="13" fillId="3" borderId="194" xfId="2" applyFont="1" applyFill="1" applyBorder="1" applyAlignment="1" applyProtection="1">
      <alignment horizontal="center" vertical="center"/>
    </xf>
    <xf numFmtId="166" fontId="13" fillId="0" borderId="196" xfId="2" applyNumberFormat="1" applyFont="1" applyFill="1" applyBorder="1" applyAlignment="1" applyProtection="1">
      <alignment horizontal="center" vertical="center" wrapText="1"/>
      <protection locked="0"/>
    </xf>
    <xf numFmtId="166" fontId="13" fillId="3" borderId="194" xfId="2" applyNumberFormat="1" applyFont="1" applyFill="1" applyBorder="1" applyAlignment="1" applyProtection="1">
      <alignment horizontal="center" vertical="center"/>
    </xf>
    <xf numFmtId="168" fontId="13" fillId="4" borderId="173" xfId="4" applyNumberFormat="1" applyFont="1" applyFill="1" applyBorder="1" applyAlignment="1" applyProtection="1">
      <alignment horizontal="center" vertical="center"/>
      <protection locked="0"/>
    </xf>
    <xf numFmtId="166" fontId="13" fillId="6" borderId="198" xfId="2" applyNumberFormat="1" applyFont="1" applyFill="1" applyBorder="1" applyAlignment="1" applyProtection="1">
      <alignment horizontal="center" vertical="center"/>
    </xf>
    <xf numFmtId="166" fontId="13" fillId="6" borderId="205" xfId="2" applyNumberFormat="1" applyFont="1" applyFill="1" applyBorder="1" applyAlignment="1" applyProtection="1">
      <alignment horizontal="center" vertical="center" wrapText="1"/>
    </xf>
    <xf numFmtId="166" fontId="13" fillId="6" borderId="201" xfId="2" applyNumberFormat="1" applyFont="1" applyFill="1" applyBorder="1" applyAlignment="1" applyProtection="1">
      <alignment vertical="center"/>
    </xf>
    <xf numFmtId="166" fontId="13" fillId="6" borderId="202" xfId="2" applyNumberFormat="1" applyFont="1" applyFill="1" applyBorder="1" applyAlignment="1" applyProtection="1">
      <alignment vertical="center"/>
    </xf>
    <xf numFmtId="166" fontId="13" fillId="6" borderId="121" xfId="2" applyNumberFormat="1" applyFont="1" applyFill="1" applyBorder="1" applyAlignment="1" applyProtection="1">
      <alignment vertical="center"/>
    </xf>
    <xf numFmtId="166" fontId="13" fillId="6" borderId="176" xfId="2" applyNumberFormat="1" applyFont="1" applyFill="1" applyBorder="1" applyAlignment="1" applyProtection="1">
      <alignment vertical="center"/>
    </xf>
    <xf numFmtId="166" fontId="13" fillId="6" borderId="118" xfId="2" applyNumberFormat="1" applyFont="1" applyFill="1" applyBorder="1" applyAlignment="1" applyProtection="1">
      <alignment vertical="center"/>
    </xf>
    <xf numFmtId="9" fontId="13" fillId="3" borderId="131" xfId="2" applyFont="1" applyFill="1" applyBorder="1" applyAlignment="1" applyProtection="1">
      <alignment horizontal="center" vertical="center"/>
    </xf>
    <xf numFmtId="9" fontId="13" fillId="6" borderId="200" xfId="2" applyFont="1" applyFill="1" applyBorder="1" applyAlignment="1" applyProtection="1">
      <alignment vertical="center"/>
    </xf>
    <xf numFmtId="9" fontId="13" fillId="6" borderId="198" xfId="2" applyFont="1" applyFill="1" applyBorder="1" applyAlignment="1" applyProtection="1">
      <alignment horizontal="center" vertical="center"/>
    </xf>
    <xf numFmtId="9" fontId="13" fillId="6" borderId="121" xfId="2" applyFont="1" applyFill="1" applyBorder="1" applyAlignment="1" applyProtection="1">
      <alignment vertical="center"/>
    </xf>
    <xf numFmtId="0" fontId="8" fillId="2" borderId="0" xfId="0" applyFont="1" applyFill="1" applyAlignment="1">
      <alignment horizontal="center" vertical="center" wrapText="1"/>
    </xf>
    <xf numFmtId="0" fontId="10" fillId="7" borderId="0" xfId="0" applyFont="1" applyFill="1" applyAlignment="1">
      <alignment vertical="center" wrapText="1"/>
    </xf>
    <xf numFmtId="0" fontId="7" fillId="6" borderId="98" xfId="0" applyFont="1" applyFill="1" applyBorder="1" applyAlignment="1">
      <alignment horizontal="center" vertical="center" wrapText="1"/>
    </xf>
    <xf numFmtId="0" fontId="7" fillId="6" borderId="99" xfId="0" applyFont="1" applyFill="1" applyBorder="1" applyAlignment="1">
      <alignment horizontal="center" vertical="center" wrapText="1"/>
    </xf>
    <xf numFmtId="0" fontId="7" fillId="6" borderId="100" xfId="0" applyFont="1" applyFill="1" applyBorder="1" applyAlignment="1">
      <alignment horizontal="center" vertical="center" wrapText="1"/>
    </xf>
    <xf numFmtId="0" fontId="13" fillId="0" borderId="72" xfId="0" applyFont="1" applyBorder="1" applyAlignment="1">
      <alignment horizontal="center" vertical="center" wrapText="1"/>
    </xf>
    <xf numFmtId="0" fontId="13" fillId="0" borderId="73" xfId="0" applyFont="1" applyBorder="1" applyAlignment="1">
      <alignment horizontal="center" vertical="center" wrapText="1"/>
    </xf>
    <xf numFmtId="0" fontId="49" fillId="7" borderId="0" xfId="0" applyFont="1" applyFill="1" applyAlignment="1">
      <alignment horizontal="center" vertical="center"/>
    </xf>
    <xf numFmtId="0" fontId="50" fillId="7" borderId="0" xfId="0" applyFont="1" applyFill="1" applyAlignment="1">
      <alignment horizontal="center" vertical="center"/>
    </xf>
    <xf numFmtId="0" fontId="13" fillId="0" borderId="119" xfId="0" applyFont="1" applyBorder="1" applyAlignment="1">
      <alignment horizontal="center" vertical="center" wrapText="1"/>
    </xf>
    <xf numFmtId="0" fontId="13" fillId="0" borderId="118" xfId="0" applyFont="1" applyBorder="1" applyAlignment="1">
      <alignment horizontal="center" vertical="center" wrapText="1"/>
    </xf>
    <xf numFmtId="0" fontId="4" fillId="0" borderId="161" xfId="0" applyFont="1" applyBorder="1" applyAlignment="1">
      <alignment horizontal="center" vertical="center" wrapText="1" readingOrder="2"/>
    </xf>
    <xf numFmtId="0" fontId="4" fillId="0" borderId="162" xfId="0" applyFont="1" applyBorder="1" applyAlignment="1">
      <alignment vertical="center" wrapText="1"/>
    </xf>
    <xf numFmtId="0" fontId="4" fillId="0" borderId="148" xfId="0" applyFont="1" applyBorder="1" applyAlignment="1">
      <alignment horizontal="center" vertical="center" wrapText="1" readingOrder="2"/>
    </xf>
    <xf numFmtId="0" fontId="4" fillId="0" borderId="149" xfId="0" applyFont="1" applyBorder="1" applyAlignment="1">
      <alignment vertical="center" wrapText="1"/>
    </xf>
    <xf numFmtId="0" fontId="4" fillId="0" borderId="163" xfId="0" applyFont="1" applyBorder="1" applyAlignment="1">
      <alignment horizontal="center" vertical="center" wrapText="1" readingOrder="2"/>
    </xf>
    <xf numFmtId="0" fontId="4" fillId="0" borderId="164" xfId="0" applyFont="1" applyBorder="1" applyAlignment="1">
      <alignment vertical="center" wrapText="1"/>
    </xf>
    <xf numFmtId="0" fontId="4" fillId="0" borderId="154" xfId="0" applyFont="1" applyBorder="1" applyAlignment="1">
      <alignment horizontal="center" vertical="center" wrapText="1" readingOrder="2"/>
    </xf>
    <xf numFmtId="0" fontId="4" fillId="0" borderId="155" xfId="0" applyFont="1" applyBorder="1" applyAlignment="1">
      <alignment vertical="center" wrapText="1"/>
    </xf>
    <xf numFmtId="0" fontId="4" fillId="0" borderId="150" xfId="0" applyFont="1" applyBorder="1" applyAlignment="1">
      <alignment horizontal="center" vertical="center" wrapText="1" readingOrder="2"/>
    </xf>
    <xf numFmtId="0" fontId="4" fillId="0" borderId="151" xfId="0" applyFont="1" applyBorder="1" applyAlignment="1">
      <alignment vertical="center" wrapText="1"/>
    </xf>
    <xf numFmtId="0" fontId="11" fillId="7" borderId="0" xfId="3" applyFont="1" applyFill="1" applyAlignment="1">
      <alignment horizontal="center" vertical="center"/>
    </xf>
    <xf numFmtId="0" fontId="7" fillId="6" borderId="102" xfId="0" applyFont="1" applyFill="1" applyBorder="1" applyAlignment="1">
      <alignment horizontal="center" vertical="center" wrapText="1"/>
    </xf>
    <xf numFmtId="0" fontId="7" fillId="6" borderId="101" xfId="0" applyFont="1" applyFill="1" applyBorder="1" applyAlignment="1">
      <alignment horizontal="center" vertical="center" wrapText="1"/>
    </xf>
    <xf numFmtId="0" fontId="7" fillId="7" borderId="0" xfId="0" applyFont="1" applyFill="1" applyAlignment="1">
      <alignment horizontal="center" vertical="center" wrapText="1"/>
    </xf>
    <xf numFmtId="167" fontId="13" fillId="0" borderId="181" xfId="0" applyNumberFormat="1" applyFont="1" applyBorder="1" applyAlignment="1">
      <alignment horizontal="center" vertical="center" wrapText="1"/>
    </xf>
    <xf numFmtId="167" fontId="13" fillId="0" borderId="84" xfId="0" applyNumberFormat="1" applyFont="1" applyBorder="1" applyAlignment="1">
      <alignment horizontal="center" vertical="center" wrapText="1"/>
    </xf>
    <xf numFmtId="167" fontId="13" fillId="0" borderId="136" xfId="0" applyNumberFormat="1" applyFont="1" applyBorder="1" applyAlignment="1">
      <alignment horizontal="center" vertical="center" wrapText="1"/>
    </xf>
    <xf numFmtId="0" fontId="50" fillId="7" borderId="0" xfId="0" applyFont="1" applyFill="1" applyAlignment="1">
      <alignment vertical="center"/>
    </xf>
    <xf numFmtId="167" fontId="13" fillId="0" borderId="182" xfId="0" applyNumberFormat="1" applyFont="1" applyBorder="1" applyAlignment="1">
      <alignment horizontal="center" vertical="center" wrapText="1"/>
    </xf>
    <xf numFmtId="0" fontId="22" fillId="2" borderId="0" xfId="3" applyFont="1" applyFill="1" applyAlignment="1">
      <alignment horizontal="center" vertical="center"/>
    </xf>
    <xf numFmtId="0" fontId="44" fillId="2" borderId="0" xfId="3" applyFont="1" applyFill="1" applyAlignment="1">
      <alignment horizontal="center" vertical="center"/>
    </xf>
    <xf numFmtId="0" fontId="22" fillId="2" borderId="0" xfId="3" applyFont="1" applyFill="1" applyAlignment="1">
      <alignment horizontal="center" vertical="center" readingOrder="2"/>
    </xf>
    <xf numFmtId="0" fontId="2" fillId="0" borderId="129" xfId="0" applyFont="1" applyBorder="1" applyAlignment="1">
      <alignment horizontal="center" vertical="center"/>
    </xf>
    <xf numFmtId="0" fontId="2" fillId="0" borderId="130" xfId="0" applyFont="1" applyBorder="1" applyAlignment="1">
      <alignment horizontal="center" vertical="center"/>
    </xf>
    <xf numFmtId="0" fontId="2" fillId="0" borderId="128" xfId="0" applyFont="1" applyBorder="1" applyAlignment="1">
      <alignment horizontal="center" vertical="center"/>
    </xf>
    <xf numFmtId="0" fontId="13" fillId="10" borderId="183" xfId="0" applyFont="1" applyFill="1" applyBorder="1" applyAlignment="1" applyProtection="1">
      <alignment horizontal="center" vertical="center" wrapText="1"/>
      <protection locked="0"/>
    </xf>
    <xf numFmtId="0" fontId="13" fillId="10" borderId="74" xfId="0" applyFont="1" applyFill="1" applyBorder="1" applyAlignment="1" applyProtection="1">
      <alignment horizontal="center" vertical="center" wrapText="1"/>
      <protection locked="0"/>
    </xf>
    <xf numFmtId="0" fontId="13" fillId="10" borderId="119" xfId="0" applyFont="1" applyFill="1" applyBorder="1" applyAlignment="1" applyProtection="1">
      <alignment horizontal="center" vertical="center" wrapText="1"/>
      <protection locked="0"/>
    </xf>
    <xf numFmtId="0" fontId="13" fillId="10" borderId="73" xfId="0" applyFont="1" applyFill="1" applyBorder="1" applyAlignment="1" applyProtection="1">
      <alignment horizontal="center" vertical="center" wrapText="1"/>
      <protection locked="0"/>
    </xf>
    <xf numFmtId="0" fontId="13" fillId="10" borderId="189" xfId="0" applyFont="1" applyFill="1" applyBorder="1" applyAlignment="1" applyProtection="1">
      <alignment horizontal="center" vertical="center" wrapText="1"/>
      <protection locked="0"/>
    </xf>
    <xf numFmtId="0" fontId="13" fillId="10" borderId="87" xfId="0" applyFont="1" applyFill="1" applyBorder="1" applyAlignment="1" applyProtection="1">
      <alignment horizontal="center" vertical="center" wrapText="1"/>
      <protection locked="0"/>
    </xf>
    <xf numFmtId="0" fontId="13" fillId="10" borderId="75" xfId="0" applyFont="1" applyFill="1" applyBorder="1" applyAlignment="1" applyProtection="1">
      <alignment horizontal="center" vertical="center" wrapText="1"/>
      <protection locked="0"/>
    </xf>
    <xf numFmtId="0" fontId="55" fillId="0" borderId="103" xfId="5" applyFont="1" applyFill="1" applyBorder="1" applyAlignment="1" applyProtection="1">
      <alignment horizontal="center" vertical="center" wrapText="1"/>
    </xf>
    <xf numFmtId="0" fontId="55" fillId="0" borderId="105" xfId="5" applyFont="1" applyFill="1" applyBorder="1" applyAlignment="1" applyProtection="1">
      <alignment horizontal="center" vertical="center" wrapText="1"/>
    </xf>
    <xf numFmtId="0" fontId="55" fillId="0" borderId="109" xfId="5" applyFont="1" applyFill="1" applyBorder="1" applyAlignment="1" applyProtection="1">
      <alignment horizontal="center" vertical="center" wrapText="1"/>
    </xf>
    <xf numFmtId="0" fontId="55" fillId="3" borderId="29" xfId="5" applyFont="1" applyFill="1" applyBorder="1" applyAlignment="1">
      <alignment horizontal="center" vertical="center"/>
    </xf>
    <xf numFmtId="0" fontId="55" fillId="3" borderId="30" xfId="5" applyFont="1" applyFill="1" applyBorder="1" applyAlignment="1">
      <alignment horizontal="center" vertical="center"/>
    </xf>
    <xf numFmtId="0" fontId="55" fillId="3" borderId="33" xfId="5" applyFont="1" applyFill="1" applyBorder="1" applyAlignment="1">
      <alignment horizontal="center" vertical="center"/>
    </xf>
    <xf numFmtId="0" fontId="55" fillId="3" borderId="29" xfId="5" applyFont="1" applyFill="1" applyBorder="1" applyAlignment="1">
      <alignment horizontal="center" vertical="center" wrapText="1"/>
    </xf>
    <xf numFmtId="0" fontId="55" fillId="3" borderId="33" xfId="5" applyFont="1" applyFill="1" applyBorder="1" applyAlignment="1">
      <alignment horizontal="center" vertical="center" wrapText="1"/>
    </xf>
    <xf numFmtId="0" fontId="55" fillId="3" borderId="15" xfId="5" applyFont="1" applyFill="1" applyBorder="1" applyAlignment="1">
      <alignment horizontal="center" vertical="center" wrapText="1" readingOrder="2"/>
    </xf>
    <xf numFmtId="0" fontId="55" fillId="3" borderId="18" xfId="5" applyFont="1" applyFill="1" applyBorder="1" applyAlignment="1">
      <alignment horizontal="center" vertical="center" wrapText="1" readingOrder="2"/>
    </xf>
    <xf numFmtId="0" fontId="55" fillId="3" borderId="30" xfId="5" applyFont="1" applyFill="1" applyBorder="1" applyAlignment="1">
      <alignment horizontal="center" vertical="center" wrapText="1"/>
    </xf>
    <xf numFmtId="168" fontId="17" fillId="4" borderId="2" xfId="4" applyNumberFormat="1" applyFont="1" applyFill="1" applyBorder="1" applyAlignment="1" applyProtection="1">
      <alignment horizontal="center" vertical="center"/>
      <protection locked="0"/>
    </xf>
    <xf numFmtId="167" fontId="13" fillId="0" borderId="77" xfId="0" applyNumberFormat="1" applyFont="1" applyBorder="1" applyAlignment="1">
      <alignment horizontal="center" vertical="center" wrapText="1"/>
    </xf>
    <xf numFmtId="167" fontId="53" fillId="0" borderId="77" xfId="0" applyNumberFormat="1" applyFont="1" applyBorder="1" applyAlignment="1">
      <alignment horizontal="center" vertical="center"/>
    </xf>
    <xf numFmtId="167" fontId="53" fillId="0" borderId="97" xfId="0" applyNumberFormat="1" applyFont="1" applyBorder="1" applyAlignment="1">
      <alignment horizontal="center" vertical="center"/>
    </xf>
    <xf numFmtId="0" fontId="53" fillId="10" borderId="78" xfId="0" applyFont="1" applyFill="1" applyBorder="1" applyAlignment="1" applyProtection="1">
      <alignment horizontal="center" vertical="center"/>
      <protection locked="0"/>
    </xf>
    <xf numFmtId="0" fontId="52" fillId="10" borderId="88" xfId="0" applyFont="1" applyFill="1" applyBorder="1" applyAlignment="1" applyProtection="1">
      <alignment horizontal="center" vertical="center"/>
      <protection locked="0"/>
    </xf>
    <xf numFmtId="167" fontId="52" fillId="0" borderId="85" xfId="0" applyNumberFormat="1" applyFont="1" applyBorder="1" applyAlignment="1">
      <alignment horizontal="center" vertical="center"/>
    </xf>
    <xf numFmtId="0" fontId="52" fillId="10" borderId="78" xfId="0" applyFont="1" applyFill="1" applyBorder="1" applyAlignment="1" applyProtection="1">
      <alignment horizontal="center" vertical="center"/>
      <protection locked="0"/>
    </xf>
    <xf numFmtId="167" fontId="52" fillId="0" borderId="80" xfId="0" applyNumberFormat="1" applyFont="1" applyBorder="1" applyAlignment="1">
      <alignment horizontal="center" vertical="center"/>
    </xf>
    <xf numFmtId="0" fontId="53" fillId="10" borderId="75" xfId="0" applyFont="1" applyFill="1" applyBorder="1" applyAlignment="1" applyProtection="1">
      <alignment horizontal="center" vertical="center"/>
      <protection locked="0"/>
    </xf>
    <xf numFmtId="0" fontId="52" fillId="10" borderId="87" xfId="0" applyFont="1" applyFill="1" applyBorder="1" applyAlignment="1" applyProtection="1">
      <alignment horizontal="center" vertical="center"/>
      <protection locked="0"/>
    </xf>
    <xf numFmtId="167" fontId="52" fillId="0" borderId="84" xfId="0" applyNumberFormat="1" applyFont="1" applyBorder="1" applyAlignment="1">
      <alignment horizontal="center" vertical="center"/>
    </xf>
    <xf numFmtId="0" fontId="52" fillId="10" borderId="75" xfId="0" applyFont="1" applyFill="1" applyBorder="1" applyAlignment="1" applyProtection="1">
      <alignment horizontal="center" vertical="center"/>
      <protection locked="0"/>
    </xf>
    <xf numFmtId="167" fontId="52" fillId="0" borderId="77" xfId="0" applyNumberFormat="1" applyFont="1" applyBorder="1" applyAlignment="1">
      <alignment horizontal="center" vertical="center"/>
    </xf>
    <xf numFmtId="0" fontId="53" fillId="10" borderId="94" xfId="0" applyFont="1" applyFill="1" applyBorder="1" applyAlignment="1" applyProtection="1">
      <alignment horizontal="center" vertical="center"/>
      <protection locked="0"/>
    </xf>
    <xf numFmtId="0" fontId="52" fillId="10" borderId="96" xfId="0" applyFont="1" applyFill="1" applyBorder="1" applyAlignment="1" applyProtection="1">
      <alignment horizontal="center" vertical="center"/>
      <protection locked="0"/>
    </xf>
    <xf numFmtId="167" fontId="52" fillId="0" borderId="95" xfId="0" applyNumberFormat="1" applyFont="1" applyBorder="1" applyAlignment="1">
      <alignment horizontal="center" vertical="center"/>
    </xf>
    <xf numFmtId="0" fontId="52" fillId="10" borderId="94" xfId="0" applyFont="1" applyFill="1" applyBorder="1" applyAlignment="1" applyProtection="1">
      <alignment horizontal="center" vertical="center"/>
      <protection locked="0"/>
    </xf>
    <xf numFmtId="167" fontId="52" fillId="0" borderId="97" xfId="0" applyNumberFormat="1" applyFont="1" applyBorder="1" applyAlignment="1">
      <alignment horizontal="center" vertical="center"/>
    </xf>
    <xf numFmtId="165" fontId="13" fillId="4" borderId="79" xfId="0" applyNumberFormat="1" applyFont="1" applyFill="1" applyBorder="1" applyAlignment="1" applyProtection="1">
      <alignment horizontal="center" vertical="center"/>
      <protection locked="0"/>
    </xf>
    <xf numFmtId="171" fontId="5" fillId="5" borderId="0" xfId="4" applyNumberFormat="1" applyFont="1" applyFill="1" applyAlignment="1" applyProtection="1">
      <alignment horizontal="center" vertical="center"/>
    </xf>
    <xf numFmtId="0" fontId="57" fillId="5" borderId="0" xfId="0" applyFont="1" applyFill="1" applyAlignment="1">
      <alignment horizontal="center" vertical="center"/>
    </xf>
    <xf numFmtId="167" fontId="13" fillId="3" borderId="67" xfId="0" applyNumberFormat="1" applyFont="1" applyFill="1" applyBorder="1" applyAlignment="1">
      <alignment horizontal="center" vertical="center"/>
    </xf>
    <xf numFmtId="0" fontId="13" fillId="6" borderId="41" xfId="0" applyFont="1" applyFill="1" applyBorder="1" applyAlignment="1">
      <alignment horizontal="center" vertical="center"/>
    </xf>
    <xf numFmtId="165" fontId="13" fillId="4" borderId="194" xfId="0" applyNumberFormat="1" applyFont="1" applyFill="1" applyBorder="1" applyAlignment="1" applyProtection="1">
      <alignment horizontal="center" vertical="center"/>
      <protection locked="0"/>
    </xf>
    <xf numFmtId="171" fontId="13" fillId="3" borderId="50" xfId="4" applyNumberFormat="1" applyFont="1" applyFill="1" applyBorder="1" applyAlignment="1" applyProtection="1">
      <alignment vertical="center"/>
    </xf>
    <xf numFmtId="171" fontId="13" fillId="3" borderId="47" xfId="4" applyNumberFormat="1" applyFont="1" applyFill="1" applyBorder="1" applyAlignment="1" applyProtection="1">
      <alignment vertical="center"/>
    </xf>
    <xf numFmtId="165" fontId="13" fillId="3" borderId="79" xfId="0" applyNumberFormat="1" applyFont="1" applyFill="1" applyBorder="1" applyAlignment="1">
      <alignment horizontal="center" vertical="center"/>
    </xf>
    <xf numFmtId="9" fontId="13" fillId="6" borderId="76" xfId="2" applyFont="1" applyFill="1" applyBorder="1" applyAlignment="1" applyProtection="1">
      <alignment horizontal="center" vertical="center"/>
    </xf>
    <xf numFmtId="166" fontId="13" fillId="6" borderId="76" xfId="2" applyNumberFormat="1" applyFont="1" applyFill="1" applyBorder="1" applyAlignment="1" applyProtection="1">
      <alignment horizontal="center" vertical="center"/>
    </xf>
    <xf numFmtId="166" fontId="13" fillId="6" borderId="77" xfId="2" applyNumberFormat="1" applyFont="1" applyFill="1" applyBorder="1" applyAlignment="1" applyProtection="1">
      <alignment horizontal="center" vertical="center" wrapText="1"/>
    </xf>
    <xf numFmtId="0" fontId="21"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9" fillId="3" borderId="9" xfId="3" applyFont="1" applyFill="1" applyBorder="1" applyAlignment="1">
      <alignment horizontal="center" vertical="center" wrapText="1"/>
    </xf>
    <xf numFmtId="169" fontId="16" fillId="6" borderId="0" xfId="4" applyNumberFormat="1" applyFont="1" applyFill="1" applyBorder="1" applyAlignment="1" applyProtection="1">
      <alignment horizontal="center" vertical="center" wrapText="1"/>
    </xf>
    <xf numFmtId="169" fontId="16" fillId="6" borderId="10" xfId="4" applyNumberFormat="1" applyFont="1" applyFill="1" applyBorder="1" applyAlignment="1" applyProtection="1">
      <alignment horizontal="center" vertical="center" wrapText="1"/>
    </xf>
    <xf numFmtId="0" fontId="19" fillId="3" borderId="5" xfId="3" applyFont="1" applyFill="1" applyBorder="1" applyAlignment="1">
      <alignment horizontal="center" vertical="center" wrapText="1"/>
    </xf>
    <xf numFmtId="169" fontId="16" fillId="6" borderId="2" xfId="4" applyNumberFormat="1" applyFont="1" applyFill="1" applyBorder="1" applyAlignment="1" applyProtection="1">
      <alignment horizontal="center" vertical="center" wrapText="1"/>
    </xf>
    <xf numFmtId="169" fontId="24" fillId="6" borderId="2" xfId="4" applyNumberFormat="1" applyFont="1" applyFill="1" applyBorder="1" applyAlignment="1" applyProtection="1">
      <alignment horizontal="center" vertical="center"/>
    </xf>
    <xf numFmtId="169" fontId="24" fillId="6" borderId="3" xfId="4" applyNumberFormat="1" applyFont="1" applyFill="1" applyBorder="1" applyAlignment="1" applyProtection="1">
      <alignment horizontal="center" vertical="center"/>
    </xf>
    <xf numFmtId="0" fontId="16" fillId="7" borderId="0" xfId="3" applyFont="1" applyFill="1" applyAlignment="1">
      <alignment horizontal="center" vertical="center" wrapText="1"/>
    </xf>
    <xf numFmtId="0" fontId="14" fillId="3" borderId="6" xfId="0" applyFont="1" applyFill="1" applyBorder="1" applyAlignment="1">
      <alignment horizontal="center" vertical="center"/>
    </xf>
    <xf numFmtId="0" fontId="32" fillId="2" borderId="0" xfId="0" applyFont="1" applyFill="1" applyAlignment="1">
      <alignment horizontal="right" vertical="center" wrapText="1"/>
    </xf>
    <xf numFmtId="0" fontId="18" fillId="7" borderId="0" xfId="3" applyFont="1" applyFill="1" applyAlignment="1">
      <alignment horizontal="center" vertical="center" wrapText="1"/>
    </xf>
    <xf numFmtId="168" fontId="13" fillId="4" borderId="5" xfId="4" applyNumberFormat="1" applyFont="1" applyFill="1" applyBorder="1" applyAlignment="1" applyProtection="1">
      <alignment horizontal="center" vertical="center"/>
      <protection locked="0"/>
    </xf>
    <xf numFmtId="168" fontId="13" fillId="4" borderId="2" xfId="4" applyNumberFormat="1" applyFont="1" applyFill="1" applyBorder="1" applyAlignment="1" applyProtection="1">
      <alignment horizontal="center" vertical="center"/>
      <protection locked="0"/>
    </xf>
    <xf numFmtId="168" fontId="7" fillId="4" borderId="2" xfId="4" applyNumberFormat="1" applyFont="1" applyFill="1" applyBorder="1" applyAlignment="1" applyProtection="1">
      <alignment horizontal="center" vertical="center"/>
      <protection locked="0"/>
    </xf>
    <xf numFmtId="168" fontId="13" fillId="4" borderId="193" xfId="4" applyNumberFormat="1" applyFont="1" applyFill="1" applyBorder="1" applyAlignment="1" applyProtection="1">
      <alignment horizontal="center" vertical="center"/>
      <protection locked="0"/>
    </xf>
    <xf numFmtId="168" fontId="13" fillId="4" borderId="194" xfId="4" applyNumberFormat="1" applyFont="1" applyFill="1" applyBorder="1" applyAlignment="1" applyProtection="1">
      <alignment horizontal="center" vertical="center"/>
      <protection locked="0"/>
    </xf>
    <xf numFmtId="168" fontId="13" fillId="4" borderId="105" xfId="4" applyNumberFormat="1" applyFont="1" applyFill="1" applyBorder="1" applyAlignment="1" applyProtection="1">
      <alignment horizontal="center" vertical="center"/>
      <protection locked="0"/>
    </xf>
    <xf numFmtId="168" fontId="13" fillId="4" borderId="78" xfId="4" applyNumberFormat="1" applyFont="1" applyFill="1" applyBorder="1" applyAlignment="1" applyProtection="1">
      <alignment horizontal="center" vertical="center"/>
      <protection locked="0"/>
    </xf>
    <xf numFmtId="168" fontId="13" fillId="4" borderId="79" xfId="4" applyNumberFormat="1" applyFont="1" applyFill="1" applyBorder="1" applyAlignment="1" applyProtection="1">
      <alignment horizontal="center" vertical="center"/>
      <protection locked="0"/>
    </xf>
    <xf numFmtId="168" fontId="13" fillId="4" borderId="203" xfId="4" applyNumberFormat="1" applyFont="1" applyFill="1" applyBorder="1" applyAlignment="1" applyProtection="1">
      <alignment horizontal="center" vertical="center"/>
      <protection locked="0"/>
    </xf>
    <xf numFmtId="168" fontId="13" fillId="4" borderId="109" xfId="4" applyNumberFormat="1" applyFont="1" applyFill="1" applyBorder="1" applyAlignment="1" applyProtection="1">
      <alignment horizontal="center" vertical="center"/>
      <protection locked="0"/>
    </xf>
    <xf numFmtId="0" fontId="8" fillId="5" borderId="25" xfId="0" applyFont="1" applyFill="1" applyBorder="1" applyAlignment="1">
      <alignment horizontal="center" vertical="center" wrapText="1"/>
    </xf>
    <xf numFmtId="0" fontId="13" fillId="6" borderId="6" xfId="0" applyFont="1" applyFill="1" applyBorder="1" applyAlignment="1">
      <alignment horizontal="center" vertical="center" wrapText="1"/>
    </xf>
    <xf numFmtId="168" fontId="13" fillId="0" borderId="79" xfId="4" applyNumberFormat="1" applyFont="1" applyFill="1" applyBorder="1" applyAlignment="1" applyProtection="1">
      <alignment horizontal="center" vertical="center"/>
    </xf>
    <xf numFmtId="0" fontId="13" fillId="6" borderId="35" xfId="0" applyFont="1" applyFill="1" applyBorder="1" applyAlignment="1">
      <alignment horizontal="center" vertical="center"/>
    </xf>
    <xf numFmtId="0" fontId="13" fillId="6" borderId="38" xfId="0" applyFont="1" applyFill="1" applyBorder="1" applyAlignment="1">
      <alignment horizontal="center" vertical="center"/>
    </xf>
    <xf numFmtId="165" fontId="13" fillId="6" borderId="35" xfId="0" applyNumberFormat="1" applyFont="1" applyFill="1" applyBorder="1" applyAlignment="1">
      <alignment horizontal="center" vertical="center"/>
    </xf>
    <xf numFmtId="166" fontId="13" fillId="6" borderId="60" xfId="2" applyNumberFormat="1" applyFont="1" applyFill="1" applyBorder="1" applyAlignment="1" applyProtection="1">
      <alignment horizontal="center" vertical="center"/>
    </xf>
    <xf numFmtId="0" fontId="13" fillId="0" borderId="183" xfId="0" applyFont="1" applyBorder="1" applyAlignment="1">
      <alignment horizontal="center" vertical="center" wrapText="1"/>
    </xf>
    <xf numFmtId="171" fontId="4" fillId="0" borderId="87" xfId="4" applyNumberFormat="1" applyFont="1" applyFill="1" applyBorder="1" applyAlignment="1" applyProtection="1">
      <alignment vertical="center" wrapText="1"/>
    </xf>
    <xf numFmtId="171" fontId="13" fillId="8" borderId="77" xfId="4" applyNumberFormat="1" applyFont="1" applyFill="1" applyBorder="1" applyAlignment="1" applyProtection="1">
      <alignment vertical="center" wrapText="1"/>
      <protection locked="0"/>
    </xf>
    <xf numFmtId="171" fontId="50" fillId="0" borderId="88" xfId="4" applyNumberFormat="1" applyFont="1" applyFill="1" applyBorder="1" applyAlignment="1" applyProtection="1">
      <alignment vertical="center"/>
    </xf>
    <xf numFmtId="171" fontId="50" fillId="8" borderId="80" xfId="4" applyNumberFormat="1" applyFont="1" applyFill="1" applyBorder="1" applyAlignment="1" applyProtection="1">
      <alignment vertical="center"/>
      <protection locked="0"/>
    </xf>
    <xf numFmtId="171" fontId="4" fillId="0" borderId="123" xfId="4" applyNumberFormat="1" applyFont="1" applyFill="1" applyBorder="1" applyAlignment="1" applyProtection="1">
      <alignment vertical="center" wrapText="1"/>
    </xf>
    <xf numFmtId="171" fontId="13" fillId="8" borderId="125" xfId="4" applyNumberFormat="1" applyFont="1" applyFill="1" applyBorder="1" applyAlignment="1" applyProtection="1">
      <alignment vertical="center" wrapText="1"/>
      <protection locked="0"/>
    </xf>
    <xf numFmtId="171" fontId="50" fillId="0" borderId="96" xfId="4" applyNumberFormat="1" applyFont="1" applyFill="1" applyBorder="1" applyAlignment="1" applyProtection="1">
      <alignment vertical="center"/>
    </xf>
    <xf numFmtId="171" fontId="50" fillId="8" borderId="97" xfId="4" applyNumberFormat="1" applyFont="1" applyFill="1" applyBorder="1" applyAlignment="1" applyProtection="1">
      <alignment vertical="center"/>
      <protection locked="0"/>
    </xf>
    <xf numFmtId="171" fontId="50" fillId="8" borderId="83" xfId="4" applyNumberFormat="1" applyFont="1" applyFill="1" applyBorder="1" applyAlignment="1" applyProtection="1">
      <alignment vertical="center"/>
      <protection locked="0"/>
    </xf>
    <xf numFmtId="171" fontId="50" fillId="0" borderId="123" xfId="4" applyNumberFormat="1" applyFont="1" applyFill="1" applyBorder="1" applyAlignment="1" applyProtection="1">
      <alignment vertical="center"/>
    </xf>
    <xf numFmtId="171" fontId="50" fillId="8" borderId="125" xfId="4" applyNumberFormat="1" applyFont="1" applyFill="1" applyBorder="1" applyAlignment="1" applyProtection="1">
      <alignment vertical="center"/>
      <protection locked="0"/>
    </xf>
    <xf numFmtId="171" fontId="50" fillId="8" borderId="192" xfId="4" applyNumberFormat="1" applyFont="1" applyFill="1" applyBorder="1" applyAlignment="1" applyProtection="1">
      <alignment vertical="center"/>
      <protection locked="0"/>
    </xf>
    <xf numFmtId="168" fontId="4" fillId="0" borderId="75" xfId="4" applyNumberFormat="1" applyFont="1" applyFill="1" applyBorder="1" applyAlignment="1" applyProtection="1">
      <alignment horizontal="right" vertical="center" wrapText="1"/>
    </xf>
    <xf numFmtId="168" fontId="4" fillId="8" borderId="84" xfId="4" applyNumberFormat="1" applyFont="1" applyFill="1" applyBorder="1" applyAlignment="1" applyProtection="1">
      <alignment horizontal="right" vertical="center" wrapText="1"/>
      <protection locked="0"/>
    </xf>
    <xf numFmtId="168" fontId="4" fillId="0" borderId="89" xfId="4" applyNumberFormat="1" applyFont="1" applyFill="1" applyBorder="1" applyAlignment="1" applyProtection="1">
      <alignment horizontal="right" vertical="center" wrapText="1"/>
    </xf>
    <xf numFmtId="168" fontId="4" fillId="0" borderId="87" xfId="4" applyNumberFormat="1" applyFont="1" applyFill="1" applyBorder="1" applyAlignment="1" applyProtection="1">
      <alignment horizontal="right" vertical="center" wrapText="1"/>
    </xf>
    <xf numFmtId="168" fontId="4" fillId="8" borderId="90" xfId="4" applyNumberFormat="1" applyFont="1" applyFill="1" applyBorder="1" applyAlignment="1" applyProtection="1">
      <alignment horizontal="right" vertical="center" wrapText="1"/>
      <protection locked="0"/>
    </xf>
    <xf numFmtId="168" fontId="50" fillId="0" borderId="78" xfId="4" applyNumberFormat="1" applyFont="1" applyFill="1" applyBorder="1" applyAlignment="1" applyProtection="1">
      <alignment horizontal="right" vertical="center"/>
    </xf>
    <xf numFmtId="168" fontId="50" fillId="8" borderId="85" xfId="4" applyNumberFormat="1" applyFont="1" applyFill="1" applyBorder="1" applyAlignment="1" applyProtection="1">
      <alignment horizontal="right" vertical="center"/>
      <protection locked="0"/>
    </xf>
    <xf numFmtId="168" fontId="50" fillId="0" borderId="88" xfId="4" applyNumberFormat="1" applyFont="1" applyFill="1" applyBorder="1" applyAlignment="1" applyProtection="1">
      <alignment horizontal="right" vertical="center"/>
    </xf>
    <xf numFmtId="168" fontId="50" fillId="0" borderId="91" xfId="4" applyNumberFormat="1" applyFont="1" applyFill="1" applyBorder="1" applyAlignment="1" applyProtection="1">
      <alignment horizontal="right" vertical="center"/>
    </xf>
    <xf numFmtId="168" fontId="50" fillId="8" borderId="92" xfId="4" applyNumberFormat="1" applyFont="1" applyFill="1" applyBorder="1" applyAlignment="1" applyProtection="1">
      <alignment horizontal="right" vertical="center"/>
      <protection locked="0"/>
    </xf>
    <xf numFmtId="168" fontId="4" fillId="0" borderId="120" xfId="4" applyNumberFormat="1" applyFont="1" applyFill="1" applyBorder="1" applyAlignment="1" applyProtection="1">
      <alignment horizontal="right" vertical="center" wrapText="1"/>
    </xf>
    <xf numFmtId="168" fontId="4" fillId="8" borderId="121" xfId="4" applyNumberFormat="1" applyFont="1" applyFill="1" applyBorder="1" applyAlignment="1" applyProtection="1">
      <alignment horizontal="right" vertical="center" wrapText="1"/>
      <protection locked="0"/>
    </xf>
    <xf numFmtId="168" fontId="4" fillId="0" borderId="122" xfId="4" applyNumberFormat="1" applyFont="1" applyFill="1" applyBorder="1" applyAlignment="1" applyProtection="1">
      <alignment horizontal="right" vertical="center" wrapText="1"/>
    </xf>
    <xf numFmtId="168" fontId="4" fillId="0" borderId="123" xfId="4" applyNumberFormat="1" applyFont="1" applyFill="1" applyBorder="1" applyAlignment="1" applyProtection="1">
      <alignment horizontal="right" vertical="center" wrapText="1"/>
    </xf>
    <xf numFmtId="168" fontId="4" fillId="8" borderId="124" xfId="4" applyNumberFormat="1" applyFont="1" applyFill="1" applyBorder="1" applyAlignment="1" applyProtection="1">
      <alignment horizontal="right" vertical="center" wrapText="1"/>
      <protection locked="0"/>
    </xf>
    <xf numFmtId="168" fontId="50" fillId="0" borderId="94" xfId="4" applyNumberFormat="1" applyFont="1" applyFill="1" applyBorder="1" applyAlignment="1" applyProtection="1">
      <alignment horizontal="right" vertical="center"/>
    </xf>
    <xf numFmtId="168" fontId="50" fillId="8" borderId="95" xfId="4" applyNumberFormat="1" applyFont="1" applyFill="1" applyBorder="1" applyAlignment="1" applyProtection="1">
      <alignment horizontal="right" vertical="center"/>
      <protection locked="0"/>
    </xf>
    <xf numFmtId="168" fontId="50" fillId="0" borderId="96" xfId="4" applyNumberFormat="1" applyFont="1" applyFill="1" applyBorder="1" applyAlignment="1" applyProtection="1">
      <alignment horizontal="right" vertical="center"/>
    </xf>
    <xf numFmtId="168" fontId="50" fillId="0" borderId="184" xfId="4" applyNumberFormat="1" applyFont="1" applyFill="1" applyBorder="1" applyAlignment="1" applyProtection="1">
      <alignment horizontal="right" vertical="center"/>
    </xf>
    <xf numFmtId="168" fontId="50" fillId="8" borderId="185" xfId="4" applyNumberFormat="1" applyFont="1" applyFill="1" applyBorder="1" applyAlignment="1" applyProtection="1">
      <alignment horizontal="right" vertical="center"/>
      <protection locked="0"/>
    </xf>
    <xf numFmtId="168" fontId="50" fillId="8" borderId="86" xfId="4" applyNumberFormat="1" applyFont="1" applyFill="1" applyBorder="1" applyAlignment="1" applyProtection="1">
      <alignment horizontal="right" vertical="center"/>
      <protection locked="0"/>
    </xf>
    <xf numFmtId="168" fontId="50" fillId="8" borderId="93" xfId="4" applyNumberFormat="1" applyFont="1" applyFill="1" applyBorder="1" applyAlignment="1" applyProtection="1">
      <alignment horizontal="right" vertical="center"/>
      <protection locked="0"/>
    </xf>
    <xf numFmtId="168" fontId="50" fillId="0" borderId="120" xfId="4" applyNumberFormat="1" applyFont="1" applyFill="1" applyBorder="1" applyAlignment="1" applyProtection="1">
      <alignment horizontal="right" vertical="center"/>
    </xf>
    <xf numFmtId="168" fontId="50" fillId="8" borderId="121" xfId="4" applyNumberFormat="1" applyFont="1" applyFill="1" applyBorder="1" applyAlignment="1" applyProtection="1">
      <alignment horizontal="right" vertical="center"/>
      <protection locked="0"/>
    </xf>
    <xf numFmtId="168" fontId="50" fillId="0" borderId="123" xfId="4" applyNumberFormat="1" applyFont="1" applyFill="1" applyBorder="1" applyAlignment="1" applyProtection="1">
      <alignment horizontal="right" vertical="center"/>
    </xf>
    <xf numFmtId="168" fontId="50" fillId="0" borderId="122" xfId="4" applyNumberFormat="1" applyFont="1" applyFill="1" applyBorder="1" applyAlignment="1" applyProtection="1">
      <alignment horizontal="right" vertical="center"/>
    </xf>
    <xf numFmtId="168" fontId="50" fillId="8" borderId="124" xfId="4" applyNumberFormat="1" applyFont="1" applyFill="1" applyBorder="1" applyAlignment="1" applyProtection="1">
      <alignment horizontal="right" vertical="center"/>
      <protection locked="0"/>
    </xf>
    <xf numFmtId="168" fontId="50" fillId="8" borderId="190" xfId="4" applyNumberFormat="1" applyFont="1" applyFill="1" applyBorder="1" applyAlignment="1" applyProtection="1">
      <alignment horizontal="right" vertical="center"/>
      <protection locked="0"/>
    </xf>
    <xf numFmtId="168" fontId="50" fillId="8" borderId="191" xfId="4" applyNumberFormat="1" applyFont="1" applyFill="1" applyBorder="1" applyAlignment="1" applyProtection="1">
      <alignment horizontal="right" vertical="center"/>
      <protection locked="0"/>
    </xf>
    <xf numFmtId="168" fontId="4" fillId="0" borderId="91" xfId="4" applyNumberFormat="1" applyFont="1" applyFill="1" applyBorder="1" applyAlignment="1" applyProtection="1">
      <alignment horizontal="right" vertical="center" wrapText="1"/>
    </xf>
    <xf numFmtId="168" fontId="4" fillId="0" borderId="134" xfId="4" applyNumberFormat="1" applyFont="1" applyFill="1" applyBorder="1" applyAlignment="1" applyProtection="1">
      <alignment horizontal="right" vertical="center" wrapText="1"/>
    </xf>
    <xf numFmtId="166" fontId="13" fillId="6" borderId="45" xfId="2" applyNumberFormat="1" applyFont="1" applyFill="1" applyBorder="1" applyAlignment="1" applyProtection="1">
      <alignment horizontal="center" vertical="center"/>
    </xf>
    <xf numFmtId="0" fontId="22" fillId="7" borderId="0" xfId="3" applyFont="1" applyFill="1" applyAlignment="1">
      <alignment horizontal="center" vertical="center"/>
    </xf>
    <xf numFmtId="0" fontId="29" fillId="7" borderId="0" xfId="0" applyFont="1" applyFill="1" applyAlignment="1">
      <alignment horizontal="center" vertical="center" wrapText="1"/>
    </xf>
    <xf numFmtId="0" fontId="13" fillId="6" borderId="1" xfId="0" applyFont="1" applyFill="1" applyBorder="1" applyAlignment="1">
      <alignment horizontal="center" vertical="center"/>
    </xf>
    <xf numFmtId="0" fontId="30" fillId="7" borderId="0" xfId="0" applyFont="1" applyFill="1" applyAlignment="1">
      <alignment horizontal="center" vertical="center" wrapText="1"/>
    </xf>
    <xf numFmtId="0" fontId="22" fillId="2" borderId="0" xfId="0" applyFont="1" applyFill="1" applyAlignment="1">
      <alignment horizontal="center" vertical="center"/>
    </xf>
    <xf numFmtId="0" fontId="22" fillId="2" borderId="0" xfId="0" applyFont="1" applyFill="1"/>
    <xf numFmtId="0" fontId="4" fillId="3" borderId="12" xfId="0" applyFont="1" applyFill="1" applyBorder="1" applyAlignment="1">
      <alignment horizontal="center" vertical="center"/>
    </xf>
    <xf numFmtId="168" fontId="13" fillId="3" borderId="131" xfId="4" applyNumberFormat="1" applyFont="1" applyFill="1" applyBorder="1" applyAlignment="1" applyProtection="1">
      <alignment horizontal="center" vertical="center"/>
    </xf>
    <xf numFmtId="165" fontId="13" fillId="0" borderId="131" xfId="4" applyNumberFormat="1" applyFont="1" applyFill="1" applyBorder="1" applyAlignment="1" applyProtection="1">
      <alignment horizontal="center" vertical="center"/>
    </xf>
    <xf numFmtId="0" fontId="4" fillId="3" borderId="13" xfId="0" applyFont="1" applyFill="1" applyBorder="1" applyAlignment="1">
      <alignment horizontal="center" vertical="center"/>
    </xf>
    <xf numFmtId="165" fontId="13" fillId="3" borderId="79" xfId="4" applyNumberFormat="1" applyFont="1" applyFill="1" applyBorder="1" applyAlignment="1" applyProtection="1">
      <alignment horizontal="center" vertical="center"/>
    </xf>
    <xf numFmtId="0" fontId="4" fillId="3" borderId="17" xfId="0" applyFont="1" applyFill="1" applyBorder="1" applyAlignment="1">
      <alignment horizontal="center" vertical="center"/>
    </xf>
    <xf numFmtId="0" fontId="4" fillId="3" borderId="19" xfId="0" applyFont="1" applyFill="1" applyBorder="1" applyAlignment="1">
      <alignment horizontal="center" vertical="center"/>
    </xf>
    <xf numFmtId="168" fontId="13" fillId="3" borderId="198" xfId="4" applyNumberFormat="1" applyFont="1" applyFill="1" applyBorder="1" applyAlignment="1" applyProtection="1">
      <alignment horizontal="center" vertical="center"/>
    </xf>
    <xf numFmtId="165" fontId="13" fillId="3" borderId="198" xfId="0" applyNumberFormat="1" applyFont="1" applyFill="1" applyBorder="1" applyAlignment="1">
      <alignment horizontal="center" vertical="center"/>
    </xf>
    <xf numFmtId="0" fontId="13" fillId="6" borderId="5" xfId="3" applyFont="1" applyFill="1" applyBorder="1" applyAlignment="1">
      <alignment horizontal="right" vertical="center"/>
    </xf>
    <xf numFmtId="0" fontId="13" fillId="6" borderId="2" xfId="3" applyFont="1" applyFill="1" applyBorder="1" applyAlignment="1">
      <alignment horizontal="right" vertical="center"/>
    </xf>
    <xf numFmtId="0" fontId="17" fillId="6" borderId="2" xfId="3" applyFont="1" applyFill="1" applyBorder="1" applyAlignment="1">
      <alignment horizontal="right" vertical="center"/>
    </xf>
    <xf numFmtId="0" fontId="13" fillId="6" borderId="3" xfId="0" applyFont="1" applyFill="1" applyBorder="1" applyAlignment="1">
      <alignment horizontal="right" vertical="center"/>
    </xf>
    <xf numFmtId="0" fontId="13" fillId="6" borderId="1" xfId="0" applyFont="1" applyFill="1" applyBorder="1" applyAlignment="1">
      <alignment horizontal="center" vertical="center" wrapText="1"/>
    </xf>
    <xf numFmtId="0" fontId="10" fillId="5" borderId="20" xfId="0" applyFont="1" applyFill="1" applyBorder="1" applyAlignment="1">
      <alignment horizontal="center" vertical="center"/>
    </xf>
    <xf numFmtId="168" fontId="13" fillId="6" borderId="199" xfId="4" applyNumberFormat="1" applyFont="1" applyFill="1" applyBorder="1" applyAlignment="1" applyProtection="1">
      <alignment vertical="center"/>
    </xf>
    <xf numFmtId="168" fontId="13" fillId="6" borderId="174" xfId="4" applyNumberFormat="1" applyFont="1" applyFill="1" applyBorder="1" applyAlignment="1" applyProtection="1">
      <alignment vertical="center"/>
    </xf>
    <xf numFmtId="0" fontId="10" fillId="5" borderId="4" xfId="0" applyFont="1" applyFill="1" applyBorder="1" applyAlignment="1">
      <alignment horizontal="center" vertical="center"/>
    </xf>
    <xf numFmtId="168" fontId="13" fillId="6" borderId="195" xfId="4" applyNumberFormat="1" applyFont="1" applyFill="1" applyBorder="1" applyAlignment="1" applyProtection="1">
      <alignment vertical="center"/>
    </xf>
    <xf numFmtId="0" fontId="30" fillId="7" borderId="9" xfId="0" applyFont="1" applyFill="1" applyBorder="1" applyAlignment="1">
      <alignment horizontal="center" vertical="center" wrapText="1"/>
    </xf>
    <xf numFmtId="0" fontId="54" fillId="2" borderId="0" xfId="3" applyFont="1" applyFill="1" applyAlignment="1">
      <alignment horizontal="center" vertical="center"/>
    </xf>
    <xf numFmtId="0" fontId="51" fillId="2" borderId="0" xfId="0" applyFont="1" applyFill="1"/>
    <xf numFmtId="168" fontId="22" fillId="2" borderId="0" xfId="0" applyNumberFormat="1" applyFont="1" applyFill="1"/>
    <xf numFmtId="0" fontId="4" fillId="3" borderId="24" xfId="0" applyFont="1" applyFill="1" applyBorder="1" applyAlignment="1">
      <alignment horizontal="center" vertical="center"/>
    </xf>
    <xf numFmtId="165" fontId="13" fillId="3" borderId="76" xfId="0" applyNumberFormat="1" applyFont="1" applyFill="1" applyBorder="1" applyAlignment="1">
      <alignment horizontal="center" vertical="center"/>
    </xf>
    <xf numFmtId="0" fontId="4" fillId="3" borderId="16" xfId="0" applyFont="1" applyFill="1" applyBorder="1" applyAlignment="1">
      <alignment horizontal="center" vertical="center"/>
    </xf>
    <xf numFmtId="165" fontId="13" fillId="3" borderId="131" xfId="0" applyNumberFormat="1" applyFont="1" applyFill="1" applyBorder="1" applyAlignment="1">
      <alignment horizontal="center" vertical="center"/>
    </xf>
    <xf numFmtId="0" fontId="30" fillId="2" borderId="0" xfId="0" applyFont="1" applyFill="1" applyAlignment="1">
      <alignment horizontal="center" vertical="center" wrapText="1"/>
    </xf>
    <xf numFmtId="168" fontId="13" fillId="6" borderId="209" xfId="4" applyNumberFormat="1" applyFont="1" applyFill="1" applyBorder="1" applyAlignment="1" applyProtection="1">
      <alignment vertical="center"/>
    </xf>
    <xf numFmtId="168" fontId="13" fillId="6" borderId="210" xfId="4" applyNumberFormat="1" applyFont="1" applyFill="1" applyBorder="1" applyAlignment="1" applyProtection="1">
      <alignment vertical="center"/>
    </xf>
    <xf numFmtId="168" fontId="13" fillId="6" borderId="215" xfId="4" applyNumberFormat="1" applyFont="1" applyFill="1" applyBorder="1" applyAlignment="1" applyProtection="1">
      <alignment vertical="center"/>
    </xf>
    <xf numFmtId="0" fontId="4" fillId="3" borderId="14" xfId="0" applyFont="1" applyFill="1" applyBorder="1" applyAlignment="1">
      <alignment horizontal="center" vertical="center"/>
    </xf>
    <xf numFmtId="168" fontId="13" fillId="3" borderId="76" xfId="4" applyNumberFormat="1" applyFont="1" applyFill="1" applyBorder="1" applyAlignment="1" applyProtection="1">
      <alignment horizontal="center" vertical="center"/>
    </xf>
    <xf numFmtId="168" fontId="13" fillId="3" borderId="82" xfId="4" applyNumberFormat="1" applyFont="1" applyFill="1" applyBorder="1" applyAlignment="1" applyProtection="1">
      <alignment horizontal="center" vertical="center"/>
    </xf>
    <xf numFmtId="165" fontId="13" fillId="3" borderId="82" xfId="0" applyNumberFormat="1" applyFont="1" applyFill="1" applyBorder="1" applyAlignment="1">
      <alignment horizontal="center" vertical="center"/>
    </xf>
    <xf numFmtId="168" fontId="13" fillId="3" borderId="76" xfId="4" applyNumberFormat="1" applyFont="1" applyFill="1" applyBorder="1" applyAlignment="1" applyProtection="1">
      <alignment vertical="center"/>
    </xf>
    <xf numFmtId="168" fontId="13" fillId="3" borderId="82" xfId="4" applyNumberFormat="1" applyFont="1" applyFill="1" applyBorder="1" applyAlignment="1" applyProtection="1">
      <alignment vertical="center"/>
    </xf>
    <xf numFmtId="165" fontId="13" fillId="3" borderId="76" xfId="0" applyNumberFormat="1" applyFont="1" applyFill="1" applyBorder="1" applyAlignment="1" applyProtection="1">
      <alignment horizontal="center" vertical="center"/>
      <protection locked="0"/>
    </xf>
    <xf numFmtId="166" fontId="10" fillId="3" borderId="80" xfId="2" applyNumberFormat="1" applyFont="1" applyFill="1" applyBorder="1" applyAlignment="1" applyProtection="1">
      <alignment horizontal="center" vertical="center"/>
      <protection locked="0"/>
    </xf>
    <xf numFmtId="0" fontId="59" fillId="0" borderId="110" xfId="0" applyFont="1" applyBorder="1" applyAlignment="1">
      <alignment horizontal="center"/>
    </xf>
    <xf numFmtId="0" fontId="59" fillId="0" borderId="0" xfId="0" applyFont="1" applyAlignment="1">
      <alignment horizontal="center"/>
    </xf>
    <xf numFmtId="0" fontId="59" fillId="0" borderId="111" xfId="0" applyFont="1" applyBorder="1" applyAlignment="1">
      <alignment horizontal="center"/>
    </xf>
    <xf numFmtId="0" fontId="0" fillId="0" borderId="110" xfId="0" applyBorder="1"/>
    <xf numFmtId="0" fontId="0" fillId="0" borderId="112" xfId="0" applyBorder="1"/>
    <xf numFmtId="168" fontId="13" fillId="3" borderId="79" xfId="0" applyNumberFormat="1" applyFont="1" applyFill="1" applyBorder="1" applyAlignment="1">
      <alignment horizontal="center" vertical="center"/>
    </xf>
    <xf numFmtId="168" fontId="13" fillId="3" borderId="117" xfId="4" applyNumberFormat="1" applyFont="1" applyFill="1" applyBorder="1" applyAlignment="1" applyProtection="1">
      <alignment horizontal="center" vertical="center"/>
    </xf>
    <xf numFmtId="168" fontId="13" fillId="3" borderId="197" xfId="4" applyNumberFormat="1" applyFont="1" applyFill="1" applyBorder="1" applyAlignment="1" applyProtection="1">
      <alignment horizontal="center" vertical="center"/>
    </xf>
    <xf numFmtId="168" fontId="13" fillId="0" borderId="78" xfId="4" applyNumberFormat="1" applyFont="1" applyFill="1" applyBorder="1" applyAlignment="1" applyProtection="1">
      <alignment horizontal="center" vertical="center"/>
    </xf>
    <xf numFmtId="168" fontId="13" fillId="3" borderId="204" xfId="4" applyNumberFormat="1" applyFont="1" applyFill="1" applyBorder="1" applyAlignment="1" applyProtection="1">
      <alignment horizontal="center" vertical="center"/>
    </xf>
    <xf numFmtId="168" fontId="13" fillId="0" borderId="103" xfId="4" applyNumberFormat="1" applyFont="1" applyFill="1" applyBorder="1" applyAlignment="1" applyProtection="1">
      <alignment horizontal="center" vertical="center"/>
    </xf>
    <xf numFmtId="168" fontId="13" fillId="6" borderId="204" xfId="4" applyNumberFormat="1" applyFont="1" applyFill="1" applyBorder="1" applyAlignment="1" applyProtection="1">
      <alignment horizontal="center" vertical="center"/>
    </xf>
    <xf numFmtId="168" fontId="13" fillId="3" borderId="75" xfId="4" applyNumberFormat="1" applyFont="1" applyFill="1" applyBorder="1" applyAlignment="1" applyProtection="1">
      <alignment horizontal="center" vertical="center"/>
    </xf>
    <xf numFmtId="168" fontId="13" fillId="3" borderId="81" xfId="4" applyNumberFormat="1" applyFont="1" applyFill="1" applyBorder="1" applyAlignment="1" applyProtection="1">
      <alignment horizontal="center" vertical="center"/>
    </xf>
    <xf numFmtId="0" fontId="4" fillId="2" borderId="9" xfId="3" applyFont="1" applyFill="1" applyBorder="1" applyAlignment="1">
      <alignment horizontal="center" vertical="center"/>
    </xf>
    <xf numFmtId="0" fontId="4" fillId="2" borderId="5" xfId="3" applyFont="1" applyFill="1" applyBorder="1" applyAlignment="1">
      <alignment horizontal="center" vertical="center"/>
    </xf>
    <xf numFmtId="0" fontId="10" fillId="5" borderId="1" xfId="3" applyFont="1" applyFill="1" applyBorder="1" applyAlignment="1">
      <alignment horizontal="center" vertical="center" wrapText="1"/>
    </xf>
    <xf numFmtId="171" fontId="0" fillId="0" borderId="113" xfId="1" applyNumberFormat="1" applyFont="1" applyBorder="1" applyProtection="1"/>
    <xf numFmtId="171" fontId="0" fillId="0" borderId="28" xfId="0" applyNumberFormat="1" applyBorder="1"/>
    <xf numFmtId="171" fontId="60" fillId="0" borderId="0" xfId="0" applyNumberFormat="1" applyFont="1"/>
    <xf numFmtId="171" fontId="60" fillId="0" borderId="111" xfId="0" applyNumberFormat="1" applyFont="1" applyBorder="1"/>
    <xf numFmtId="171" fontId="60" fillId="0" borderId="113" xfId="0" applyNumberFormat="1" applyFont="1" applyBorder="1"/>
    <xf numFmtId="171" fontId="60" fillId="0" borderId="28" xfId="0" applyNumberFormat="1" applyFont="1" applyBorder="1"/>
    <xf numFmtId="165" fontId="13" fillId="3" borderId="173" xfId="0" applyNumberFormat="1" applyFont="1" applyFill="1" applyBorder="1" applyAlignment="1">
      <alignment horizontal="center" vertical="center"/>
    </xf>
    <xf numFmtId="165" fontId="13" fillId="3" borderId="131" xfId="0" applyNumberFormat="1" applyFont="1" applyFill="1" applyBorder="1" applyAlignment="1">
      <alignment horizontal="center" vertical="center"/>
    </xf>
    <xf numFmtId="165" fontId="13" fillId="3" borderId="195" xfId="0" applyNumberFormat="1" applyFont="1" applyFill="1" applyBorder="1" applyAlignment="1">
      <alignment horizontal="center" vertical="center"/>
    </xf>
    <xf numFmtId="165" fontId="13" fillId="3" borderId="194" xfId="0" applyNumberFormat="1" applyFont="1" applyFill="1" applyBorder="1" applyAlignment="1">
      <alignment horizontal="center" vertical="center"/>
    </xf>
    <xf numFmtId="165" fontId="4" fillId="3" borderId="35" xfId="0" applyNumberFormat="1" applyFont="1" applyFill="1" applyBorder="1" applyAlignment="1">
      <alignment horizontal="center" vertical="center"/>
    </xf>
    <xf numFmtId="165" fontId="4" fillId="3" borderId="36" xfId="0" applyNumberFormat="1" applyFont="1" applyFill="1" applyBorder="1" applyAlignment="1">
      <alignment horizontal="center" vertical="center" wrapText="1"/>
    </xf>
    <xf numFmtId="0" fontId="4" fillId="3" borderId="40" xfId="0" applyFont="1" applyFill="1" applyBorder="1" applyAlignment="1">
      <alignment horizontal="center" vertical="center" wrapText="1"/>
    </xf>
    <xf numFmtId="0" fontId="4" fillId="3" borderId="41" xfId="0" applyFont="1" applyFill="1" applyBorder="1" applyAlignment="1">
      <alignment horizontal="center" vertical="center"/>
    </xf>
    <xf numFmtId="167" fontId="4" fillId="3" borderId="42" xfId="0" applyNumberFormat="1" applyFont="1" applyFill="1" applyBorder="1" applyAlignment="1">
      <alignment horizontal="center" vertical="center" wrapText="1"/>
    </xf>
    <xf numFmtId="0" fontId="4" fillId="3" borderId="62" xfId="0" applyFont="1" applyFill="1" applyBorder="1" applyAlignment="1">
      <alignment horizontal="center" vertical="center" wrapText="1"/>
    </xf>
    <xf numFmtId="0" fontId="4" fillId="3" borderId="63" xfId="0" applyFont="1" applyFill="1" applyBorder="1" applyAlignment="1">
      <alignment horizontal="center" vertical="center" wrapText="1"/>
    </xf>
    <xf numFmtId="167" fontId="4" fillId="3" borderId="70" xfId="0" applyNumberFormat="1" applyFont="1" applyFill="1" applyBorder="1" applyAlignment="1">
      <alignment horizontal="center" vertical="center" wrapText="1"/>
    </xf>
    <xf numFmtId="166" fontId="4" fillId="3" borderId="62" xfId="2" applyNumberFormat="1" applyFont="1" applyFill="1" applyBorder="1" applyAlignment="1" applyProtection="1">
      <alignment horizontal="center" vertical="center" wrapText="1"/>
    </xf>
    <xf numFmtId="166" fontId="4" fillId="3" borderId="63" xfId="2" applyNumberFormat="1" applyFont="1" applyFill="1" applyBorder="1" applyAlignment="1" applyProtection="1">
      <alignment horizontal="center" vertical="center" wrapText="1"/>
    </xf>
    <xf numFmtId="166" fontId="4" fillId="3" borderId="70" xfId="2" applyNumberFormat="1" applyFont="1" applyFill="1" applyBorder="1" applyAlignment="1" applyProtection="1">
      <alignment horizontal="center" vertical="center" wrapText="1"/>
    </xf>
    <xf numFmtId="165" fontId="4" fillId="3" borderId="99" xfId="0" applyNumberFormat="1" applyFont="1" applyFill="1" applyBorder="1" applyAlignment="1">
      <alignment horizontal="center" vertical="center"/>
    </xf>
    <xf numFmtId="168" fontId="13" fillId="6" borderId="133" xfId="4" applyNumberFormat="1" applyFont="1" applyFill="1" applyBorder="1" applyAlignment="1" applyProtection="1">
      <alignment horizontal="center" vertical="center"/>
    </xf>
    <xf numFmtId="168" fontId="13" fillId="6" borderId="135" xfId="4" applyNumberFormat="1" applyFont="1" applyFill="1" applyBorder="1" applyAlignment="1" applyProtection="1">
      <alignment horizontal="center" vertical="center"/>
    </xf>
    <xf numFmtId="168" fontId="13" fillId="6" borderId="212" xfId="4" applyNumberFormat="1" applyFont="1" applyFill="1" applyBorder="1" applyAlignment="1" applyProtection="1">
      <alignment horizontal="center" vertical="center"/>
    </xf>
    <xf numFmtId="168" fontId="13" fillId="6" borderId="214" xfId="4" applyNumberFormat="1" applyFont="1" applyFill="1" applyBorder="1" applyAlignment="1" applyProtection="1">
      <alignment horizontal="center" vertical="center"/>
    </xf>
    <xf numFmtId="168" fontId="13" fillId="6" borderId="209" xfId="4" applyNumberFormat="1" applyFont="1" applyFill="1" applyBorder="1" applyAlignment="1" applyProtection="1">
      <alignment horizontal="center" vertical="center"/>
    </xf>
    <xf numFmtId="168" fontId="13" fillId="6" borderId="215" xfId="4" applyNumberFormat="1" applyFont="1" applyFill="1" applyBorder="1" applyAlignment="1" applyProtection="1">
      <alignment horizontal="center" vertical="center"/>
    </xf>
    <xf numFmtId="166" fontId="13" fillId="6" borderId="42" xfId="2" applyNumberFormat="1" applyFont="1" applyFill="1" applyBorder="1" applyAlignment="1" applyProtection="1">
      <alignment horizontal="center" vertical="center"/>
    </xf>
    <xf numFmtId="168" fontId="13" fillId="0" borderId="197" xfId="4" applyNumberFormat="1" applyFont="1" applyFill="1" applyBorder="1" applyAlignment="1" applyProtection="1">
      <alignment horizontal="center" vertical="center"/>
    </xf>
    <xf numFmtId="166" fontId="10" fillId="3" borderId="196" xfId="2" applyNumberFormat="1" applyFont="1" applyFill="1" applyBorder="1" applyAlignment="1" applyProtection="1">
      <alignment horizontal="center" vertical="center"/>
      <protection locked="0"/>
    </xf>
    <xf numFmtId="168" fontId="13" fillId="4" borderId="81" xfId="4" applyNumberFormat="1" applyFont="1" applyFill="1" applyBorder="1" applyAlignment="1" applyProtection="1">
      <alignment horizontal="center" vertical="center"/>
      <protection locked="0"/>
    </xf>
    <xf numFmtId="168" fontId="13" fillId="4" borderId="82" xfId="4" applyNumberFormat="1" applyFont="1" applyFill="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168" fontId="13" fillId="3" borderId="103" xfId="4" applyNumberFormat="1" applyFont="1" applyFill="1" applyBorder="1" applyAlignment="1" applyProtection="1">
      <alignment horizontal="center" vertical="center"/>
    </xf>
    <xf numFmtId="0" fontId="59" fillId="0" borderId="0" xfId="0" applyFont="1" applyBorder="1" applyAlignment="1">
      <alignment horizontal="center"/>
    </xf>
    <xf numFmtId="0" fontId="0" fillId="0" borderId="0" xfId="0" applyBorder="1"/>
    <xf numFmtId="0" fontId="0" fillId="0" borderId="0" xfId="0" applyBorder="1" applyAlignment="1">
      <alignment wrapText="1"/>
    </xf>
    <xf numFmtId="0" fontId="28" fillId="2" borderId="0" xfId="0" applyFont="1" applyFill="1" applyBorder="1" applyAlignment="1">
      <alignment horizontal="center" vertical="center" readingOrder="2"/>
    </xf>
    <xf numFmtId="168" fontId="13" fillId="4" borderId="217" xfId="4" applyNumberFormat="1" applyFont="1" applyFill="1" applyBorder="1" applyAlignment="1" applyProtection="1">
      <alignment horizontal="center" vertical="center"/>
      <protection locked="0"/>
    </xf>
    <xf numFmtId="168" fontId="13" fillId="4" borderId="195" xfId="4" applyNumberFormat="1" applyFont="1" applyFill="1" applyBorder="1" applyAlignment="1" applyProtection="1">
      <alignment horizontal="center" vertical="center"/>
      <protection locked="0"/>
    </xf>
    <xf numFmtId="168" fontId="13" fillId="0" borderId="9" xfId="4" applyNumberFormat="1" applyFont="1" applyFill="1" applyBorder="1" applyAlignment="1" applyProtection="1">
      <alignment horizontal="center" vertical="center"/>
      <protection locked="0"/>
    </xf>
    <xf numFmtId="168" fontId="17" fillId="0" borderId="0" xfId="4" applyNumberFormat="1" applyFont="1" applyFill="1" applyBorder="1" applyAlignment="1" applyProtection="1">
      <alignment horizontal="center" vertical="center"/>
      <protection locked="0"/>
    </xf>
    <xf numFmtId="168" fontId="13" fillId="0" borderId="0" xfId="4" applyNumberFormat="1" applyFont="1" applyFill="1" applyBorder="1" applyAlignment="1" applyProtection="1">
      <alignment horizontal="center" vertical="center"/>
      <protection locked="0"/>
    </xf>
    <xf numFmtId="168" fontId="7" fillId="0" borderId="0" xfId="4" applyNumberFormat="1" applyFont="1" applyFill="1" applyBorder="1" applyAlignment="1" applyProtection="1">
      <alignment horizontal="center" vertical="center"/>
      <protection locked="0"/>
    </xf>
    <xf numFmtId="168" fontId="13" fillId="0" borderId="204" xfId="4" applyNumberFormat="1" applyFont="1" applyFill="1" applyBorder="1" applyAlignment="1" applyProtection="1">
      <alignment horizontal="center" vertical="center"/>
      <protection locked="0"/>
    </xf>
    <xf numFmtId="0" fontId="13" fillId="6" borderId="6" xfId="0" applyFont="1" applyFill="1" applyBorder="1" applyAlignment="1">
      <alignment horizontal="center" vertical="center" wrapText="1"/>
    </xf>
    <xf numFmtId="168" fontId="13" fillId="4" borderId="2" xfId="4" applyNumberFormat="1" applyFont="1" applyFill="1" applyBorder="1" applyAlignment="1" applyProtection="1">
      <alignment horizontal="center" vertical="center"/>
      <protection locked="0"/>
    </xf>
    <xf numFmtId="0" fontId="55" fillId="3" borderId="20" xfId="5" applyFont="1" applyFill="1" applyBorder="1" applyAlignment="1">
      <alignment horizontal="center" vertical="center" wrapText="1"/>
    </xf>
    <xf numFmtId="0" fontId="55" fillId="3" borderId="31" xfId="5" applyFont="1" applyFill="1" applyBorder="1" applyAlignment="1">
      <alignment horizontal="center" vertical="center" wrapText="1"/>
    </xf>
    <xf numFmtId="166" fontId="13" fillId="6" borderId="68" xfId="2" applyNumberFormat="1" applyFont="1" applyFill="1" applyBorder="1" applyAlignment="1" applyProtection="1">
      <alignment horizontal="center" vertical="center"/>
    </xf>
    <xf numFmtId="0" fontId="13" fillId="3" borderId="66" xfId="0" applyFont="1" applyFill="1" applyBorder="1" applyAlignment="1">
      <alignment horizontal="center" vertical="center"/>
    </xf>
    <xf numFmtId="0" fontId="13" fillId="3" borderId="64" xfId="0" applyFont="1" applyFill="1" applyBorder="1" applyAlignment="1">
      <alignment horizontal="center" vertical="center"/>
    </xf>
    <xf numFmtId="0" fontId="59" fillId="0" borderId="116" xfId="0" applyFont="1" applyBorder="1" applyAlignment="1">
      <alignment horizontal="center"/>
    </xf>
    <xf numFmtId="0" fontId="0" fillId="0" borderId="127" xfId="0" applyBorder="1"/>
    <xf numFmtId="0" fontId="0" fillId="0" borderId="115" xfId="0" applyBorder="1"/>
    <xf numFmtId="0" fontId="13" fillId="0" borderId="72" xfId="0" quotePrefix="1" applyFont="1" applyBorder="1" applyAlignment="1">
      <alignment horizontal="center" vertical="center" wrapText="1"/>
    </xf>
    <xf numFmtId="0" fontId="55" fillId="3" borderId="32" xfId="5" applyFont="1" applyFill="1" applyBorder="1" applyAlignment="1">
      <alignment horizontal="center" vertical="center"/>
    </xf>
    <xf numFmtId="167" fontId="13" fillId="3" borderId="71" xfId="0" applyNumberFormat="1" applyFont="1" applyFill="1" applyBorder="1" applyAlignment="1">
      <alignment horizontal="center" vertical="center"/>
    </xf>
    <xf numFmtId="167" fontId="13" fillId="3" borderId="71" xfId="2" applyNumberFormat="1" applyFont="1" applyFill="1" applyBorder="1" applyAlignment="1" applyProtection="1">
      <alignment horizontal="center" vertical="center"/>
    </xf>
    <xf numFmtId="166" fontId="13" fillId="6" borderId="172" xfId="2" applyNumberFormat="1" applyFont="1" applyFill="1" applyBorder="1" applyAlignment="1" applyProtection="1">
      <alignment horizontal="center" vertical="center" wrapText="1"/>
    </xf>
    <xf numFmtId="0" fontId="13" fillId="6" borderId="60" xfId="0" applyFont="1" applyFill="1" applyBorder="1" applyAlignment="1">
      <alignment horizontal="center" vertical="center"/>
    </xf>
    <xf numFmtId="166" fontId="13" fillId="6" borderId="61" xfId="2" applyNumberFormat="1" applyFont="1" applyFill="1" applyBorder="1" applyAlignment="1" applyProtection="1">
      <alignment horizontal="center" vertical="center"/>
    </xf>
    <xf numFmtId="0" fontId="4" fillId="3" borderId="20" xfId="0" applyFont="1" applyFill="1" applyBorder="1" applyAlignment="1">
      <alignment horizontal="center" vertical="center"/>
    </xf>
    <xf numFmtId="165" fontId="13" fillId="4" borderId="174" xfId="0" applyNumberFormat="1" applyFont="1" applyFill="1" applyBorder="1" applyAlignment="1" applyProtection="1">
      <alignment horizontal="center" vertical="center"/>
      <protection locked="0"/>
    </xf>
    <xf numFmtId="165" fontId="13" fillId="4" borderId="195" xfId="0" applyNumberFormat="1" applyFont="1" applyFill="1" applyBorder="1" applyAlignment="1" applyProtection="1">
      <alignment horizontal="center" vertical="center"/>
      <protection locked="0"/>
    </xf>
    <xf numFmtId="168" fontId="13" fillId="0" borderId="197" xfId="4" applyNumberFormat="1" applyFont="1" applyFill="1" applyBorder="1" applyAlignment="1" applyProtection="1">
      <alignment horizontal="center" vertical="center"/>
      <protection locked="0"/>
    </xf>
    <xf numFmtId="168" fontId="13" fillId="0" borderId="218" xfId="4" applyNumberFormat="1" applyFont="1" applyFill="1" applyBorder="1" applyAlignment="1" applyProtection="1">
      <alignment horizontal="center" vertical="center"/>
      <protection locked="0"/>
    </xf>
    <xf numFmtId="165" fontId="13" fillId="0" borderId="174" xfId="0" applyNumberFormat="1" applyFont="1" applyFill="1" applyBorder="1" applyAlignment="1" applyProtection="1">
      <alignment horizontal="center" vertical="center"/>
      <protection locked="0"/>
    </xf>
    <xf numFmtId="165" fontId="13" fillId="0" borderId="199" xfId="0" applyNumberFormat="1" applyFont="1" applyFill="1" applyBorder="1" applyAlignment="1" applyProtection="1">
      <alignment horizontal="center" vertical="center"/>
      <protection locked="0"/>
    </xf>
    <xf numFmtId="166" fontId="13" fillId="3" borderId="222" xfId="2" applyNumberFormat="1" applyFont="1" applyFill="1" applyBorder="1" applyAlignment="1" applyProtection="1">
      <alignment horizontal="center" vertical="center"/>
    </xf>
    <xf numFmtId="166" fontId="13" fillId="3" borderId="223" xfId="2" applyNumberFormat="1" applyFont="1" applyFill="1" applyBorder="1" applyAlignment="1" applyProtection="1">
      <alignment horizontal="center" vertical="center"/>
    </xf>
    <xf numFmtId="166" fontId="10" fillId="3" borderId="224" xfId="2" applyNumberFormat="1" applyFont="1" applyFill="1" applyBorder="1" applyAlignment="1" applyProtection="1">
      <alignment horizontal="center" vertical="center"/>
      <protection locked="0"/>
    </xf>
    <xf numFmtId="0" fontId="2" fillId="0" borderId="222" xfId="0" applyFont="1" applyBorder="1" applyAlignment="1">
      <alignment horizontal="center" vertical="center"/>
    </xf>
    <xf numFmtId="0" fontId="13" fillId="3" borderId="223" xfId="2" applyNumberFormat="1" applyFont="1" applyFill="1" applyBorder="1" applyAlignment="1" applyProtection="1">
      <alignment horizontal="center" vertical="center"/>
    </xf>
    <xf numFmtId="166" fontId="13" fillId="0" borderId="224" xfId="2" applyNumberFormat="1" applyFont="1" applyFill="1" applyBorder="1" applyAlignment="1" applyProtection="1">
      <alignment horizontal="center" vertical="center" wrapText="1"/>
      <protection locked="0"/>
    </xf>
    <xf numFmtId="0" fontId="13" fillId="3" borderId="194" xfId="2" applyNumberFormat="1" applyFont="1" applyFill="1" applyBorder="1" applyAlignment="1" applyProtection="1">
      <alignment horizontal="center" vertical="center"/>
    </xf>
    <xf numFmtId="168" fontId="13" fillId="0" borderId="198" xfId="4" applyNumberFormat="1" applyFont="1" applyFill="1" applyBorder="1" applyAlignment="1" applyProtection="1">
      <alignment horizontal="center" vertical="center"/>
      <protection locked="0"/>
    </xf>
    <xf numFmtId="0" fontId="18" fillId="6" borderId="9" xfId="3" applyFont="1" applyFill="1" applyBorder="1" applyAlignment="1">
      <alignment horizontal="center" vertical="center" wrapText="1"/>
    </xf>
    <xf numFmtId="165" fontId="13" fillId="4" borderId="173" xfId="0" applyNumberFormat="1" applyFont="1" applyFill="1" applyBorder="1" applyAlignment="1" applyProtection="1">
      <alignment horizontal="center" vertical="center"/>
      <protection locked="0"/>
    </xf>
    <xf numFmtId="168" fontId="13" fillId="0" borderId="225" xfId="4" applyNumberFormat="1" applyFont="1" applyFill="1" applyBorder="1" applyAlignment="1" applyProtection="1">
      <alignment horizontal="center" vertical="center"/>
      <protection locked="0"/>
    </xf>
    <xf numFmtId="168" fontId="13" fillId="6" borderId="219" xfId="4" applyNumberFormat="1" applyFont="1" applyFill="1" applyBorder="1" applyAlignment="1" applyProtection="1">
      <alignment horizontal="center" vertical="center"/>
    </xf>
    <xf numFmtId="168" fontId="13" fillId="6" borderId="226" xfId="4" applyNumberFormat="1" applyFont="1" applyFill="1" applyBorder="1" applyAlignment="1" applyProtection="1">
      <alignment horizontal="center" vertical="center"/>
    </xf>
    <xf numFmtId="165" fontId="13" fillId="0" borderId="227" xfId="0" applyNumberFormat="1" applyFont="1" applyFill="1" applyBorder="1" applyAlignment="1" applyProtection="1">
      <alignment horizontal="center" vertical="center"/>
      <protection locked="0"/>
    </xf>
    <xf numFmtId="165" fontId="13" fillId="6" borderId="220" xfId="0" applyNumberFormat="1" applyFont="1" applyFill="1" applyBorder="1" applyAlignment="1">
      <alignment horizontal="center" vertical="center"/>
    </xf>
    <xf numFmtId="165" fontId="13" fillId="6" borderId="221" xfId="0" applyNumberFormat="1" applyFont="1" applyFill="1" applyBorder="1" applyAlignment="1">
      <alignment horizontal="center" vertical="center"/>
    </xf>
    <xf numFmtId="168" fontId="13" fillId="4" borderId="228" xfId="4" applyNumberFormat="1" applyFont="1" applyFill="1" applyBorder="1" applyAlignment="1" applyProtection="1">
      <alignment horizontal="center" vertical="center"/>
      <protection locked="0"/>
    </xf>
    <xf numFmtId="168" fontId="13" fillId="6" borderId="229" xfId="4" applyNumberFormat="1" applyFont="1" applyFill="1" applyBorder="1" applyAlignment="1" applyProtection="1">
      <alignment horizontal="center" vertical="center"/>
    </xf>
    <xf numFmtId="168" fontId="13" fillId="6" borderId="230" xfId="4" applyNumberFormat="1" applyFont="1" applyFill="1" applyBorder="1" applyAlignment="1" applyProtection="1">
      <alignment horizontal="center" vertical="center"/>
    </xf>
    <xf numFmtId="165" fontId="13" fillId="4" borderId="231" xfId="0" applyNumberFormat="1" applyFont="1" applyFill="1" applyBorder="1" applyAlignment="1" applyProtection="1">
      <alignment horizontal="center" vertical="center"/>
      <protection locked="0"/>
    </xf>
    <xf numFmtId="165" fontId="13" fillId="0" borderId="198" xfId="0" applyNumberFormat="1" applyFont="1" applyFill="1" applyBorder="1" applyAlignment="1">
      <alignment horizontal="center" vertical="center"/>
    </xf>
    <xf numFmtId="168" fontId="13" fillId="0" borderId="209" xfId="4" applyNumberFormat="1" applyFont="1" applyFill="1" applyBorder="1" applyAlignment="1" applyProtection="1">
      <alignment vertical="center"/>
    </xf>
    <xf numFmtId="168" fontId="13" fillId="0" borderId="215" xfId="4" applyNumberFormat="1" applyFont="1" applyFill="1" applyBorder="1" applyAlignment="1" applyProtection="1">
      <alignment vertical="center"/>
    </xf>
    <xf numFmtId="168" fontId="13" fillId="0" borderId="204" xfId="4" applyNumberFormat="1" applyFont="1" applyFill="1" applyBorder="1" applyAlignment="1" applyProtection="1">
      <alignment horizontal="center" vertical="center"/>
    </xf>
    <xf numFmtId="168" fontId="13" fillId="4" borderId="133" xfId="4" applyNumberFormat="1" applyFont="1" applyFill="1" applyBorder="1" applyAlignment="1" applyProtection="1">
      <alignment vertical="center"/>
    </xf>
    <xf numFmtId="168" fontId="13" fillId="4" borderId="135" xfId="4" applyNumberFormat="1" applyFont="1" applyFill="1" applyBorder="1" applyAlignment="1" applyProtection="1">
      <alignment vertical="center"/>
    </xf>
    <xf numFmtId="165" fontId="13" fillId="0" borderId="233" xfId="0" applyNumberFormat="1" applyFont="1" applyFill="1" applyBorder="1" applyAlignment="1">
      <alignment vertical="center"/>
    </xf>
    <xf numFmtId="165" fontId="13" fillId="0" borderId="232" xfId="0" applyNumberFormat="1" applyFont="1" applyFill="1" applyBorder="1" applyAlignment="1">
      <alignment vertical="center"/>
    </xf>
    <xf numFmtId="165" fontId="13" fillId="0" borderId="234" xfId="0" applyNumberFormat="1" applyFont="1" applyFill="1" applyBorder="1" applyAlignment="1">
      <alignment horizontal="center" vertical="center"/>
    </xf>
    <xf numFmtId="165" fontId="13" fillId="0" borderId="235" xfId="0" applyNumberFormat="1" applyFont="1" applyFill="1" applyBorder="1" applyAlignment="1">
      <alignment horizontal="center" vertical="center"/>
    </xf>
    <xf numFmtId="165" fontId="13" fillId="3" borderId="67" xfId="0" applyNumberFormat="1" applyFont="1" applyFill="1" applyBorder="1" applyAlignment="1">
      <alignment horizontal="center" vertical="center"/>
    </xf>
    <xf numFmtId="167" fontId="13" fillId="3" borderId="67" xfId="2" applyNumberFormat="1" applyFont="1" applyFill="1" applyBorder="1" applyAlignment="1" applyProtection="1">
      <alignment horizontal="center" vertical="center"/>
    </xf>
    <xf numFmtId="1" fontId="13" fillId="3" borderId="67" xfId="2" applyNumberFormat="1" applyFont="1" applyFill="1" applyBorder="1" applyAlignment="1" applyProtection="1">
      <alignment horizontal="center" vertical="center"/>
    </xf>
    <xf numFmtId="169" fontId="13" fillId="3" borderId="67" xfId="2" applyNumberFormat="1" applyFont="1" applyFill="1" applyBorder="1" applyAlignment="1" applyProtection="1">
      <alignment horizontal="center" vertical="center"/>
    </xf>
    <xf numFmtId="171" fontId="13" fillId="3" borderId="67" xfId="4" applyNumberFormat="1" applyFont="1" applyFill="1" applyBorder="1" applyAlignment="1" applyProtection="1">
      <alignment vertical="center"/>
    </xf>
    <xf numFmtId="0" fontId="13" fillId="6" borderId="65" xfId="0" applyFont="1" applyFill="1" applyBorder="1" applyAlignment="1">
      <alignment horizontal="center" vertical="center"/>
    </xf>
    <xf numFmtId="165" fontId="13" fillId="6" borderId="65" xfId="0" applyNumberFormat="1" applyFont="1" applyFill="1" applyBorder="1" applyAlignment="1">
      <alignment horizontal="center" vertical="center"/>
    </xf>
    <xf numFmtId="167" fontId="13" fillId="6" borderId="65" xfId="0" applyNumberFormat="1" applyFont="1" applyFill="1" applyBorder="1" applyAlignment="1">
      <alignment horizontal="center" vertical="center"/>
    </xf>
    <xf numFmtId="166" fontId="13" fillId="6" borderId="65" xfId="2" applyNumberFormat="1" applyFont="1" applyFill="1" applyBorder="1" applyAlignment="1" applyProtection="1">
      <alignment horizontal="center" vertical="center"/>
    </xf>
    <xf numFmtId="166" fontId="10" fillId="6" borderId="65" xfId="2" applyNumberFormat="1" applyFont="1" applyFill="1" applyBorder="1" applyAlignment="1" applyProtection="1">
      <alignment horizontal="center" vertical="center"/>
    </xf>
    <xf numFmtId="166" fontId="13" fillId="6" borderId="172" xfId="2" applyNumberFormat="1" applyFont="1" applyFill="1" applyBorder="1" applyAlignment="1" applyProtection="1">
      <alignment horizontal="center" vertical="center"/>
    </xf>
    <xf numFmtId="0" fontId="13" fillId="6" borderId="37" xfId="0" applyFont="1" applyFill="1" applyBorder="1" applyAlignment="1">
      <alignment horizontal="center" vertical="center"/>
    </xf>
    <xf numFmtId="167" fontId="13" fillId="6" borderId="38" xfId="0" applyNumberFormat="1" applyFont="1" applyFill="1" applyBorder="1" applyAlignment="1">
      <alignment horizontal="center" vertical="center"/>
    </xf>
    <xf numFmtId="165" fontId="13" fillId="6" borderId="38" xfId="0" applyNumberFormat="1" applyFont="1" applyFill="1" applyBorder="1" applyAlignment="1">
      <alignment horizontal="center" vertical="center"/>
    </xf>
    <xf numFmtId="167" fontId="13" fillId="6" borderId="38" xfId="2" applyNumberFormat="1" applyFont="1" applyFill="1" applyBorder="1" applyAlignment="1" applyProtection="1">
      <alignment horizontal="center" vertical="center"/>
    </xf>
    <xf numFmtId="1" fontId="13" fillId="6" borderId="38" xfId="2" applyNumberFormat="1" applyFont="1" applyFill="1" applyBorder="1" applyAlignment="1" applyProtection="1">
      <alignment horizontal="center" vertical="center"/>
    </xf>
    <xf numFmtId="169" fontId="13" fillId="6" borderId="38" xfId="2" applyNumberFormat="1" applyFont="1" applyFill="1" applyBorder="1" applyAlignment="1" applyProtection="1">
      <alignment horizontal="center" vertical="center"/>
    </xf>
    <xf numFmtId="2" fontId="13" fillId="6" borderId="38" xfId="2" applyNumberFormat="1" applyFont="1" applyFill="1" applyBorder="1" applyAlignment="1" applyProtection="1">
      <alignment horizontal="center" vertical="center"/>
    </xf>
    <xf numFmtId="0" fontId="13" fillId="6" borderId="69" xfId="0" applyFont="1" applyFill="1" applyBorder="1" applyAlignment="1">
      <alignment horizontal="center" vertical="center"/>
    </xf>
    <xf numFmtId="0" fontId="13" fillId="6" borderId="71" xfId="0" applyFont="1" applyFill="1" applyBorder="1" applyAlignment="1">
      <alignment horizontal="center" vertical="center"/>
    </xf>
    <xf numFmtId="165" fontId="13" fillId="6" borderId="71" xfId="0" applyNumberFormat="1" applyFont="1" applyFill="1" applyBorder="1" applyAlignment="1">
      <alignment horizontal="center" vertical="center"/>
    </xf>
    <xf numFmtId="167" fontId="13" fillId="6" borderId="71" xfId="0" applyNumberFormat="1" applyFont="1" applyFill="1" applyBorder="1" applyAlignment="1">
      <alignment horizontal="center" vertical="center"/>
    </xf>
    <xf numFmtId="166" fontId="13" fillId="6" borderId="71" xfId="2" applyNumberFormat="1" applyFont="1" applyFill="1" applyBorder="1" applyAlignment="1" applyProtection="1">
      <alignment horizontal="center" vertical="center"/>
    </xf>
    <xf numFmtId="0" fontId="55" fillId="3" borderId="236" xfId="5" applyFont="1" applyFill="1" applyBorder="1" applyAlignment="1">
      <alignment horizontal="center" vertical="center" wrapText="1"/>
    </xf>
    <xf numFmtId="0" fontId="13" fillId="3" borderId="238" xfId="0" applyFont="1" applyFill="1" applyBorder="1" applyAlignment="1">
      <alignment horizontal="center" vertical="center" wrapText="1"/>
    </xf>
    <xf numFmtId="0" fontId="13" fillId="3" borderId="239" xfId="0" applyFont="1" applyFill="1" applyBorder="1" applyAlignment="1">
      <alignment horizontal="center" vertical="center" wrapText="1"/>
    </xf>
    <xf numFmtId="0" fontId="13" fillId="3" borderId="240" xfId="0" applyFont="1" applyFill="1" applyBorder="1" applyAlignment="1">
      <alignment horizontal="center" vertical="center" wrapText="1"/>
    </xf>
    <xf numFmtId="0" fontId="13" fillId="6" borderId="59" xfId="0" applyFont="1" applyFill="1" applyBorder="1" applyAlignment="1">
      <alignment horizontal="center" vertical="center"/>
    </xf>
    <xf numFmtId="0" fontId="55" fillId="3" borderId="60" xfId="5" applyNumberFormat="1" applyFont="1" applyFill="1" applyBorder="1" applyAlignment="1">
      <alignment horizontal="center" vertical="center"/>
    </xf>
    <xf numFmtId="165" fontId="13" fillId="6" borderId="60" xfId="0" applyNumberFormat="1" applyFont="1" applyFill="1" applyBorder="1" applyAlignment="1">
      <alignment horizontal="center" vertical="center"/>
    </xf>
    <xf numFmtId="167" fontId="13" fillId="6" borderId="60" xfId="0" applyNumberFormat="1" applyFont="1" applyFill="1" applyBorder="1" applyAlignment="1">
      <alignment horizontal="center" vertical="center"/>
    </xf>
    <xf numFmtId="0" fontId="13" fillId="3" borderId="9" xfId="0" applyFont="1" applyFill="1" applyBorder="1" applyAlignment="1">
      <alignment horizontal="center" vertical="center" wrapText="1"/>
    </xf>
    <xf numFmtId="0" fontId="4" fillId="3" borderId="63" xfId="0" applyFont="1" applyFill="1" applyBorder="1" applyAlignment="1">
      <alignment horizontal="center" vertical="center"/>
    </xf>
    <xf numFmtId="0" fontId="4" fillId="3" borderId="70" xfId="0" applyFont="1" applyFill="1" applyBorder="1" applyAlignment="1">
      <alignment horizontal="center" vertical="center" wrapText="1"/>
    </xf>
    <xf numFmtId="0" fontId="13" fillId="6" borderId="40" xfId="2" applyNumberFormat="1" applyFont="1" applyFill="1" applyBorder="1" applyAlignment="1" applyProtection="1">
      <alignment horizontal="center" vertical="center"/>
    </xf>
    <xf numFmtId="166" fontId="13" fillId="6" borderId="41" xfId="2" applyNumberFormat="1" applyFont="1" applyFill="1" applyBorder="1" applyAlignment="1" applyProtection="1">
      <alignment horizontal="center" vertical="center"/>
    </xf>
    <xf numFmtId="0" fontId="55" fillId="3" borderId="71" xfId="5" applyNumberFormat="1" applyFont="1" applyFill="1" applyBorder="1" applyAlignment="1">
      <alignment horizontal="center" vertical="center"/>
    </xf>
    <xf numFmtId="0" fontId="61" fillId="5" borderId="6" xfId="0" applyFont="1" applyFill="1" applyBorder="1" applyAlignment="1">
      <alignment horizontal="center" vertical="center" wrapText="1"/>
    </xf>
    <xf numFmtId="168" fontId="13" fillId="0" borderId="0" xfId="4" applyNumberFormat="1" applyFont="1" applyFill="1" applyAlignment="1" applyProtection="1">
      <alignment horizontal="center" vertical="center"/>
      <protection locked="0"/>
    </xf>
    <xf numFmtId="0" fontId="55" fillId="3" borderId="4" xfId="5" applyFont="1" applyFill="1" applyBorder="1" applyAlignment="1">
      <alignment horizontal="center" vertical="center"/>
    </xf>
    <xf numFmtId="169" fontId="13" fillId="6" borderId="38" xfId="0" applyNumberFormat="1" applyFont="1" applyFill="1" applyBorder="1" applyAlignment="1">
      <alignment horizontal="center" vertical="center"/>
    </xf>
    <xf numFmtId="0" fontId="13" fillId="6" borderId="38" xfId="2" applyNumberFormat="1" applyFont="1" applyFill="1" applyBorder="1" applyAlignment="1" applyProtection="1">
      <alignment horizontal="center" vertical="center"/>
    </xf>
    <xf numFmtId="0" fontId="32" fillId="2" borderId="0" xfId="0" applyFont="1" applyFill="1" applyAlignment="1">
      <alignment horizontal="right" vertical="center" wrapText="1"/>
    </xf>
    <xf numFmtId="0" fontId="32" fillId="2" borderId="0" xfId="0" applyFont="1" applyFill="1" applyAlignment="1">
      <alignment horizontal="right" vertical="top" wrapText="1"/>
    </xf>
    <xf numFmtId="0" fontId="33" fillId="2" borderId="0" xfId="0" applyFont="1" applyFill="1" applyAlignment="1">
      <alignment horizontal="right" vertical="center" wrapText="1"/>
    </xf>
    <xf numFmtId="168" fontId="13" fillId="4" borderId="5" xfId="4" applyNumberFormat="1" applyFont="1" applyFill="1" applyBorder="1" applyAlignment="1" applyProtection="1">
      <alignment horizontal="center" vertical="center"/>
      <protection locked="0"/>
    </xf>
    <xf numFmtId="168" fontId="13" fillId="4" borderId="2" xfId="4" applyNumberFormat="1" applyFont="1" applyFill="1" applyBorder="1" applyAlignment="1" applyProtection="1">
      <alignment horizontal="center" vertical="center"/>
      <protection locked="0"/>
    </xf>
    <xf numFmtId="168" fontId="7" fillId="4" borderId="3" xfId="4" applyNumberFormat="1" applyFont="1" applyFill="1" applyBorder="1" applyAlignment="1" applyProtection="1">
      <alignment horizontal="center" vertical="center"/>
      <protection locked="0"/>
    </xf>
    <xf numFmtId="0" fontId="0" fillId="0" borderId="3" xfId="0" applyBorder="1" applyProtection="1">
      <protection locked="0"/>
    </xf>
    <xf numFmtId="0" fontId="10" fillId="5" borderId="21" xfId="0" applyFont="1" applyFill="1" applyBorder="1" applyAlignment="1">
      <alignment horizontal="center" vertical="center" wrapText="1"/>
    </xf>
    <xf numFmtId="0" fontId="0" fillId="0" borderId="7" xfId="0" applyBorder="1"/>
    <xf numFmtId="0" fontId="0" fillId="0" borderId="9" xfId="0" applyBorder="1"/>
    <xf numFmtId="0" fontId="2" fillId="0" borderId="0" xfId="0" applyFont="1" applyAlignment="1">
      <alignment horizontal="center" vertical="center"/>
    </xf>
    <xf numFmtId="0" fontId="0" fillId="0" borderId="5" xfId="0" applyBorder="1"/>
    <xf numFmtId="0" fontId="0" fillId="0" borderId="2" xfId="0" applyBorder="1"/>
    <xf numFmtId="0" fontId="7" fillId="2" borderId="0" xfId="0" applyFont="1" applyFill="1" applyAlignment="1">
      <alignment horizontal="center"/>
    </xf>
    <xf numFmtId="165" fontId="13" fillId="3" borderId="199" xfId="0" applyNumberFormat="1" applyFont="1" applyFill="1" applyBorder="1" applyAlignment="1">
      <alignment horizontal="center" vertical="center"/>
    </xf>
    <xf numFmtId="165" fontId="13" fillId="3" borderId="174" xfId="0" applyNumberFormat="1" applyFont="1" applyFill="1" applyBorder="1" applyAlignment="1">
      <alignment horizontal="center" vertical="center"/>
    </xf>
    <xf numFmtId="165" fontId="13" fillId="3" borderId="131" xfId="0" applyNumberFormat="1" applyFont="1" applyFill="1" applyBorder="1" applyAlignment="1">
      <alignment horizontal="center" vertical="center"/>
    </xf>
    <xf numFmtId="165" fontId="13" fillId="3" borderId="79" xfId="0" applyNumberFormat="1" applyFont="1" applyFill="1" applyBorder="1" applyAlignment="1">
      <alignment horizontal="center" vertical="center"/>
    </xf>
    <xf numFmtId="0" fontId="10" fillId="5" borderId="22" xfId="0" applyFont="1" applyFill="1" applyBorder="1" applyAlignment="1">
      <alignment horizontal="center" vertical="center" wrapText="1"/>
    </xf>
    <xf numFmtId="0" fontId="10" fillId="5" borderId="25"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3" fillId="6" borderId="4" xfId="0" applyFont="1" applyFill="1" applyBorder="1" applyAlignment="1">
      <alignment horizontal="center" vertical="center" wrapText="1"/>
    </xf>
    <xf numFmtId="165" fontId="13" fillId="3" borderId="195" xfId="0" applyNumberFormat="1" applyFont="1" applyFill="1" applyBorder="1" applyAlignment="1">
      <alignment horizontal="center" vertical="center"/>
    </xf>
    <xf numFmtId="0" fontId="13" fillId="6" borderId="6" xfId="3" applyFont="1" applyFill="1" applyBorder="1" applyAlignment="1">
      <alignment horizontal="center" vertical="center" wrapText="1"/>
    </xf>
    <xf numFmtId="0" fontId="13" fillId="6" borderId="7" xfId="3" applyFont="1" applyFill="1" applyBorder="1" applyAlignment="1">
      <alignment horizontal="center" vertical="center" wrapText="1"/>
    </xf>
    <xf numFmtId="0" fontId="13" fillId="6" borderId="8" xfId="3" applyFont="1" applyFill="1" applyBorder="1" applyAlignment="1">
      <alignment horizontal="center" vertical="center" wrapText="1"/>
    </xf>
    <xf numFmtId="0" fontId="13" fillId="6" borderId="11" xfId="0" applyFont="1" applyFill="1" applyBorder="1" applyAlignment="1">
      <alignment horizontal="center" vertical="center"/>
    </xf>
    <xf numFmtId="0" fontId="13" fillId="6" borderId="4" xfId="0" applyFont="1" applyFill="1" applyBorder="1" applyAlignment="1">
      <alignment horizontal="center" vertical="center"/>
    </xf>
    <xf numFmtId="165" fontId="13" fillId="3" borderId="177" xfId="0" applyNumberFormat="1" applyFont="1" applyFill="1" applyBorder="1" applyAlignment="1">
      <alignment horizontal="center" vertical="center"/>
    </xf>
    <xf numFmtId="9" fontId="13" fillId="6" borderId="133" xfId="2" applyFont="1" applyFill="1" applyBorder="1" applyAlignment="1" applyProtection="1">
      <alignment horizontal="center" vertical="center"/>
    </xf>
    <xf numFmtId="9" fontId="13" fillId="6" borderId="0" xfId="2" applyFont="1" applyFill="1" applyBorder="1" applyAlignment="1" applyProtection="1">
      <alignment horizontal="center" vertical="center"/>
    </xf>
    <xf numFmtId="9" fontId="13" fillId="6" borderId="10" xfId="2" applyFont="1" applyFill="1" applyBorder="1" applyAlignment="1" applyProtection="1">
      <alignment horizontal="center" vertical="center"/>
    </xf>
    <xf numFmtId="0" fontId="55" fillId="3" borderId="1" xfId="5" applyFont="1" applyFill="1" applyBorder="1" applyAlignment="1" applyProtection="1">
      <alignment horizontal="center" vertical="center" wrapText="1"/>
    </xf>
    <xf numFmtId="0" fontId="55" fillId="3" borderId="15" xfId="5" applyFont="1" applyFill="1" applyBorder="1" applyAlignment="1" applyProtection="1">
      <alignment horizontal="center" vertical="center" wrapText="1"/>
    </xf>
    <xf numFmtId="0" fontId="55" fillId="3" borderId="19" xfId="5" applyFont="1" applyFill="1" applyBorder="1" applyAlignment="1" applyProtection="1">
      <alignment horizontal="center" vertical="center"/>
    </xf>
    <xf numFmtId="0" fontId="55" fillId="3" borderId="13" xfId="5" applyFont="1" applyFill="1" applyBorder="1" applyAlignment="1" applyProtection="1">
      <alignment horizontal="center" vertical="center"/>
    </xf>
    <xf numFmtId="166" fontId="13" fillId="6" borderId="84" xfId="2" applyNumberFormat="1" applyFont="1" applyFill="1" applyBorder="1" applyAlignment="1" applyProtection="1">
      <alignment horizontal="center" vertical="center"/>
    </xf>
    <xf numFmtId="166" fontId="13" fillId="6" borderId="180" xfId="2" applyNumberFormat="1" applyFont="1" applyFill="1" applyBorder="1" applyAlignment="1" applyProtection="1">
      <alignment horizontal="center" vertical="center"/>
    </xf>
    <xf numFmtId="166" fontId="13" fillId="6" borderId="104" xfId="2" applyNumberFormat="1" applyFont="1" applyFill="1" applyBorder="1" applyAlignment="1" applyProtection="1">
      <alignment horizontal="center" vertical="center"/>
    </xf>
    <xf numFmtId="168" fontId="13" fillId="6" borderId="178" xfId="4" applyNumberFormat="1" applyFont="1" applyFill="1" applyBorder="1" applyAlignment="1" applyProtection="1">
      <alignment horizontal="center" vertical="center"/>
    </xf>
    <xf numFmtId="168" fontId="13" fillId="6" borderId="213" xfId="4" applyNumberFormat="1" applyFont="1" applyFill="1" applyBorder="1" applyAlignment="1" applyProtection="1">
      <alignment horizontal="center" vertical="center"/>
    </xf>
    <xf numFmtId="168" fontId="13" fillId="6" borderId="133" xfId="4" applyNumberFormat="1" applyFont="1" applyFill="1" applyBorder="1" applyAlignment="1" applyProtection="1">
      <alignment horizontal="center" vertical="center"/>
    </xf>
    <xf numFmtId="168" fontId="13" fillId="6" borderId="135" xfId="4" applyNumberFormat="1" applyFont="1" applyFill="1" applyBorder="1" applyAlignment="1" applyProtection="1">
      <alignment horizontal="center" vertical="center"/>
    </xf>
    <xf numFmtId="168" fontId="13" fillId="6" borderId="209" xfId="4" applyNumberFormat="1" applyFont="1" applyFill="1" applyBorder="1" applyAlignment="1" applyProtection="1">
      <alignment horizontal="center" vertical="center"/>
    </xf>
    <xf numFmtId="168" fontId="13" fillId="6" borderId="215" xfId="4" applyNumberFormat="1" applyFont="1" applyFill="1" applyBorder="1" applyAlignment="1" applyProtection="1">
      <alignment horizontal="center" vertical="center"/>
    </xf>
    <xf numFmtId="0" fontId="55" fillId="3" borderId="24" xfId="5" applyFont="1" applyFill="1" applyBorder="1" applyAlignment="1" applyProtection="1">
      <alignment horizontal="center" vertical="center"/>
    </xf>
    <xf numFmtId="0" fontId="55" fillId="3" borderId="26" xfId="5" applyFont="1" applyFill="1" applyBorder="1" applyAlignment="1" applyProtection="1">
      <alignment horizontal="center" vertical="center" wrapText="1"/>
    </xf>
    <xf numFmtId="0" fontId="55" fillId="3" borderId="18" xfId="5" applyFont="1" applyFill="1" applyBorder="1" applyAlignment="1" applyProtection="1">
      <alignment horizontal="center" vertical="center" wrapText="1"/>
    </xf>
    <xf numFmtId="0" fontId="55" fillId="3" borderId="11" xfId="5" applyFont="1" applyFill="1" applyBorder="1" applyAlignment="1" applyProtection="1">
      <alignment horizontal="center" vertical="center"/>
    </xf>
    <xf numFmtId="0" fontId="55" fillId="3" borderId="20" xfId="5" applyFont="1" applyFill="1" applyBorder="1" applyAlignment="1" applyProtection="1">
      <alignment horizontal="center" vertical="center"/>
    </xf>
    <xf numFmtId="0" fontId="55" fillId="3" borderId="16" xfId="5" applyFont="1" applyFill="1" applyBorder="1" applyAlignment="1" applyProtection="1">
      <alignment horizontal="center" vertical="center"/>
    </xf>
    <xf numFmtId="0" fontId="55" fillId="3" borderId="27" xfId="5" applyFont="1" applyFill="1" applyBorder="1" applyAlignment="1" applyProtection="1">
      <alignment horizontal="center" vertical="center"/>
    </xf>
    <xf numFmtId="0" fontId="55" fillId="3" borderId="26" xfId="5" applyFont="1" applyFill="1" applyBorder="1" applyAlignment="1" applyProtection="1">
      <alignment horizontal="center" vertical="center"/>
    </xf>
    <xf numFmtId="165" fontId="13" fillId="0" borderId="209" xfId="0" applyNumberFormat="1" applyFont="1" applyFill="1" applyBorder="1" applyAlignment="1">
      <alignment horizontal="center" vertical="center"/>
    </xf>
    <xf numFmtId="165" fontId="13" fillId="0" borderId="212" xfId="0" applyNumberFormat="1" applyFont="1" applyFill="1" applyBorder="1" applyAlignment="1">
      <alignment horizontal="center" vertical="center"/>
    </xf>
    <xf numFmtId="165" fontId="13" fillId="6" borderId="210" xfId="0" applyNumberFormat="1" applyFont="1" applyFill="1" applyBorder="1" applyAlignment="1">
      <alignment horizontal="center" vertical="center"/>
    </xf>
    <xf numFmtId="165" fontId="13" fillId="6" borderId="211" xfId="0" applyNumberFormat="1" applyFont="1" applyFill="1" applyBorder="1" applyAlignment="1">
      <alignment horizontal="center" vertical="center"/>
    </xf>
    <xf numFmtId="0" fontId="55" fillId="0" borderId="27" xfId="5" applyFont="1" applyBorder="1" applyAlignment="1">
      <alignment horizontal="center" vertical="center" wrapText="1"/>
    </xf>
    <xf numFmtId="0" fontId="55" fillId="0" borderId="4" xfId="5" applyFont="1" applyBorder="1" applyAlignment="1">
      <alignment horizontal="center" vertical="center" wrapText="1"/>
    </xf>
    <xf numFmtId="165" fontId="13" fillId="0" borderId="179" xfId="0" applyNumberFormat="1" applyFont="1" applyFill="1" applyBorder="1" applyAlignment="1">
      <alignment horizontal="center" vertical="center"/>
    </xf>
    <xf numFmtId="0" fontId="18" fillId="6" borderId="1" xfId="3" applyFont="1" applyFill="1" applyBorder="1" applyAlignment="1">
      <alignment horizontal="center" vertical="center" wrapText="1"/>
    </xf>
    <xf numFmtId="0" fontId="55" fillId="3" borderId="27" xfId="5" applyFont="1" applyFill="1" applyBorder="1" applyAlignment="1" applyProtection="1">
      <alignment horizontal="center" vertical="center" wrapText="1" readingOrder="2"/>
    </xf>
    <xf numFmtId="0" fontId="55" fillId="3" borderId="26" xfId="5" applyFont="1" applyFill="1" applyBorder="1" applyAlignment="1" applyProtection="1">
      <alignment horizontal="center" vertical="center" wrapText="1" readingOrder="2"/>
    </xf>
    <xf numFmtId="0" fontId="55" fillId="3" borderId="27" xfId="5" applyFont="1" applyFill="1" applyBorder="1" applyAlignment="1" applyProtection="1">
      <alignment horizontal="center" vertical="center" wrapText="1"/>
    </xf>
    <xf numFmtId="166" fontId="13" fillId="6" borderId="178" xfId="2" applyNumberFormat="1" applyFont="1" applyFill="1" applyBorder="1" applyAlignment="1" applyProtection="1">
      <alignment horizontal="center" vertical="center"/>
    </xf>
    <xf numFmtId="166" fontId="13" fillId="6" borderId="7" xfId="2" applyNumberFormat="1" applyFont="1" applyFill="1" applyBorder="1" applyAlignment="1" applyProtection="1">
      <alignment horizontal="center" vertical="center"/>
    </xf>
    <xf numFmtId="166" fontId="13" fillId="6" borderId="8" xfId="2" applyNumberFormat="1" applyFont="1" applyFill="1" applyBorder="1" applyAlignment="1" applyProtection="1">
      <alignment horizontal="center" vertical="center"/>
    </xf>
    <xf numFmtId="166" fontId="13" fillId="6" borderId="179" xfId="2" applyNumberFormat="1" applyFont="1" applyFill="1" applyBorder="1" applyAlignment="1" applyProtection="1">
      <alignment horizontal="center" vertical="center"/>
    </xf>
    <xf numFmtId="166" fontId="13" fillId="6" borderId="2" xfId="2" applyNumberFormat="1" applyFont="1" applyFill="1" applyBorder="1" applyAlignment="1" applyProtection="1">
      <alignment horizontal="center" vertical="center"/>
    </xf>
    <xf numFmtId="166" fontId="13" fillId="6" borderId="3" xfId="2" applyNumberFormat="1" applyFont="1" applyFill="1" applyBorder="1" applyAlignment="1" applyProtection="1">
      <alignment horizontal="center" vertical="center"/>
    </xf>
    <xf numFmtId="0" fontId="10" fillId="5" borderId="1" xfId="0" applyFont="1" applyFill="1" applyBorder="1" applyAlignment="1">
      <alignment horizontal="center" vertical="center" wrapText="1"/>
    </xf>
    <xf numFmtId="0" fontId="0" fillId="0" borderId="22" xfId="0" applyBorder="1"/>
    <xf numFmtId="0" fontId="0" fillId="0" borderId="25" xfId="0" applyBorder="1"/>
    <xf numFmtId="0" fontId="13" fillId="6" borderId="11" xfId="3" applyFont="1" applyFill="1" applyBorder="1" applyAlignment="1">
      <alignment horizontal="center" vertical="center" wrapText="1"/>
    </xf>
    <xf numFmtId="0" fontId="0" fillId="0" borderId="8" xfId="0" applyBorder="1"/>
    <xf numFmtId="0" fontId="20" fillId="5" borderId="21" xfId="3" applyFont="1" applyFill="1" applyBorder="1" applyAlignment="1">
      <alignment horizontal="center" vertical="center" wrapText="1"/>
    </xf>
    <xf numFmtId="0" fontId="20" fillId="5" borderId="22" xfId="3" applyFont="1" applyFill="1" applyBorder="1" applyAlignment="1">
      <alignment horizontal="center" vertical="center" wrapText="1"/>
    </xf>
    <xf numFmtId="0" fontId="20" fillId="5" borderId="25" xfId="3" applyFont="1" applyFill="1" applyBorder="1" applyAlignment="1">
      <alignment horizontal="center" vertical="center" wrapText="1"/>
    </xf>
    <xf numFmtId="165" fontId="13" fillId="3" borderId="177" xfId="2" applyNumberFormat="1" applyFont="1" applyFill="1" applyBorder="1" applyAlignment="1" applyProtection="1">
      <alignment horizontal="center" vertical="center"/>
    </xf>
    <xf numFmtId="165" fontId="13" fillId="3" borderId="175" xfId="2" applyNumberFormat="1" applyFont="1" applyFill="1" applyBorder="1" applyAlignment="1" applyProtection="1">
      <alignment horizontal="center" vertical="center"/>
    </xf>
    <xf numFmtId="0" fontId="18" fillId="6" borderId="11" xfId="3" applyFont="1" applyFill="1" applyBorder="1" applyAlignment="1">
      <alignment horizontal="center" vertical="center" wrapText="1"/>
    </xf>
    <xf numFmtId="0" fontId="18" fillId="6" borderId="20" xfId="3" applyFont="1" applyFill="1" applyBorder="1" applyAlignment="1">
      <alignment horizontal="center" vertical="center" wrapText="1"/>
    </xf>
    <xf numFmtId="0" fontId="13" fillId="6" borderId="3" xfId="3" applyFont="1" applyFill="1" applyBorder="1" applyAlignment="1">
      <alignment horizontal="center" vertical="center"/>
    </xf>
    <xf numFmtId="0" fontId="0" fillId="0" borderId="3" xfId="0" applyBorder="1"/>
    <xf numFmtId="168" fontId="7" fillId="0" borderId="8" xfId="4" applyNumberFormat="1" applyFont="1" applyFill="1" applyBorder="1" applyAlignment="1" applyProtection="1">
      <alignment horizontal="center" vertical="center"/>
      <protection locked="0"/>
    </xf>
    <xf numFmtId="0" fontId="0" fillId="0" borderId="8" xfId="0" applyFill="1" applyBorder="1" applyProtection="1">
      <protection locked="0"/>
    </xf>
    <xf numFmtId="0" fontId="55" fillId="3" borderId="4" xfId="5" applyFont="1" applyFill="1" applyBorder="1" applyAlignment="1" applyProtection="1">
      <alignment horizontal="center" vertical="center"/>
    </xf>
    <xf numFmtId="0" fontId="55" fillId="3" borderId="1" xfId="5" applyFont="1" applyFill="1" applyBorder="1" applyAlignment="1" applyProtection="1">
      <alignment horizontal="center" vertical="center"/>
    </xf>
    <xf numFmtId="0" fontId="18" fillId="6" borderId="6" xfId="3" applyFont="1" applyFill="1" applyBorder="1" applyAlignment="1">
      <alignment horizontal="center" vertical="center" wrapText="1"/>
    </xf>
    <xf numFmtId="0" fontId="18" fillId="6" borderId="8" xfId="3" applyFont="1" applyFill="1" applyBorder="1" applyAlignment="1">
      <alignment horizontal="center" vertical="center" wrapText="1"/>
    </xf>
    <xf numFmtId="0" fontId="18" fillId="6" borderId="5" xfId="3" applyFont="1" applyFill="1" applyBorder="1" applyAlignment="1">
      <alignment horizontal="center" vertical="center" wrapText="1"/>
    </xf>
    <xf numFmtId="0" fontId="18" fillId="6" borderId="3" xfId="3" applyFont="1" applyFill="1" applyBorder="1" applyAlignment="1">
      <alignment horizontal="center" vertical="center" wrapText="1"/>
    </xf>
    <xf numFmtId="0" fontId="55" fillId="0" borderId="20" xfId="5" applyFont="1" applyBorder="1" applyAlignment="1">
      <alignment horizontal="center" vertical="center" wrapText="1"/>
    </xf>
    <xf numFmtId="0" fontId="13" fillId="6" borderId="5" xfId="3" applyFont="1" applyFill="1" applyBorder="1" applyAlignment="1">
      <alignment horizontal="center" vertical="center"/>
    </xf>
    <xf numFmtId="166" fontId="13" fillId="6" borderId="200" xfId="2" applyNumberFormat="1" applyFont="1" applyFill="1" applyBorder="1" applyAlignment="1" applyProtection="1">
      <alignment horizontal="center" vertical="center"/>
    </xf>
    <xf numFmtId="166" fontId="13" fillId="6" borderId="201" xfId="2" applyNumberFormat="1" applyFont="1" applyFill="1" applyBorder="1" applyAlignment="1" applyProtection="1">
      <alignment horizontal="center" vertical="center"/>
    </xf>
    <xf numFmtId="166" fontId="13" fillId="6" borderId="202" xfId="2" applyNumberFormat="1" applyFont="1" applyFill="1" applyBorder="1" applyAlignment="1" applyProtection="1">
      <alignment horizontal="center" vertical="center"/>
    </xf>
    <xf numFmtId="168" fontId="13" fillId="6" borderId="199" xfId="4" applyNumberFormat="1" applyFont="1" applyFill="1" applyBorder="1" applyAlignment="1" applyProtection="1">
      <alignment horizontal="center" vertical="center"/>
    </xf>
    <xf numFmtId="168" fontId="13" fillId="6" borderId="175" xfId="4" applyNumberFormat="1" applyFont="1" applyFill="1" applyBorder="1" applyAlignment="1" applyProtection="1">
      <alignment horizontal="center" vertical="center"/>
    </xf>
    <xf numFmtId="168" fontId="13" fillId="0" borderId="7" xfId="4" applyNumberFormat="1" applyFont="1" applyFill="1" applyBorder="1" applyAlignment="1" applyProtection="1">
      <alignment horizontal="center" vertical="center"/>
      <protection locked="0"/>
    </xf>
    <xf numFmtId="0" fontId="13" fillId="6" borderId="1" xfId="0" applyFont="1" applyFill="1" applyBorder="1" applyAlignment="1">
      <alignment horizontal="center" vertical="center"/>
    </xf>
    <xf numFmtId="0" fontId="0" fillId="0" borderId="4" xfId="0" applyBorder="1"/>
    <xf numFmtId="168" fontId="13" fillId="6" borderId="212" xfId="4" applyNumberFormat="1" applyFont="1" applyFill="1" applyBorder="1" applyAlignment="1" applyProtection="1">
      <alignment horizontal="center" vertical="center"/>
    </xf>
    <xf numFmtId="168" fontId="13" fillId="6" borderId="214" xfId="4" applyNumberFormat="1" applyFont="1" applyFill="1" applyBorder="1" applyAlignment="1" applyProtection="1">
      <alignment horizontal="center" vertical="center"/>
    </xf>
    <xf numFmtId="0" fontId="55" fillId="3" borderId="1" xfId="5" applyFont="1" applyFill="1" applyBorder="1" applyAlignment="1" applyProtection="1">
      <alignment horizontal="center" vertical="center" wrapText="1" readingOrder="2"/>
    </xf>
    <xf numFmtId="0" fontId="55" fillId="3" borderId="15" xfId="5" applyFont="1" applyFill="1" applyBorder="1" applyAlignment="1" applyProtection="1">
      <alignment horizontal="center" vertical="center" wrapText="1" readingOrder="2"/>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167" fontId="15" fillId="7" borderId="0" xfId="1" applyNumberFormat="1" applyFont="1" applyFill="1" applyBorder="1" applyAlignment="1" applyProtection="1">
      <alignment horizontal="center" vertical="center"/>
    </xf>
    <xf numFmtId="0" fontId="55" fillId="3" borderId="12" xfId="5" applyFont="1" applyFill="1" applyBorder="1" applyAlignment="1" applyProtection="1">
      <alignment horizontal="center" vertical="center"/>
    </xf>
    <xf numFmtId="0" fontId="10" fillId="5" borderId="0" xfId="3" applyFont="1" applyFill="1" applyAlignment="1">
      <alignment horizontal="center" vertical="center"/>
    </xf>
    <xf numFmtId="0" fontId="10" fillId="5" borderId="10" xfId="3" applyFont="1" applyFill="1" applyBorder="1" applyAlignment="1">
      <alignment horizontal="center" vertical="center"/>
    </xf>
    <xf numFmtId="0" fontId="13" fillId="6" borderId="7" xfId="0" applyFont="1" applyFill="1" applyBorder="1" applyAlignment="1">
      <alignment horizontal="center" vertical="center" wrapText="1"/>
    </xf>
    <xf numFmtId="0" fontId="13" fillId="6" borderId="0" xfId="0" applyFont="1" applyFill="1" applyAlignment="1">
      <alignment horizontal="center" vertical="center" wrapText="1"/>
    </xf>
    <xf numFmtId="0" fontId="13" fillId="6" borderId="8"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21" xfId="0" applyFont="1" applyFill="1" applyBorder="1" applyAlignment="1">
      <alignment horizontal="center" vertical="center"/>
    </xf>
    <xf numFmtId="0" fontId="13" fillId="6" borderId="25" xfId="0" applyFont="1" applyFill="1" applyBorder="1" applyAlignment="1">
      <alignment horizontal="center" vertical="center"/>
    </xf>
    <xf numFmtId="0" fontId="10" fillId="5" borderId="0" xfId="3" applyFont="1" applyFill="1" applyAlignment="1">
      <alignment horizontal="center" vertical="center" wrapText="1"/>
    </xf>
    <xf numFmtId="0" fontId="13" fillId="6" borderId="6"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0" fillId="5" borderId="8" xfId="0" applyFont="1" applyFill="1" applyBorder="1" applyAlignment="1">
      <alignment horizontal="center" wrapText="1"/>
    </xf>
    <xf numFmtId="0" fontId="0" fillId="0" borderId="10" xfId="0" applyBorder="1"/>
    <xf numFmtId="0" fontId="58" fillId="12" borderId="3" xfId="0" applyFont="1" applyFill="1" applyBorder="1" applyAlignment="1">
      <alignment horizontal="center" vertical="center"/>
    </xf>
    <xf numFmtId="166" fontId="13" fillId="6" borderId="121" xfId="2" applyNumberFormat="1" applyFont="1" applyFill="1" applyBorder="1" applyAlignment="1" applyProtection="1">
      <alignment horizontal="center" vertical="center"/>
    </xf>
    <xf numFmtId="166" fontId="13" fillId="6" borderId="176" xfId="2" applyNumberFormat="1" applyFont="1" applyFill="1" applyBorder="1" applyAlignment="1" applyProtection="1">
      <alignment horizontal="center" vertical="center"/>
    </xf>
    <xf numFmtId="166" fontId="13" fillId="6" borderId="118" xfId="2" applyNumberFormat="1" applyFont="1" applyFill="1" applyBorder="1" applyAlignment="1" applyProtection="1">
      <alignment horizontal="center" vertical="center"/>
    </xf>
    <xf numFmtId="165" fontId="13" fillId="3" borderId="175" xfId="0" applyNumberFormat="1" applyFont="1" applyFill="1" applyBorder="1" applyAlignment="1">
      <alignment horizontal="center" vertical="center"/>
    </xf>
    <xf numFmtId="166" fontId="13" fillId="6" borderId="219" xfId="2" applyNumberFormat="1" applyFont="1" applyFill="1" applyBorder="1" applyAlignment="1" applyProtection="1">
      <alignment horizontal="center" vertical="center"/>
    </xf>
    <xf numFmtId="166" fontId="13" fillId="6" borderId="220" xfId="2" applyNumberFormat="1" applyFont="1" applyFill="1" applyBorder="1" applyAlignment="1" applyProtection="1">
      <alignment horizontal="center" vertical="center"/>
    </xf>
    <xf numFmtId="166" fontId="13" fillId="6" borderId="221" xfId="2" applyNumberFormat="1" applyFont="1" applyFill="1" applyBorder="1" applyAlignment="1" applyProtection="1">
      <alignment horizontal="center" vertical="center"/>
    </xf>
    <xf numFmtId="0" fontId="59" fillId="0" borderId="216" xfId="0" applyFont="1" applyBorder="1" applyAlignment="1">
      <alignment horizontal="center"/>
    </xf>
    <xf numFmtId="0" fontId="59" fillId="0" borderId="114" xfId="0" applyFont="1" applyBorder="1" applyAlignment="1">
      <alignment horizontal="center"/>
    </xf>
    <xf numFmtId="0" fontId="59" fillId="0" borderId="126" xfId="0" applyFont="1" applyBorder="1" applyAlignment="1">
      <alignment horizontal="center"/>
    </xf>
    <xf numFmtId="0" fontId="18" fillId="6" borderId="4" xfId="3" applyFont="1" applyFill="1" applyBorder="1" applyAlignment="1">
      <alignment horizontal="center" vertical="center" wrapText="1"/>
    </xf>
    <xf numFmtId="0" fontId="13" fillId="3" borderId="66" xfId="0" applyFont="1" applyFill="1" applyBorder="1" applyAlignment="1">
      <alignment horizontal="center" vertical="center"/>
    </xf>
    <xf numFmtId="0" fontId="13" fillId="3" borderId="64" xfId="0" applyFont="1" applyFill="1" applyBorder="1" applyAlignment="1">
      <alignment horizontal="center" vertical="center"/>
    </xf>
    <xf numFmtId="0" fontId="13" fillId="3" borderId="69" xfId="0" applyFont="1" applyFill="1" applyBorder="1" applyAlignment="1">
      <alignment horizontal="center" vertical="center"/>
    </xf>
    <xf numFmtId="0" fontId="55" fillId="3" borderId="41" xfId="5" applyNumberFormat="1" applyFont="1" applyFill="1" applyBorder="1" applyAlignment="1">
      <alignment horizontal="center" vertical="center"/>
    </xf>
    <xf numFmtId="0" fontId="55" fillId="3" borderId="71" xfId="5" applyNumberFormat="1" applyFont="1" applyFill="1" applyBorder="1" applyAlignment="1">
      <alignment horizontal="center" vertical="center"/>
    </xf>
    <xf numFmtId="166" fontId="55" fillId="3" borderId="138" xfId="5" applyNumberFormat="1" applyFont="1" applyFill="1" applyBorder="1" applyAlignment="1" applyProtection="1">
      <alignment horizontal="center" vertical="center"/>
    </xf>
    <xf numFmtId="166" fontId="55" fillId="3" borderId="41" xfId="5" applyNumberFormat="1" applyFont="1" applyFill="1" applyBorder="1" applyAlignment="1" applyProtection="1">
      <alignment horizontal="center" vertical="center"/>
    </xf>
    <xf numFmtId="166" fontId="55" fillId="3" borderId="63" xfId="5" applyNumberFormat="1" applyFont="1" applyFill="1" applyBorder="1" applyAlignment="1" applyProtection="1">
      <alignment horizontal="center" vertical="center"/>
    </xf>
    <xf numFmtId="166" fontId="55" fillId="3" borderId="44" xfId="5" applyNumberFormat="1" applyFont="1" applyFill="1" applyBorder="1" applyAlignment="1" applyProtection="1">
      <alignment horizontal="center" vertical="center"/>
    </xf>
    <xf numFmtId="0" fontId="55" fillId="3" borderId="32" xfId="5" applyFont="1" applyFill="1" applyBorder="1" applyAlignment="1">
      <alignment horizontal="center" vertical="center" wrapText="1"/>
    </xf>
    <xf numFmtId="0" fontId="55" fillId="3" borderId="20" xfId="5" applyFont="1" applyFill="1" applyBorder="1" applyAlignment="1">
      <alignment horizontal="center" vertical="center" wrapText="1"/>
    </xf>
    <xf numFmtId="0" fontId="55" fillId="3" borderId="31" xfId="5" applyFont="1" applyFill="1" applyBorder="1" applyAlignment="1">
      <alignment horizontal="center" vertical="center" wrapText="1"/>
    </xf>
    <xf numFmtId="0" fontId="55" fillId="3" borderId="63" xfId="5" applyNumberFormat="1" applyFont="1" applyFill="1" applyBorder="1" applyAlignment="1">
      <alignment horizontal="center" vertical="center"/>
    </xf>
    <xf numFmtId="0" fontId="45" fillId="6" borderId="6" xfId="0" applyFont="1" applyFill="1" applyBorder="1" applyAlignment="1">
      <alignment horizontal="center" vertical="center"/>
    </xf>
    <xf numFmtId="0" fontId="45" fillId="6" borderId="7" xfId="0" applyFont="1" applyFill="1" applyBorder="1" applyAlignment="1">
      <alignment horizontal="center" vertical="center"/>
    </xf>
    <xf numFmtId="0" fontId="45" fillId="6" borderId="8" xfId="0" applyFont="1" applyFill="1" applyBorder="1" applyAlignment="1">
      <alignment horizontal="center" vertical="center"/>
    </xf>
    <xf numFmtId="0" fontId="45" fillId="6" borderId="9" xfId="0" applyFont="1" applyFill="1" applyBorder="1" applyAlignment="1">
      <alignment horizontal="center" vertical="center"/>
    </xf>
    <xf numFmtId="0" fontId="45" fillId="6" borderId="0" xfId="0" applyFont="1" applyFill="1" applyAlignment="1">
      <alignment horizontal="center" vertical="center"/>
    </xf>
    <xf numFmtId="0" fontId="45" fillId="6" borderId="10" xfId="0" applyFont="1" applyFill="1" applyBorder="1" applyAlignment="1">
      <alignment horizontal="center" vertical="center"/>
    </xf>
    <xf numFmtId="0" fontId="45" fillId="6" borderId="5" xfId="0" applyFont="1" applyFill="1" applyBorder="1" applyAlignment="1">
      <alignment horizontal="center" vertical="center"/>
    </xf>
    <xf numFmtId="0" fontId="45" fillId="6" borderId="2" xfId="0" applyFont="1" applyFill="1" applyBorder="1" applyAlignment="1">
      <alignment horizontal="center" vertical="center"/>
    </xf>
    <xf numFmtId="0" fontId="45" fillId="6" borderId="3" xfId="0" applyFont="1" applyFill="1" applyBorder="1" applyAlignment="1">
      <alignment horizontal="center" vertical="center"/>
    </xf>
    <xf numFmtId="0" fontId="13" fillId="6" borderId="3" xfId="0" applyFont="1" applyFill="1" applyBorder="1" applyAlignment="1">
      <alignment horizontal="center" vertical="center" wrapText="1"/>
    </xf>
    <xf numFmtId="0" fontId="55" fillId="3" borderId="10" xfId="5" applyFont="1" applyFill="1" applyBorder="1" applyAlignment="1">
      <alignment horizontal="center" vertical="center" wrapText="1"/>
    </xf>
    <xf numFmtId="0" fontId="55" fillId="3" borderId="237" xfId="5" applyFont="1" applyFill="1" applyBorder="1" applyAlignment="1">
      <alignment horizontal="center" vertical="center" wrapText="1"/>
    </xf>
    <xf numFmtId="166" fontId="13" fillId="3" borderId="70" xfId="2" applyNumberFormat="1" applyFont="1" applyFill="1" applyBorder="1" applyAlignment="1" applyProtection="1">
      <alignment horizontal="center" vertical="center"/>
    </xf>
    <xf numFmtId="166" fontId="13" fillId="3" borderId="42" xfId="2" applyNumberFormat="1" applyFont="1" applyFill="1" applyBorder="1" applyAlignment="1" applyProtection="1">
      <alignment horizontal="center" vertical="center"/>
    </xf>
    <xf numFmtId="166" fontId="13" fillId="3" borderId="45" xfId="2" applyNumberFormat="1" applyFont="1" applyFill="1" applyBorder="1" applyAlignment="1" applyProtection="1">
      <alignment horizontal="center" vertical="center"/>
    </xf>
    <xf numFmtId="166" fontId="13" fillId="6" borderId="68" xfId="2" applyNumberFormat="1" applyFont="1" applyFill="1" applyBorder="1" applyAlignment="1" applyProtection="1">
      <alignment horizontal="center" vertical="center"/>
    </xf>
    <xf numFmtId="166" fontId="13" fillId="6" borderId="42" xfId="2" applyNumberFormat="1" applyFont="1" applyFill="1" applyBorder="1" applyAlignment="1" applyProtection="1">
      <alignment horizontal="center" vertical="center"/>
    </xf>
    <xf numFmtId="166" fontId="13" fillId="6" borderId="70" xfId="2" applyNumberFormat="1" applyFont="1" applyFill="1" applyBorder="1" applyAlignment="1" applyProtection="1">
      <alignment horizontal="center" vertical="center"/>
    </xf>
    <xf numFmtId="166" fontId="13" fillId="6" borderId="45" xfId="2" applyNumberFormat="1" applyFont="1" applyFill="1" applyBorder="1" applyAlignment="1" applyProtection="1">
      <alignment horizontal="center" vertical="center"/>
    </xf>
    <xf numFmtId="0" fontId="13" fillId="6" borderId="9" xfId="0" applyFont="1" applyFill="1" applyBorder="1" applyAlignment="1">
      <alignment horizontal="center" vertical="center"/>
    </xf>
    <xf numFmtId="0" fontId="55" fillId="3" borderId="26" xfId="5" applyFont="1" applyFill="1" applyBorder="1" applyAlignment="1">
      <alignment horizontal="center" vertical="center"/>
    </xf>
    <xf numFmtId="0" fontId="55" fillId="3" borderId="18" xfId="5" applyFont="1" applyFill="1" applyBorder="1" applyAlignment="1">
      <alignment horizontal="center" vertical="center"/>
    </xf>
    <xf numFmtId="0" fontId="55" fillId="3" borderId="23" xfId="5" applyFont="1" applyFill="1" applyBorder="1" applyAlignment="1">
      <alignment horizontal="center" vertical="center"/>
    </xf>
    <xf numFmtId="0" fontId="10" fillId="5" borderId="21" xfId="3" applyFont="1" applyFill="1" applyBorder="1" applyAlignment="1">
      <alignment horizontal="center" vertical="center"/>
    </xf>
    <xf numFmtId="0" fontId="10" fillId="5" borderId="22" xfId="3" applyFont="1" applyFill="1" applyBorder="1" applyAlignment="1">
      <alignment horizontal="center" vertical="center"/>
    </xf>
    <xf numFmtId="0" fontId="10" fillId="5" borderId="7" xfId="3" applyFont="1" applyFill="1" applyBorder="1" applyAlignment="1">
      <alignment horizontal="center" vertical="center"/>
    </xf>
    <xf numFmtId="0" fontId="10" fillId="5" borderId="25" xfId="3" applyFont="1" applyFill="1" applyBorder="1" applyAlignment="1">
      <alignment horizontal="center" vertical="center"/>
    </xf>
    <xf numFmtId="0" fontId="13" fillId="6" borderId="2" xfId="0" applyFont="1" applyFill="1" applyBorder="1" applyAlignment="1">
      <alignment horizontal="center" vertical="center" wrapText="1"/>
    </xf>
    <xf numFmtId="0" fontId="55" fillId="3" borderId="8" xfId="5" applyFont="1" applyFill="1" applyBorder="1" applyAlignment="1">
      <alignment horizontal="center" vertical="center" wrapText="1"/>
    </xf>
    <xf numFmtId="0" fontId="8" fillId="5" borderId="21" xfId="0" applyFont="1" applyFill="1" applyBorder="1" applyAlignment="1">
      <alignment horizontal="center" vertical="center" wrapText="1"/>
    </xf>
    <xf numFmtId="0" fontId="8" fillId="5" borderId="22"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20" fillId="5" borderId="9" xfId="3" applyFont="1" applyFill="1" applyBorder="1" applyAlignment="1">
      <alignment horizontal="center" vertical="center" wrapText="1"/>
    </xf>
    <xf numFmtId="0" fontId="20" fillId="5" borderId="0" xfId="3" applyFont="1" applyFill="1" applyAlignment="1">
      <alignment horizontal="center" vertical="center" wrapText="1"/>
    </xf>
    <xf numFmtId="0" fontId="20" fillId="5" borderId="10" xfId="3" applyFont="1" applyFill="1" applyBorder="1" applyAlignment="1">
      <alignment horizontal="center" vertical="center" wrapText="1"/>
    </xf>
    <xf numFmtId="0" fontId="13" fillId="7" borderId="0" xfId="0" applyFont="1" applyFill="1" applyAlignment="1">
      <alignment horizontal="center" vertical="center" wrapText="1"/>
    </xf>
    <xf numFmtId="0" fontId="13" fillId="6" borderId="5" xfId="0" applyFont="1" applyFill="1" applyBorder="1" applyAlignment="1">
      <alignment horizontal="center" vertical="center" wrapText="1"/>
    </xf>
    <xf numFmtId="0" fontId="13" fillId="6" borderId="6" xfId="0" applyFont="1" applyFill="1" applyBorder="1" applyAlignment="1">
      <alignment horizontal="center" vertical="center"/>
    </xf>
    <xf numFmtId="0" fontId="13" fillId="6" borderId="5" xfId="0" applyFont="1" applyFill="1" applyBorder="1" applyAlignment="1">
      <alignment horizontal="center" vertical="center"/>
    </xf>
    <xf numFmtId="0" fontId="13" fillId="6" borderId="8" xfId="0" applyFont="1" applyFill="1" applyBorder="1" applyAlignment="1">
      <alignment horizontal="center" vertical="center"/>
    </xf>
    <xf numFmtId="0" fontId="13" fillId="6" borderId="10" xfId="0" applyFont="1" applyFill="1" applyBorder="1" applyAlignment="1">
      <alignment horizontal="center" vertical="center"/>
    </xf>
    <xf numFmtId="0" fontId="13" fillId="6" borderId="3" xfId="0" applyFont="1" applyFill="1" applyBorder="1" applyAlignment="1">
      <alignment horizontal="center" vertical="center"/>
    </xf>
    <xf numFmtId="0" fontId="2" fillId="10" borderId="147" xfId="0" applyFont="1" applyFill="1" applyBorder="1" applyAlignment="1" applyProtection="1">
      <alignment horizontal="center" vertical="center"/>
      <protection locked="0"/>
    </xf>
    <xf numFmtId="0" fontId="13" fillId="6" borderId="11" xfId="0" applyFont="1" applyFill="1" applyBorder="1" applyAlignment="1">
      <alignment horizontal="center" vertical="center" wrapText="1" readingOrder="2"/>
    </xf>
    <xf numFmtId="0" fontId="13" fillId="6" borderId="20" xfId="0" applyFont="1" applyFill="1" applyBorder="1" applyAlignment="1">
      <alignment horizontal="center" vertical="center" wrapText="1" readingOrder="2"/>
    </xf>
    <xf numFmtId="0" fontId="2" fillId="10" borderId="166" xfId="0" applyFont="1" applyFill="1" applyBorder="1" applyAlignment="1" applyProtection="1">
      <alignment horizontal="center" vertical="center"/>
      <protection locked="0"/>
    </xf>
    <xf numFmtId="0" fontId="2" fillId="10" borderId="156" xfId="0" applyFont="1" applyFill="1" applyBorder="1" applyAlignment="1" applyProtection="1">
      <alignment horizontal="center" vertical="center"/>
      <protection locked="0"/>
    </xf>
    <xf numFmtId="0" fontId="2" fillId="10" borderId="157" xfId="0" applyFont="1" applyFill="1" applyBorder="1" applyAlignment="1" applyProtection="1">
      <alignment horizontal="center" vertical="center"/>
      <protection locked="0"/>
    </xf>
    <xf numFmtId="0" fontId="13" fillId="6" borderId="20" xfId="3" applyFont="1" applyFill="1" applyBorder="1" applyAlignment="1">
      <alignment horizontal="center" vertical="center" wrapText="1"/>
    </xf>
    <xf numFmtId="0" fontId="11" fillId="6" borderId="20" xfId="3" applyFont="1" applyFill="1" applyBorder="1" applyAlignment="1">
      <alignment horizontal="center" vertical="center" wrapText="1"/>
    </xf>
    <xf numFmtId="0" fontId="11" fillId="6" borderId="4" xfId="3" applyFont="1" applyFill="1" applyBorder="1" applyAlignment="1">
      <alignment horizontal="center" vertical="center" wrapText="1"/>
    </xf>
    <xf numFmtId="0" fontId="55" fillId="6" borderId="9" xfId="5" applyFont="1" applyFill="1" applyBorder="1" applyAlignment="1" applyProtection="1">
      <alignment horizontal="center" vertical="center" wrapText="1" readingOrder="2"/>
    </xf>
    <xf numFmtId="0" fontId="55" fillId="6" borderId="5" xfId="5" applyFont="1" applyFill="1" applyBorder="1" applyAlignment="1" applyProtection="1">
      <alignment horizontal="center" vertical="center" wrapText="1" readingOrder="2"/>
    </xf>
    <xf numFmtId="0" fontId="4" fillId="10" borderId="140" xfId="0" applyFont="1" applyFill="1" applyBorder="1" applyAlignment="1" applyProtection="1">
      <alignment horizontal="center" vertical="center" wrapText="1"/>
      <protection locked="0"/>
    </xf>
    <xf numFmtId="0" fontId="13" fillId="6" borderId="20" xfId="0" applyFont="1" applyFill="1" applyBorder="1" applyAlignment="1">
      <alignment horizontal="center" vertical="center" wrapText="1"/>
    </xf>
    <xf numFmtId="0" fontId="7" fillId="6" borderId="20" xfId="0" applyFont="1" applyFill="1" applyBorder="1" applyAlignment="1">
      <alignment horizontal="center" vertical="center" wrapText="1"/>
    </xf>
    <xf numFmtId="0" fontId="2" fillId="10" borderId="166" xfId="0" applyFont="1" applyFill="1" applyBorder="1" applyAlignment="1" applyProtection="1">
      <alignment horizontal="center" vertical="center" wrapText="1"/>
      <protection locked="0"/>
    </xf>
    <xf numFmtId="0" fontId="2" fillId="10" borderId="156" xfId="0" applyFont="1" applyFill="1" applyBorder="1" applyAlignment="1" applyProtection="1">
      <alignment horizontal="center" vertical="center" wrapText="1"/>
      <protection locked="0"/>
    </xf>
    <xf numFmtId="0" fontId="2" fillId="10" borderId="157" xfId="0" applyFont="1" applyFill="1" applyBorder="1" applyAlignment="1" applyProtection="1">
      <alignment horizontal="center" vertical="center" wrapText="1"/>
      <protection locked="0"/>
    </xf>
    <xf numFmtId="0" fontId="2" fillId="10" borderId="140" xfId="0" applyFont="1" applyFill="1" applyBorder="1" applyAlignment="1" applyProtection="1">
      <alignment horizontal="center" vertical="center" wrapText="1"/>
      <protection locked="0"/>
    </xf>
    <xf numFmtId="0" fontId="2" fillId="10" borderId="143" xfId="0" applyFont="1" applyFill="1" applyBorder="1" applyAlignment="1" applyProtection="1">
      <alignment horizontal="center" vertical="center" wrapText="1"/>
      <protection locked="0"/>
    </xf>
    <xf numFmtId="0" fontId="2" fillId="10" borderId="145" xfId="0" applyFont="1" applyFill="1" applyBorder="1" applyAlignment="1" applyProtection="1">
      <alignment horizontal="center" vertical="center" wrapText="1"/>
      <protection locked="0"/>
    </xf>
    <xf numFmtId="0" fontId="4" fillId="10" borderId="143" xfId="0" applyFont="1" applyFill="1" applyBorder="1" applyAlignment="1" applyProtection="1">
      <alignment horizontal="center" vertical="center" wrapText="1"/>
      <protection locked="0"/>
    </xf>
    <xf numFmtId="0" fontId="4" fillId="10" borderId="145" xfId="0" applyFont="1" applyFill="1" applyBorder="1" applyAlignment="1" applyProtection="1">
      <alignment horizontal="center" vertical="center" wrapText="1"/>
      <protection locked="0"/>
    </xf>
    <xf numFmtId="0" fontId="55" fillId="6" borderId="20" xfId="5" applyFont="1" applyFill="1" applyBorder="1" applyAlignment="1" applyProtection="1">
      <alignment horizontal="center" vertical="center" wrapText="1" readingOrder="2"/>
    </xf>
    <xf numFmtId="0" fontId="55" fillId="6" borderId="11" xfId="5" applyFont="1" applyFill="1" applyBorder="1" applyAlignment="1" applyProtection="1">
      <alignment horizontal="center" vertical="center" wrapText="1" readingOrder="2"/>
    </xf>
    <xf numFmtId="0" fontId="55" fillId="6" borderId="4" xfId="5" applyFont="1" applyFill="1" applyBorder="1" applyAlignment="1" applyProtection="1">
      <alignment horizontal="center" vertical="center" wrapText="1" readingOrder="2"/>
    </xf>
    <xf numFmtId="168" fontId="50" fillId="6" borderId="94" xfId="4" applyNumberFormat="1" applyFont="1" applyFill="1" applyBorder="1" applyAlignment="1" applyProtection="1">
      <alignment horizontal="right" vertical="center"/>
    </xf>
    <xf numFmtId="168" fontId="50" fillId="6" borderId="132" xfId="4" applyNumberFormat="1" applyFont="1" applyFill="1" applyBorder="1" applyAlignment="1" applyProtection="1">
      <alignment horizontal="right" vertical="center"/>
    </xf>
    <xf numFmtId="168" fontId="50" fillId="6" borderId="186" xfId="4" applyNumberFormat="1" applyFont="1" applyFill="1" applyBorder="1" applyAlignment="1" applyProtection="1">
      <alignment horizontal="right" vertical="center"/>
    </xf>
    <xf numFmtId="168" fontId="50" fillId="6" borderId="184" xfId="4" applyNumberFormat="1" applyFont="1" applyFill="1" applyBorder="1" applyAlignment="1" applyProtection="1">
      <alignment horizontal="right" vertical="center" wrapText="1"/>
    </xf>
    <xf numFmtId="168" fontId="50" fillId="6" borderId="134" xfId="4" applyNumberFormat="1" applyFont="1" applyFill="1" applyBorder="1" applyAlignment="1" applyProtection="1">
      <alignment horizontal="right" vertical="center" wrapText="1"/>
    </xf>
    <xf numFmtId="168" fontId="50" fillId="6" borderId="187" xfId="4" applyNumberFormat="1" applyFont="1" applyFill="1" applyBorder="1" applyAlignment="1" applyProtection="1">
      <alignment horizontal="right" vertical="center" wrapText="1"/>
    </xf>
    <xf numFmtId="0" fontId="4" fillId="10" borderId="165" xfId="0" applyFont="1" applyFill="1" applyBorder="1" applyAlignment="1" applyProtection="1">
      <alignment horizontal="center" vertical="center" wrapText="1"/>
      <protection locked="0"/>
    </xf>
    <xf numFmtId="0" fontId="4" fillId="10" borderId="147" xfId="0" applyFont="1" applyFill="1" applyBorder="1" applyAlignment="1" applyProtection="1">
      <alignment horizontal="center" vertical="center" wrapText="1"/>
      <protection locked="0"/>
    </xf>
    <xf numFmtId="0" fontId="4" fillId="10" borderId="158" xfId="0" applyFont="1" applyFill="1" applyBorder="1" applyAlignment="1" applyProtection="1">
      <alignment horizontal="center" vertical="center" wrapText="1"/>
      <protection locked="0"/>
    </xf>
    <xf numFmtId="0" fontId="4" fillId="10" borderId="165" xfId="0" applyFont="1" applyFill="1" applyBorder="1" applyAlignment="1" applyProtection="1">
      <alignment horizontal="center" vertical="center"/>
      <protection locked="0"/>
    </xf>
    <xf numFmtId="0" fontId="4" fillId="10" borderId="147" xfId="0" applyFont="1" applyFill="1" applyBorder="1" applyAlignment="1" applyProtection="1">
      <alignment horizontal="center" vertical="center"/>
      <protection locked="0"/>
    </xf>
    <xf numFmtId="0" fontId="4" fillId="10" borderId="158" xfId="0" applyFont="1" applyFill="1" applyBorder="1" applyAlignment="1" applyProtection="1">
      <alignment horizontal="center" vertical="center"/>
      <protection locked="0"/>
    </xf>
    <xf numFmtId="167" fontId="13" fillId="3" borderId="11" xfId="4" applyNumberFormat="1" applyFont="1" applyFill="1" applyBorder="1" applyAlignment="1" applyProtection="1">
      <alignment horizontal="center" vertical="center"/>
    </xf>
    <xf numFmtId="167" fontId="13" fillId="3" borderId="20" xfId="4" applyNumberFormat="1" applyFont="1" applyFill="1" applyBorder="1" applyAlignment="1" applyProtection="1">
      <alignment horizontal="center" vertical="center"/>
    </xf>
    <xf numFmtId="167" fontId="13" fillId="3" borderId="4" xfId="4" applyNumberFormat="1" applyFont="1" applyFill="1" applyBorder="1" applyAlignment="1" applyProtection="1">
      <alignment horizontal="center" vertical="center"/>
    </xf>
    <xf numFmtId="0" fontId="4" fillId="10" borderId="148" xfId="0" applyFont="1" applyFill="1" applyBorder="1" applyAlignment="1" applyProtection="1">
      <alignment horizontal="center" vertical="center" wrapText="1"/>
      <protection locked="0"/>
    </xf>
    <xf numFmtId="0" fontId="4" fillId="10" borderId="149" xfId="0" applyFont="1" applyFill="1" applyBorder="1" applyAlignment="1" applyProtection="1">
      <alignment horizontal="center" vertical="center" wrapText="1"/>
      <protection locked="0"/>
    </xf>
    <xf numFmtId="0" fontId="13" fillId="6" borderId="6" xfId="0" applyFont="1" applyFill="1" applyBorder="1" applyAlignment="1">
      <alignment horizontal="center" vertical="center" wrapText="1" readingOrder="2"/>
    </xf>
    <xf numFmtId="0" fontId="13" fillId="6" borderId="7" xfId="0" applyFont="1" applyFill="1" applyBorder="1" applyAlignment="1">
      <alignment horizontal="center" vertical="center" wrapText="1" readingOrder="2"/>
    </xf>
    <xf numFmtId="0" fontId="13" fillId="6" borderId="9" xfId="0" applyFont="1" applyFill="1" applyBorder="1" applyAlignment="1">
      <alignment horizontal="center" vertical="center" wrapText="1" readingOrder="2"/>
    </xf>
    <xf numFmtId="0" fontId="13" fillId="6" borderId="0" xfId="0" applyFont="1" applyFill="1" applyAlignment="1">
      <alignment horizontal="center" vertical="center" wrapText="1" readingOrder="2"/>
    </xf>
    <xf numFmtId="0" fontId="13" fillId="6" borderId="5" xfId="0" applyFont="1" applyFill="1" applyBorder="1" applyAlignment="1">
      <alignment horizontal="center" vertical="center" wrapText="1" readingOrder="2"/>
    </xf>
    <xf numFmtId="0" fontId="13" fillId="6" borderId="2" xfId="0" applyFont="1" applyFill="1" applyBorder="1" applyAlignment="1">
      <alignment horizontal="center" vertical="center" wrapText="1" readingOrder="2"/>
    </xf>
    <xf numFmtId="0" fontId="13" fillId="10" borderId="103" xfId="0" applyFont="1" applyFill="1" applyBorder="1" applyAlignment="1" applyProtection="1">
      <alignment horizontal="center" vertical="center" wrapText="1"/>
      <protection locked="0"/>
    </xf>
    <xf numFmtId="0" fontId="13" fillId="10" borderId="104" xfId="0" applyFont="1" applyFill="1" applyBorder="1" applyAlignment="1" applyProtection="1">
      <alignment horizontal="center" vertical="center" wrapText="1"/>
      <protection locked="0"/>
    </xf>
    <xf numFmtId="0" fontId="52" fillId="10" borderId="105" xfId="0" applyFont="1" applyFill="1" applyBorder="1" applyAlignment="1" applyProtection="1">
      <alignment horizontal="center" vertical="center"/>
      <protection locked="0"/>
    </xf>
    <xf numFmtId="0" fontId="52" fillId="10" borderId="106" xfId="0" applyFont="1" applyFill="1" applyBorder="1" applyAlignment="1" applyProtection="1">
      <alignment horizontal="center" vertical="center"/>
      <protection locked="0"/>
    </xf>
    <xf numFmtId="167" fontId="52" fillId="0" borderId="6" xfId="0" applyNumberFormat="1" applyFont="1" applyBorder="1" applyAlignment="1">
      <alignment horizontal="center" vertical="center"/>
    </xf>
    <xf numFmtId="167" fontId="52" fillId="0" borderId="7" xfId="0" applyNumberFormat="1" applyFont="1" applyBorder="1" applyAlignment="1">
      <alignment horizontal="center" vertical="center"/>
    </xf>
    <xf numFmtId="167" fontId="52" fillId="0" borderId="9" xfId="0" applyNumberFormat="1" applyFont="1" applyBorder="1" applyAlignment="1">
      <alignment horizontal="center" vertical="center"/>
    </xf>
    <xf numFmtId="167" fontId="52" fillId="0" borderId="0" xfId="0" applyNumberFormat="1" applyFont="1" applyAlignment="1">
      <alignment horizontal="center" vertical="center"/>
    </xf>
    <xf numFmtId="167" fontId="52" fillId="0" borderId="5" xfId="0" applyNumberFormat="1" applyFont="1" applyBorder="1" applyAlignment="1">
      <alignment horizontal="center" vertical="center"/>
    </xf>
    <xf numFmtId="167" fontId="52" fillId="0" borderId="2" xfId="0" applyNumberFormat="1" applyFont="1" applyBorder="1" applyAlignment="1">
      <alignment horizontal="center" vertical="center"/>
    </xf>
    <xf numFmtId="0" fontId="52" fillId="10" borderId="107" xfId="0" applyFont="1" applyFill="1" applyBorder="1" applyAlignment="1" applyProtection="1">
      <alignment horizontal="center" vertical="center"/>
      <protection locked="0"/>
    </xf>
    <xf numFmtId="0" fontId="52" fillId="10" borderId="108" xfId="0" applyFont="1" applyFill="1" applyBorder="1" applyAlignment="1" applyProtection="1">
      <alignment horizontal="center" vertical="center"/>
      <protection locked="0"/>
    </xf>
    <xf numFmtId="0" fontId="52" fillId="0" borderId="6" xfId="0" applyFont="1" applyBorder="1" applyAlignment="1">
      <alignment horizontal="center" vertical="center"/>
    </xf>
    <xf numFmtId="0" fontId="52" fillId="0" borderId="7" xfId="0" applyFont="1" applyBorder="1" applyAlignment="1">
      <alignment horizontal="center" vertical="center"/>
    </xf>
    <xf numFmtId="0" fontId="52" fillId="0" borderId="9" xfId="0" applyFont="1" applyBorder="1" applyAlignment="1">
      <alignment horizontal="center" vertical="center"/>
    </xf>
    <xf numFmtId="0" fontId="52" fillId="0" borderId="0" xfId="0" applyFont="1" applyAlignment="1">
      <alignment horizontal="center" vertical="center"/>
    </xf>
    <xf numFmtId="0" fontId="52" fillId="0" borderId="5" xfId="0" applyFont="1" applyBorder="1" applyAlignment="1">
      <alignment horizontal="center" vertical="center"/>
    </xf>
    <xf numFmtId="0" fontId="52" fillId="0" borderId="2" xfId="0" applyFont="1" applyBorder="1" applyAlignment="1">
      <alignment horizontal="center" vertical="center"/>
    </xf>
    <xf numFmtId="167" fontId="53" fillId="0" borderId="6" xfId="0" applyNumberFormat="1" applyFont="1" applyBorder="1" applyAlignment="1">
      <alignment horizontal="center" vertical="center"/>
    </xf>
    <xf numFmtId="167" fontId="53" fillId="0" borderId="8" xfId="0" applyNumberFormat="1" applyFont="1" applyBorder="1" applyAlignment="1">
      <alignment horizontal="center" vertical="center"/>
    </xf>
    <xf numFmtId="167" fontId="53" fillId="0" borderId="9" xfId="0" applyNumberFormat="1" applyFont="1" applyBorder="1" applyAlignment="1">
      <alignment horizontal="center" vertical="center"/>
    </xf>
    <xf numFmtId="167" fontId="53" fillId="0" borderId="10" xfId="0" applyNumberFormat="1" applyFont="1" applyBorder="1" applyAlignment="1">
      <alignment horizontal="center" vertical="center"/>
    </xf>
    <xf numFmtId="167" fontId="53" fillId="0" borderId="5" xfId="0" applyNumberFormat="1" applyFont="1" applyBorder="1" applyAlignment="1">
      <alignment horizontal="center" vertical="center"/>
    </xf>
    <xf numFmtId="167" fontId="53" fillId="0" borderId="3" xfId="0" applyNumberFormat="1" applyFont="1" applyBorder="1" applyAlignment="1">
      <alignment horizontal="center" vertical="center"/>
    </xf>
    <xf numFmtId="0" fontId="52" fillId="10" borderId="103" xfId="0" applyFont="1" applyFill="1" applyBorder="1" applyAlignment="1" applyProtection="1">
      <alignment horizontal="center" vertical="center"/>
      <protection locked="0"/>
    </xf>
    <xf numFmtId="0" fontId="52" fillId="10" borderId="104" xfId="0" applyFont="1" applyFill="1" applyBorder="1" applyAlignment="1" applyProtection="1">
      <alignment horizontal="center" vertical="center"/>
      <protection locked="0"/>
    </xf>
    <xf numFmtId="0" fontId="4" fillId="10" borderId="167" xfId="0" applyFont="1" applyFill="1" applyBorder="1" applyAlignment="1" applyProtection="1">
      <alignment horizontal="center" vertical="center" wrapText="1"/>
      <protection locked="0"/>
    </xf>
    <xf numFmtId="0" fontId="4" fillId="10" borderId="168" xfId="0" applyFont="1" applyFill="1" applyBorder="1" applyAlignment="1" applyProtection="1">
      <alignment horizontal="center" vertical="center" wrapText="1"/>
      <protection locked="0"/>
    </xf>
    <xf numFmtId="0" fontId="4" fillId="10" borderId="152" xfId="0" applyFont="1" applyFill="1" applyBorder="1" applyAlignment="1" applyProtection="1">
      <alignment horizontal="center" vertical="center" wrapText="1"/>
      <protection locked="0"/>
    </xf>
    <xf numFmtId="0" fontId="4" fillId="10" borderId="153" xfId="0" applyFont="1" applyFill="1" applyBorder="1" applyAlignment="1" applyProtection="1">
      <alignment horizontal="center" vertical="center" wrapText="1"/>
      <protection locked="0"/>
    </xf>
    <xf numFmtId="0" fontId="50" fillId="10" borderId="167" xfId="0" applyFont="1" applyFill="1" applyBorder="1" applyAlignment="1" applyProtection="1">
      <alignment horizontal="center" vertical="center"/>
      <protection locked="0"/>
    </xf>
    <xf numFmtId="0" fontId="50" fillId="10" borderId="168" xfId="0" applyFont="1" applyFill="1" applyBorder="1" applyAlignment="1" applyProtection="1">
      <alignment horizontal="center" vertical="center"/>
      <protection locked="0"/>
    </xf>
    <xf numFmtId="0" fontId="50" fillId="10" borderId="152" xfId="0" applyFont="1" applyFill="1" applyBorder="1" applyAlignment="1" applyProtection="1">
      <alignment horizontal="center" vertical="center"/>
      <protection locked="0"/>
    </xf>
    <xf numFmtId="0" fontId="50" fillId="10" borderId="153" xfId="0" applyFont="1" applyFill="1" applyBorder="1" applyAlignment="1" applyProtection="1">
      <alignment horizontal="center" vertical="center"/>
      <protection locked="0"/>
    </xf>
    <xf numFmtId="0" fontId="50" fillId="10" borderId="159" xfId="0" applyFont="1" applyFill="1" applyBorder="1" applyAlignment="1" applyProtection="1">
      <alignment horizontal="center" vertical="center"/>
      <protection locked="0"/>
    </xf>
    <xf numFmtId="0" fontId="50" fillId="10" borderId="160" xfId="0" applyFont="1" applyFill="1" applyBorder="1" applyAlignment="1" applyProtection="1">
      <alignment horizontal="center" vertical="center"/>
      <protection locked="0"/>
    </xf>
    <xf numFmtId="0" fontId="50" fillId="10" borderId="145" xfId="0" applyFont="1" applyFill="1" applyBorder="1" applyAlignment="1" applyProtection="1">
      <alignment horizontal="center" vertical="center"/>
      <protection locked="0"/>
    </xf>
    <xf numFmtId="0" fontId="2" fillId="10" borderId="145" xfId="0" applyFont="1" applyFill="1" applyBorder="1" applyAlignment="1" applyProtection="1">
      <alignment horizontal="center" vertical="center"/>
      <protection locked="0"/>
    </xf>
    <xf numFmtId="0" fontId="50" fillId="10" borderId="143" xfId="0" applyFont="1" applyFill="1" applyBorder="1" applyAlignment="1" applyProtection="1">
      <alignment horizontal="center" vertical="center"/>
      <protection locked="0"/>
    </xf>
    <xf numFmtId="0" fontId="7" fillId="6" borderId="11" xfId="0" applyFont="1" applyFill="1" applyBorder="1" applyAlignment="1" applyProtection="1">
      <alignment horizontal="center" vertical="center"/>
      <protection locked="0"/>
    </xf>
    <xf numFmtId="0" fontId="7" fillId="6" borderId="20" xfId="0" applyFont="1" applyFill="1" applyBorder="1" applyAlignment="1" applyProtection="1">
      <alignment horizontal="center" vertical="center"/>
      <protection locked="0"/>
    </xf>
    <xf numFmtId="0" fontId="7" fillId="6" borderId="4" xfId="0" applyFont="1" applyFill="1" applyBorder="1" applyAlignment="1" applyProtection="1">
      <alignment horizontal="center" vertical="center"/>
      <protection locked="0"/>
    </xf>
    <xf numFmtId="0" fontId="2" fillId="10" borderId="167" xfId="0" applyFont="1" applyFill="1" applyBorder="1" applyAlignment="1" applyProtection="1">
      <alignment horizontal="center" vertical="center"/>
      <protection locked="0"/>
    </xf>
    <xf numFmtId="0" fontId="2" fillId="10" borderId="168" xfId="0" applyFont="1" applyFill="1" applyBorder="1" applyAlignment="1" applyProtection="1">
      <alignment horizontal="center" vertical="center"/>
      <protection locked="0"/>
    </xf>
    <xf numFmtId="0" fontId="2" fillId="10" borderId="152" xfId="0" applyFont="1" applyFill="1" applyBorder="1" applyAlignment="1" applyProtection="1">
      <alignment horizontal="center" vertical="center"/>
      <protection locked="0"/>
    </xf>
    <xf numFmtId="0" fontId="2" fillId="10" borderId="153" xfId="0" applyFont="1" applyFill="1" applyBorder="1" applyAlignment="1" applyProtection="1">
      <alignment horizontal="center" vertical="center"/>
      <protection locked="0"/>
    </xf>
    <xf numFmtId="0" fontId="2" fillId="10" borderId="159" xfId="0" applyFont="1" applyFill="1" applyBorder="1" applyAlignment="1" applyProtection="1">
      <alignment horizontal="center" vertical="center"/>
      <protection locked="0"/>
    </xf>
    <xf numFmtId="0" fontId="2" fillId="10" borderId="160" xfId="0" applyFont="1" applyFill="1" applyBorder="1" applyAlignment="1" applyProtection="1">
      <alignment horizontal="center" vertical="center"/>
      <protection locked="0"/>
    </xf>
    <xf numFmtId="0" fontId="49" fillId="10" borderId="167" xfId="0" applyFont="1" applyFill="1" applyBorder="1" applyAlignment="1" applyProtection="1">
      <alignment horizontal="center" vertical="center"/>
      <protection locked="0"/>
    </xf>
    <xf numFmtId="0" fontId="49" fillId="10" borderId="168" xfId="0" applyFont="1" applyFill="1" applyBorder="1" applyAlignment="1" applyProtection="1">
      <alignment horizontal="center" vertical="center"/>
      <protection locked="0"/>
    </xf>
    <xf numFmtId="0" fontId="49" fillId="10" borderId="152" xfId="0" applyFont="1" applyFill="1" applyBorder="1" applyAlignment="1" applyProtection="1">
      <alignment horizontal="center" vertical="center"/>
      <protection locked="0"/>
    </xf>
    <xf numFmtId="0" fontId="49" fillId="10" borderId="153" xfId="0" applyFont="1" applyFill="1" applyBorder="1" applyAlignment="1" applyProtection="1">
      <alignment horizontal="center" vertical="center"/>
      <protection locked="0"/>
    </xf>
    <xf numFmtId="0" fontId="49" fillId="10" borderId="159" xfId="0" applyFont="1" applyFill="1" applyBorder="1" applyAlignment="1" applyProtection="1">
      <alignment horizontal="center" vertical="center"/>
      <protection locked="0"/>
    </xf>
    <xf numFmtId="0" fontId="49" fillId="10" borderId="160" xfId="0" applyFont="1" applyFill="1" applyBorder="1" applyAlignment="1" applyProtection="1">
      <alignment horizontal="center" vertical="center"/>
      <protection locked="0"/>
    </xf>
    <xf numFmtId="0" fontId="4" fillId="10" borderId="159" xfId="0" applyFont="1" applyFill="1" applyBorder="1" applyAlignment="1" applyProtection="1">
      <alignment horizontal="center" vertical="center" wrapText="1"/>
      <protection locked="0"/>
    </xf>
    <xf numFmtId="0" fontId="4" fillId="10" borderId="160" xfId="0" applyFont="1" applyFill="1" applyBorder="1" applyAlignment="1" applyProtection="1">
      <alignment horizontal="center" vertical="center" wrapText="1"/>
      <protection locked="0"/>
    </xf>
    <xf numFmtId="0" fontId="2" fillId="10" borderId="140" xfId="0" applyFont="1" applyFill="1" applyBorder="1" applyAlignment="1" applyProtection="1">
      <alignment horizontal="center" vertical="center"/>
      <protection locked="0"/>
    </xf>
    <xf numFmtId="0" fontId="4" fillId="10" borderId="163" xfId="0" applyFont="1" applyFill="1" applyBorder="1" applyAlignment="1" applyProtection="1">
      <alignment horizontal="center" vertical="center" wrapText="1"/>
      <protection locked="0"/>
    </xf>
    <xf numFmtId="0" fontId="4" fillId="10" borderId="164" xfId="0" applyFont="1" applyFill="1" applyBorder="1" applyAlignment="1" applyProtection="1">
      <alignment horizontal="center" vertical="center" wrapText="1"/>
      <protection locked="0"/>
    </xf>
    <xf numFmtId="0" fontId="4" fillId="10" borderId="161" xfId="0" applyFont="1" applyFill="1" applyBorder="1" applyAlignment="1" applyProtection="1">
      <alignment horizontal="center" vertical="center" wrapText="1"/>
      <protection locked="0"/>
    </xf>
    <xf numFmtId="0" fontId="4" fillId="10" borderId="162" xfId="0" applyFont="1" applyFill="1" applyBorder="1" applyAlignment="1" applyProtection="1">
      <alignment horizontal="center" vertical="center" wrapText="1"/>
      <protection locked="0"/>
    </xf>
    <xf numFmtId="0" fontId="47" fillId="10" borderId="167" xfId="0" applyFont="1" applyFill="1" applyBorder="1" applyAlignment="1" applyProtection="1">
      <alignment horizontal="center" vertical="center" wrapText="1"/>
      <protection locked="0"/>
    </xf>
    <xf numFmtId="0" fontId="47" fillId="10" borderId="168" xfId="0" applyFont="1" applyFill="1" applyBorder="1" applyAlignment="1" applyProtection="1">
      <alignment horizontal="center" vertical="center" wrapText="1"/>
      <protection locked="0"/>
    </xf>
    <xf numFmtId="0" fontId="47" fillId="10" borderId="152" xfId="0" applyFont="1" applyFill="1" applyBorder="1" applyAlignment="1" applyProtection="1">
      <alignment horizontal="center" vertical="center" wrapText="1"/>
      <protection locked="0"/>
    </xf>
    <xf numFmtId="0" fontId="47" fillId="10" borderId="153" xfId="0" applyFont="1" applyFill="1" applyBorder="1" applyAlignment="1" applyProtection="1">
      <alignment horizontal="center" vertical="center" wrapText="1"/>
      <protection locked="0"/>
    </xf>
    <xf numFmtId="0" fontId="47" fillId="10" borderId="159" xfId="0" applyFont="1" applyFill="1" applyBorder="1" applyAlignment="1" applyProtection="1">
      <alignment horizontal="center" vertical="center" wrapText="1"/>
      <protection locked="0"/>
    </xf>
    <xf numFmtId="0" fontId="47" fillId="10" borderId="160" xfId="0" applyFont="1" applyFill="1" applyBorder="1" applyAlignment="1" applyProtection="1">
      <alignment horizontal="center" vertical="center" wrapText="1"/>
      <protection locked="0"/>
    </xf>
    <xf numFmtId="0" fontId="2" fillId="10" borderId="139" xfId="0" applyFont="1" applyFill="1" applyBorder="1" applyAlignment="1" applyProtection="1">
      <alignment horizontal="center" vertical="center"/>
      <protection locked="0"/>
    </xf>
    <xf numFmtId="0" fontId="2" fillId="10" borderId="142" xfId="0" applyFont="1" applyFill="1" applyBorder="1" applyAlignment="1" applyProtection="1">
      <alignment horizontal="center" vertical="center"/>
      <protection locked="0"/>
    </xf>
    <xf numFmtId="0" fontId="2" fillId="10" borderId="144" xfId="0" applyFont="1" applyFill="1" applyBorder="1" applyAlignment="1" applyProtection="1">
      <alignment horizontal="center" vertical="center"/>
      <protection locked="0"/>
    </xf>
    <xf numFmtId="0" fontId="2" fillId="10" borderId="165" xfId="0" applyFont="1" applyFill="1" applyBorder="1" applyAlignment="1" applyProtection="1">
      <alignment horizontal="center" vertical="center" wrapText="1"/>
      <protection locked="0"/>
    </xf>
    <xf numFmtId="0" fontId="2" fillId="10" borderId="147" xfId="0" applyFont="1" applyFill="1" applyBorder="1" applyAlignment="1" applyProtection="1">
      <alignment horizontal="center" vertical="center" wrapText="1"/>
      <protection locked="0"/>
    </xf>
    <xf numFmtId="0" fontId="2" fillId="10" borderId="158" xfId="0" applyFont="1" applyFill="1" applyBorder="1" applyAlignment="1" applyProtection="1">
      <alignment horizontal="center" vertical="center" wrapText="1"/>
      <protection locked="0"/>
    </xf>
    <xf numFmtId="0" fontId="2" fillId="10" borderId="141" xfId="0" applyFont="1" applyFill="1" applyBorder="1" applyAlignment="1" applyProtection="1">
      <alignment horizontal="center" vertical="center"/>
      <protection locked="0"/>
    </xf>
    <xf numFmtId="0" fontId="2" fillId="10" borderId="143" xfId="0" applyFont="1" applyFill="1" applyBorder="1" applyAlignment="1" applyProtection="1">
      <alignment horizontal="center" vertical="center"/>
      <protection locked="0"/>
    </xf>
    <xf numFmtId="0" fontId="2" fillId="10" borderId="146" xfId="0" applyFont="1" applyFill="1" applyBorder="1" applyAlignment="1" applyProtection="1">
      <alignment horizontal="center" vertical="center"/>
      <protection locked="0"/>
    </xf>
    <xf numFmtId="0" fontId="50" fillId="10" borderId="165" xfId="0" applyFont="1" applyFill="1" applyBorder="1" applyAlignment="1" applyProtection="1">
      <alignment horizontal="center" vertical="center"/>
      <protection locked="0"/>
    </xf>
    <xf numFmtId="0" fontId="50" fillId="10" borderId="147" xfId="0" applyFont="1" applyFill="1" applyBorder="1" applyAlignment="1" applyProtection="1">
      <alignment horizontal="center" vertical="center"/>
      <protection locked="0"/>
    </xf>
    <xf numFmtId="0" fontId="50" fillId="10" borderId="158" xfId="0" applyFont="1" applyFill="1" applyBorder="1" applyAlignment="1" applyProtection="1">
      <alignment horizontal="center" vertical="center"/>
      <protection locked="0"/>
    </xf>
    <xf numFmtId="0" fontId="2" fillId="10" borderId="158" xfId="0" applyFont="1" applyFill="1" applyBorder="1" applyAlignment="1" applyProtection="1">
      <alignment horizontal="center" vertical="center"/>
      <protection locked="0"/>
    </xf>
    <xf numFmtId="0" fontId="2" fillId="10" borderId="165" xfId="0" applyFont="1" applyFill="1" applyBorder="1" applyAlignment="1" applyProtection="1">
      <alignment horizontal="center" vertical="center"/>
      <protection locked="0"/>
    </xf>
    <xf numFmtId="0" fontId="13" fillId="5" borderId="11"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50" fillId="7" borderId="0" xfId="0" applyFont="1" applyFill="1" applyAlignment="1">
      <alignment horizontal="center" vertical="center"/>
    </xf>
    <xf numFmtId="167" fontId="52" fillId="0" borderId="8" xfId="0" applyNumberFormat="1" applyFont="1" applyBorder="1" applyAlignment="1">
      <alignment horizontal="center" vertical="center"/>
    </xf>
    <xf numFmtId="167" fontId="52" fillId="0" borderId="10" xfId="0" applyNumberFormat="1" applyFont="1" applyBorder="1" applyAlignment="1">
      <alignment horizontal="center" vertical="center"/>
    </xf>
    <xf numFmtId="167" fontId="52" fillId="0" borderId="3" xfId="0" applyNumberFormat="1" applyFont="1" applyBorder="1" applyAlignment="1">
      <alignment horizontal="center" vertical="center"/>
    </xf>
    <xf numFmtId="0" fontId="48" fillId="10" borderId="165" xfId="0" applyFont="1" applyFill="1" applyBorder="1" applyAlignment="1" applyProtection="1">
      <alignment horizontal="center" vertical="center"/>
      <protection locked="0"/>
    </xf>
    <xf numFmtId="0" fontId="48" fillId="10" borderId="147" xfId="0" applyFont="1" applyFill="1" applyBorder="1" applyAlignment="1" applyProtection="1">
      <alignment horizontal="center" vertical="center"/>
      <protection locked="0"/>
    </xf>
    <xf numFmtId="0" fontId="48" fillId="10" borderId="158" xfId="0" applyFont="1" applyFill="1" applyBorder="1" applyAlignment="1" applyProtection="1">
      <alignment horizontal="center" vertical="center"/>
      <protection locked="0"/>
    </xf>
    <xf numFmtId="0" fontId="48" fillId="10" borderId="165" xfId="0" applyFont="1" applyFill="1" applyBorder="1" applyAlignment="1" applyProtection="1">
      <alignment horizontal="center" vertical="center" wrapText="1"/>
      <protection locked="0"/>
    </xf>
    <xf numFmtId="0" fontId="48" fillId="10" borderId="147" xfId="0" applyFont="1" applyFill="1" applyBorder="1" applyAlignment="1" applyProtection="1">
      <alignment horizontal="center" vertical="center" wrapText="1"/>
      <protection locked="0"/>
    </xf>
    <xf numFmtId="0" fontId="48" fillId="10" borderId="158" xfId="0" applyFont="1" applyFill="1" applyBorder="1" applyAlignment="1" applyProtection="1">
      <alignment horizontal="center" vertical="center" wrapText="1"/>
      <protection locked="0"/>
    </xf>
    <xf numFmtId="0" fontId="4" fillId="10" borderId="169" xfId="0" applyFont="1" applyFill="1" applyBorder="1" applyAlignment="1" applyProtection="1">
      <alignment horizontal="center" vertical="center" wrapText="1"/>
      <protection locked="0"/>
    </xf>
    <xf numFmtId="0" fontId="4" fillId="10" borderId="170" xfId="0" applyFont="1" applyFill="1" applyBorder="1" applyAlignment="1" applyProtection="1">
      <alignment horizontal="center" vertical="center" wrapText="1"/>
      <protection locked="0"/>
    </xf>
    <xf numFmtId="0" fontId="4" fillId="10" borderId="171" xfId="0" applyFont="1" applyFill="1" applyBorder="1" applyAlignment="1" applyProtection="1">
      <alignment horizontal="center" vertical="center" wrapText="1"/>
      <protection locked="0"/>
    </xf>
    <xf numFmtId="0" fontId="2" fillId="10" borderId="169" xfId="0" applyFont="1" applyFill="1" applyBorder="1" applyAlignment="1" applyProtection="1">
      <alignment horizontal="center" vertical="center"/>
      <protection locked="0"/>
    </xf>
    <xf numFmtId="0" fontId="2" fillId="10" borderId="170" xfId="0" applyFont="1" applyFill="1" applyBorder="1" applyAlignment="1" applyProtection="1">
      <alignment horizontal="center" vertical="center"/>
      <protection locked="0"/>
    </xf>
    <xf numFmtId="0" fontId="2" fillId="10" borderId="171" xfId="0" applyFont="1" applyFill="1" applyBorder="1" applyAlignment="1" applyProtection="1">
      <alignment horizontal="center" vertical="center"/>
      <protection locked="0"/>
    </xf>
    <xf numFmtId="171" fontId="2" fillId="10" borderId="165" xfId="4" applyNumberFormat="1" applyFont="1" applyFill="1" applyBorder="1" applyAlignment="1" applyProtection="1">
      <alignment horizontal="center" vertical="center"/>
      <protection locked="0"/>
    </xf>
    <xf numFmtId="171" fontId="2" fillId="10" borderId="147" xfId="4" applyNumberFormat="1" applyFont="1" applyFill="1" applyBorder="1" applyAlignment="1" applyProtection="1">
      <alignment horizontal="center" vertical="center"/>
      <protection locked="0"/>
    </xf>
    <xf numFmtId="171" fontId="2" fillId="10" borderId="158" xfId="4" applyNumberFormat="1" applyFont="1" applyFill="1" applyBorder="1" applyAlignment="1" applyProtection="1">
      <alignment horizontal="center" vertical="center"/>
      <protection locked="0"/>
    </xf>
    <xf numFmtId="171" fontId="4" fillId="10" borderId="165" xfId="4" applyNumberFormat="1" applyFont="1" applyFill="1" applyBorder="1" applyAlignment="1" applyProtection="1">
      <alignment horizontal="center" vertical="center" wrapText="1"/>
      <protection locked="0"/>
    </xf>
    <xf numFmtId="171" fontId="4" fillId="10" borderId="147" xfId="4" applyNumberFormat="1" applyFont="1" applyFill="1" applyBorder="1" applyAlignment="1" applyProtection="1">
      <alignment horizontal="center" vertical="center" wrapText="1"/>
      <protection locked="0"/>
    </xf>
    <xf numFmtId="171" fontId="4" fillId="10" borderId="158" xfId="4" applyNumberFormat="1" applyFont="1" applyFill="1" applyBorder="1" applyAlignment="1" applyProtection="1">
      <alignment horizontal="center" vertical="center" wrapText="1"/>
      <protection locked="0"/>
    </xf>
    <xf numFmtId="171" fontId="50" fillId="10" borderId="165" xfId="4" applyNumberFormat="1" applyFont="1" applyFill="1" applyBorder="1" applyAlignment="1" applyProtection="1">
      <alignment horizontal="center" vertical="center"/>
      <protection locked="0"/>
    </xf>
    <xf numFmtId="171" fontId="50" fillId="10" borderId="147" xfId="4" applyNumberFormat="1" applyFont="1" applyFill="1" applyBorder="1" applyAlignment="1" applyProtection="1">
      <alignment horizontal="center" vertical="center"/>
      <protection locked="0"/>
    </xf>
    <xf numFmtId="171" fontId="50" fillId="10" borderId="158" xfId="4" applyNumberFormat="1" applyFont="1" applyFill="1" applyBorder="1" applyAlignment="1" applyProtection="1">
      <alignment horizontal="center" vertical="center"/>
      <protection locked="0"/>
    </xf>
    <xf numFmtId="0" fontId="56" fillId="6" borderId="21" xfId="5" applyFont="1" applyFill="1" applyBorder="1" applyAlignment="1" applyProtection="1">
      <alignment horizontal="center" vertical="center" wrapText="1"/>
    </xf>
    <xf numFmtId="0" fontId="56" fillId="6" borderId="25" xfId="5" applyFont="1" applyFill="1" applyBorder="1" applyAlignment="1" applyProtection="1">
      <alignment horizontal="center" vertical="center" wrapText="1"/>
    </xf>
    <xf numFmtId="0" fontId="56" fillId="6" borderId="22" xfId="5" applyFont="1" applyFill="1" applyBorder="1" applyAlignment="1" applyProtection="1">
      <alignment horizontal="center" vertical="center" wrapText="1"/>
    </xf>
    <xf numFmtId="171" fontId="50" fillId="6" borderId="184" xfId="4" applyNumberFormat="1" applyFont="1" applyFill="1" applyBorder="1" applyAlignment="1" applyProtection="1">
      <alignment vertical="center"/>
    </xf>
    <xf numFmtId="171" fontId="50" fillId="6" borderId="134" xfId="4" applyNumberFormat="1" applyFont="1" applyFill="1" applyBorder="1" applyAlignment="1" applyProtection="1">
      <alignment vertical="center"/>
    </xf>
    <xf numFmtId="171" fontId="50" fillId="6" borderId="187" xfId="4" applyNumberFormat="1" applyFont="1" applyFill="1" applyBorder="1" applyAlignment="1" applyProtection="1">
      <alignment vertical="center"/>
    </xf>
    <xf numFmtId="168" fontId="50" fillId="6" borderId="184" xfId="4" applyNumberFormat="1" applyFont="1" applyFill="1" applyBorder="1" applyAlignment="1" applyProtection="1">
      <alignment horizontal="right" vertical="center"/>
    </xf>
    <xf numFmtId="168" fontId="50" fillId="6" borderId="134" xfId="4" applyNumberFormat="1" applyFont="1" applyFill="1" applyBorder="1" applyAlignment="1" applyProtection="1">
      <alignment horizontal="right" vertical="center"/>
    </xf>
    <xf numFmtId="168" fontId="50" fillId="6" borderId="187" xfId="4" applyNumberFormat="1" applyFont="1" applyFill="1" applyBorder="1" applyAlignment="1" applyProtection="1">
      <alignment horizontal="right" vertical="center"/>
    </xf>
    <xf numFmtId="168" fontId="50" fillId="6" borderId="96" xfId="4" applyNumberFormat="1" applyFont="1" applyFill="1" applyBorder="1" applyAlignment="1" applyProtection="1">
      <alignment horizontal="right" vertical="center"/>
    </xf>
    <xf numFmtId="168" fontId="50" fillId="6" borderId="135" xfId="4" applyNumberFormat="1" applyFont="1" applyFill="1" applyBorder="1" applyAlignment="1" applyProtection="1">
      <alignment horizontal="right" vertical="center"/>
    </xf>
    <xf numFmtId="168" fontId="50" fillId="6" borderId="188" xfId="4" applyNumberFormat="1" applyFont="1" applyFill="1" applyBorder="1" applyAlignment="1" applyProtection="1">
      <alignment horizontal="right" vertical="center"/>
    </xf>
    <xf numFmtId="168" fontId="50" fillId="6" borderId="206" xfId="4" applyNumberFormat="1" applyFont="1" applyFill="1" applyBorder="1" applyAlignment="1" applyProtection="1">
      <alignment horizontal="right" vertical="center"/>
    </xf>
    <xf numFmtId="168" fontId="50" fillId="6" borderId="207" xfId="4" applyNumberFormat="1" applyFont="1" applyFill="1" applyBorder="1" applyAlignment="1" applyProtection="1">
      <alignment horizontal="right" vertical="center"/>
    </xf>
    <xf numFmtId="168" fontId="50" fillId="6" borderId="208" xfId="4" applyNumberFormat="1" applyFont="1" applyFill="1" applyBorder="1" applyAlignment="1" applyProtection="1">
      <alignment horizontal="right" vertical="center"/>
    </xf>
    <xf numFmtId="171" fontId="50" fillId="6" borderId="207" xfId="4" applyNumberFormat="1" applyFont="1" applyFill="1" applyBorder="1" applyAlignment="1" applyProtection="1">
      <alignment vertical="center"/>
    </xf>
    <xf numFmtId="0" fontId="13" fillId="6" borderId="9" xfId="3" applyFont="1" applyFill="1" applyBorder="1" applyAlignment="1">
      <alignment horizontal="center" vertical="center" wrapText="1"/>
    </xf>
    <xf numFmtId="0" fontId="13" fillId="6" borderId="5" xfId="3" applyFont="1" applyFill="1" applyBorder="1" applyAlignment="1">
      <alignment horizontal="center" vertical="center" wrapText="1"/>
    </xf>
    <xf numFmtId="0" fontId="4" fillId="5" borderId="0" xfId="3" applyFont="1" applyFill="1" applyAlignment="1">
      <alignment horizontal="center" vertical="center"/>
    </xf>
    <xf numFmtId="0" fontId="57" fillId="5" borderId="7" xfId="0" applyFont="1" applyFill="1" applyBorder="1" applyAlignment="1">
      <alignment horizontal="center" vertical="center"/>
    </xf>
    <xf numFmtId="0" fontId="57" fillId="5" borderId="0" xfId="0" applyFont="1" applyFill="1" applyAlignment="1">
      <alignment horizontal="center" vertical="center"/>
    </xf>
    <xf numFmtId="171" fontId="5" fillId="5" borderId="7" xfId="4" applyNumberFormat="1" applyFont="1" applyFill="1" applyBorder="1" applyAlignment="1" applyProtection="1">
      <alignment horizontal="center" vertical="center"/>
    </xf>
    <xf numFmtId="171" fontId="5" fillId="5" borderId="0" xfId="4" applyNumberFormat="1" applyFont="1" applyFill="1" applyAlignment="1" applyProtection="1">
      <alignment horizontal="center" vertical="center"/>
    </xf>
    <xf numFmtId="0" fontId="10" fillId="5" borderId="2" xfId="3" applyFont="1" applyFill="1" applyBorder="1" applyAlignment="1">
      <alignment horizontal="center" vertical="center" wrapText="1"/>
    </xf>
    <xf numFmtId="0" fontId="50" fillId="10" borderId="140" xfId="0" applyFont="1" applyFill="1" applyBorder="1" applyAlignment="1" applyProtection="1">
      <alignment horizontal="center" vertical="center"/>
      <protection locked="0"/>
    </xf>
  </cellXfs>
  <cellStyles count="6">
    <cellStyle name="Comma" xfId="4" builtinId="3"/>
    <cellStyle name="Currency" xfId="1" builtinId="4"/>
    <cellStyle name="Normal" xfId="0" builtinId="0"/>
    <cellStyle name="Normal 4" xfId="3"/>
    <cellStyle name="Percent" xfId="2" builtinId="5"/>
    <cellStyle name="היפר-קישור" xfId="5" builtinId="8"/>
  </cellStyles>
  <dxfs count="8">
    <dxf>
      <fill>
        <patternFill>
          <bgColor theme="0"/>
        </patternFill>
      </fill>
    </dxf>
    <dxf>
      <fill>
        <patternFill>
          <bgColor theme="0"/>
        </patternFill>
      </fill>
    </dxf>
    <dxf>
      <fill>
        <patternFill>
          <bgColor theme="0"/>
        </patternFill>
      </fill>
    </dxf>
    <dxf>
      <fill>
        <patternFill>
          <bgColor theme="0"/>
        </patternFill>
      </fill>
    </dxf>
    <dxf>
      <fill>
        <patternFill>
          <bgColor rgb="FFFFC7CE"/>
        </patternFill>
      </fill>
    </dxf>
    <dxf>
      <fill>
        <patternFill>
          <bgColor theme="9" tint="0.59996337778862885"/>
        </patternFill>
      </fill>
    </dxf>
    <dxf>
      <fill>
        <patternFill>
          <bgColor theme="9" tint="0.59996337778862885"/>
        </patternFill>
      </fill>
    </dxf>
    <dxf>
      <fill>
        <patternFill>
          <bgColor rgb="FFFFC7CE"/>
        </patternFill>
      </fill>
    </dxf>
  </dxfs>
  <tableStyles count="0" defaultTableStyle="TableStyleMedium2" defaultPivotStyle="PivotStyleLight16"/>
  <colors>
    <mruColors>
      <color rgb="FFD9E4FF"/>
      <color rgb="FF9B8BF4"/>
      <color rgb="FFCC0099"/>
      <color rgb="FF1181C8"/>
      <color rgb="FF993366"/>
      <color rgb="FF333399"/>
      <color rgb="FFFF5050"/>
      <color rgb="FF1492B0"/>
      <color rgb="FF8B95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sz="1400" b="1">
                <a:solidFill>
                  <a:schemeClr val="tx1"/>
                </a:solidFill>
              </a:rPr>
              <a:t>התפלגות</a:t>
            </a:r>
            <a:r>
              <a:rPr lang="he-IL" sz="1400" b="1" baseline="0">
                <a:solidFill>
                  <a:schemeClr val="tx1"/>
                </a:solidFill>
              </a:rPr>
              <a:t> מושמי רווחה - הזדקנות מיטבית בקהילה</a:t>
            </a:r>
            <a:endParaRPr lang="en-US" sz="1400" b="1">
              <a:solidFill>
                <a:schemeClr val="tx1"/>
              </a:solidFill>
            </a:endParaRPr>
          </a:p>
        </c:rich>
      </c:tx>
      <c:layout>
        <c:manualLayout>
          <c:xMode val="edge"/>
          <c:yMode val="edge"/>
          <c:x val="0.28304653293478366"/>
          <c:y val="1.426492664514197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he-IL"/>
        </a:p>
      </c:txPr>
    </c:title>
    <c:autoTitleDeleted val="0"/>
    <c:plotArea>
      <c:layout>
        <c:manualLayout>
          <c:layoutTarget val="inner"/>
          <c:xMode val="edge"/>
          <c:yMode val="edge"/>
          <c:x val="5.0817067133908128E-2"/>
          <c:y val="0.16865740740740742"/>
          <c:w val="0.92023675466618238"/>
          <c:h val="0.49121135899679208"/>
        </c:manualLayout>
      </c:layout>
      <c:barChart>
        <c:barDir val="col"/>
        <c:grouping val="clustered"/>
        <c:varyColors val="0"/>
        <c:ser>
          <c:idx val="0"/>
          <c:order val="0"/>
          <c:tx>
            <c:v>2024</c:v>
          </c:tx>
          <c:spPr>
            <a:solidFill>
              <a:srgbClr val="9B8BF4"/>
            </a:solidFill>
            <a:ln>
              <a:solidFill>
                <a:srgbClr val="9B8BF4"/>
              </a:solidFill>
            </a:ln>
            <a:effectLst/>
          </c:spPr>
          <c:invertIfNegative val="0"/>
          <c:dLbls>
            <c:delete val="1"/>
          </c:dLbls>
          <c:cat>
            <c:strRef>
              <c:extLst>
                <c:ext xmlns:c15="http://schemas.microsoft.com/office/drawing/2012/chart" uri="{02D57815-91ED-43cb-92C2-25804820EDAC}">
                  <c15:fullRef>
                    <c15:sqref>'טבלאות עזר לדשבורד'!$A$1:$A$8</c15:sqref>
                  </c15:fullRef>
                </c:ext>
              </c:extLst>
              <c:f>'טבלאות עזר לדשבורד'!$A$3:$A$8</c:f>
              <c:strCache>
                <c:ptCount val="6"/>
                <c:pt idx="0">
                  <c:v>קהילה תומכת</c:v>
                </c:pt>
                <c:pt idx="1">
                  <c:v>מרכזי היום</c:v>
                </c:pt>
                <c:pt idx="2">
                  <c:v>מועדון מופת</c:v>
                </c:pt>
                <c:pt idx="3">
                  <c:v>מועדון מועשר</c:v>
                </c:pt>
                <c:pt idx="4">
                  <c:v>תוכנית מז"ל</c:v>
                </c:pt>
                <c:pt idx="5">
                  <c:v>נופשונים</c:v>
                </c:pt>
              </c:strCache>
            </c:strRef>
          </c:cat>
          <c:val>
            <c:numRef>
              <c:extLst>
                <c:ext xmlns:c15="http://schemas.microsoft.com/office/drawing/2012/chart" uri="{02D57815-91ED-43cb-92C2-25804820EDAC}">
                  <c15:fullRef>
                    <c15:sqref>'טבלאות עזר לדשבורד'!$B$1:$B$8</c15:sqref>
                  </c15:fullRef>
                </c:ext>
              </c:extLst>
              <c:f>'טבלאות עזר לדשבורד'!$B$3:$B$8</c:f>
              <c:numCache>
                <c:formatCode>General</c:formatCode>
                <c:ptCount val="6"/>
                <c:pt idx="0">
                  <c:v>305</c:v>
                </c:pt>
                <c:pt idx="1">
                  <c:v>0</c:v>
                </c:pt>
                <c:pt idx="2">
                  <c:v>102</c:v>
                </c:pt>
                <c:pt idx="3">
                  <c:v>0</c:v>
                </c:pt>
                <c:pt idx="4">
                  <c:v>300</c:v>
                </c:pt>
                <c:pt idx="5">
                  <c:v>2</c:v>
                </c:pt>
              </c:numCache>
            </c:numRef>
          </c:val>
          <c:extLst>
            <c:ext xmlns:c16="http://schemas.microsoft.com/office/drawing/2014/chart" uri="{C3380CC4-5D6E-409C-BE32-E72D297353CC}">
              <c16:uniqueId val="{00000000-0EE5-4CCD-B347-769592E33D9E}"/>
            </c:ext>
          </c:extLst>
        </c:ser>
        <c:ser>
          <c:idx val="1"/>
          <c:order val="1"/>
          <c:tx>
            <c:v>2025</c:v>
          </c:tx>
          <c:spPr>
            <a:solidFill>
              <a:srgbClr val="D9E4FF"/>
            </a:solidFill>
            <a:ln>
              <a:solidFill>
                <a:srgbClr val="D9E4FF"/>
              </a:solidFill>
            </a:ln>
            <a:effectLst/>
          </c:spPr>
          <c:invertIfNegative val="0"/>
          <c:dLbls>
            <c:delete val="1"/>
          </c:dLbls>
          <c:cat>
            <c:strRef>
              <c:extLst>
                <c:ext xmlns:c15="http://schemas.microsoft.com/office/drawing/2012/chart" uri="{02D57815-91ED-43cb-92C2-25804820EDAC}">
                  <c15:fullRef>
                    <c15:sqref>'טבלאות עזר לדשבורד'!$A$1:$A$8</c15:sqref>
                  </c15:fullRef>
                </c:ext>
              </c:extLst>
              <c:f>'טבלאות עזר לדשבורד'!$A$3:$A$8</c:f>
              <c:strCache>
                <c:ptCount val="6"/>
                <c:pt idx="0">
                  <c:v>קהילה תומכת</c:v>
                </c:pt>
                <c:pt idx="1">
                  <c:v>מרכזי היום</c:v>
                </c:pt>
                <c:pt idx="2">
                  <c:v>מועדון מופת</c:v>
                </c:pt>
                <c:pt idx="3">
                  <c:v>מועדון מועשר</c:v>
                </c:pt>
                <c:pt idx="4">
                  <c:v>תוכנית מז"ל</c:v>
                </c:pt>
                <c:pt idx="5">
                  <c:v>נופשונים</c:v>
                </c:pt>
              </c:strCache>
            </c:strRef>
          </c:cat>
          <c:val>
            <c:numRef>
              <c:extLst>
                <c:ext xmlns:c15="http://schemas.microsoft.com/office/drawing/2012/chart" uri="{02D57815-91ED-43cb-92C2-25804820EDAC}">
                  <c15:fullRef>
                    <c15:sqref>'טבלאות עזר לדשבורד'!$C$1:$C$8</c15:sqref>
                  </c15:fullRef>
                </c:ext>
              </c:extLst>
              <c:f>'טבלאות עזר לדשבורד'!$C$3:$C$8</c:f>
              <c:numCache>
                <c:formatCode>General</c:formatCode>
                <c:ptCount val="6"/>
                <c:pt idx="0">
                  <c:v>12</c:v>
                </c:pt>
                <c:pt idx="1">
                  <c:v>0</c:v>
                </c:pt>
                <c:pt idx="2">
                  <c:v>0</c:v>
                </c:pt>
                <c:pt idx="3">
                  <c:v>0</c:v>
                </c:pt>
                <c:pt idx="4">
                  <c:v>20</c:v>
                </c:pt>
                <c:pt idx="5">
                  <c:v>0</c:v>
                </c:pt>
              </c:numCache>
            </c:numRef>
          </c:val>
          <c:extLst>
            <c:ext xmlns:c16="http://schemas.microsoft.com/office/drawing/2014/chart" uri="{C3380CC4-5D6E-409C-BE32-E72D297353CC}">
              <c16:uniqueId val="{00000001-0EE5-4CCD-B347-769592E33D9E}"/>
            </c:ext>
          </c:extLst>
        </c:ser>
        <c:dLbls>
          <c:dLblPos val="outEnd"/>
          <c:showLegendKey val="0"/>
          <c:showVal val="1"/>
          <c:showCatName val="0"/>
          <c:showSerName val="0"/>
          <c:showPercent val="0"/>
          <c:showBubbleSize val="0"/>
        </c:dLbls>
        <c:gapWidth val="219"/>
        <c:overlap val="-27"/>
        <c:axId val="2120881791"/>
        <c:axId val="2120878879"/>
      </c:barChart>
      <c:catAx>
        <c:axId val="2120881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he-IL"/>
          </a:p>
        </c:txPr>
        <c:crossAx val="2120878879"/>
        <c:crosses val="autoZero"/>
        <c:auto val="1"/>
        <c:lblAlgn val="ctr"/>
        <c:lblOffset val="100"/>
        <c:noMultiLvlLbl val="0"/>
      </c:catAx>
      <c:valAx>
        <c:axId val="2120878879"/>
        <c:scaling>
          <c:logBase val="10"/>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crossAx val="2120881791"/>
        <c:crosses val="autoZero"/>
        <c:crossBetween val="between"/>
        <c:majorUnit val="1"/>
        <c:minorUnit val="0.5"/>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9B8BF4"/>
      </a:solidFill>
      <a:round/>
    </a:ln>
    <a:effectLst/>
  </c:spPr>
  <c:txPr>
    <a:bodyPr/>
    <a:lstStyle/>
    <a:p>
      <a:pPr>
        <a:defRPr/>
      </a:pPr>
      <a:endParaRPr lang="he-I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התפלגות</a:t>
            </a:r>
            <a:r>
              <a:rPr lang="he-IL" b="1" baseline="0">
                <a:solidFill>
                  <a:sysClr val="windowText" lastClr="000000"/>
                </a:solidFill>
              </a:rPr>
              <a:t> מושמי רווחה - ניצולי שואה</a:t>
            </a:r>
            <a:endParaRPr lang="en-US" b="1">
              <a:solidFill>
                <a:sysClr val="windowText" lastClr="000000"/>
              </a:solidFill>
            </a:endParaRPr>
          </a:p>
        </c:rich>
      </c:tx>
      <c:layout>
        <c:manualLayout>
          <c:xMode val="edge"/>
          <c:yMode val="edge"/>
          <c:x val="0.28409430183665935"/>
          <c:y val="1.43209770740326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plotArea>
      <c:layout/>
      <c:barChart>
        <c:barDir val="col"/>
        <c:grouping val="clustered"/>
        <c:varyColors val="0"/>
        <c:ser>
          <c:idx val="1"/>
          <c:order val="0"/>
          <c:tx>
            <c:strRef>
              <c:f>'טבלאות עזר לדשבורד'!$C$17</c:f>
              <c:strCache>
                <c:ptCount val="1"/>
                <c:pt idx="0">
                  <c:v>2025</c:v>
                </c:pt>
              </c:strCache>
            </c:strRef>
          </c:tx>
          <c:spPr>
            <a:solidFill>
              <a:srgbClr val="D9E4FF"/>
            </a:solidFill>
            <a:ln>
              <a:solidFill>
                <a:srgbClr val="D9E4FF"/>
              </a:solidFill>
            </a:ln>
            <a:effectLst/>
          </c:spPr>
          <c:invertIfNegative val="0"/>
          <c:cat>
            <c:strRef>
              <c:f>'טבלאות עזר לדשבורד'!$A$16:$A$19</c:f>
              <c:strCache>
                <c:ptCount val="4"/>
                <c:pt idx="0">
                  <c:v>מושמי רווחה - ניצולי שואה</c:v>
                </c:pt>
                <c:pt idx="1">
                  <c:v>תוכנית</c:v>
                </c:pt>
                <c:pt idx="2">
                  <c:v>קהילה תומכת ניצולי שואה</c:v>
                </c:pt>
                <c:pt idx="3">
                  <c:v>מופ"ת ניצולי שואה</c:v>
                </c:pt>
              </c:strCache>
            </c:strRef>
          </c:cat>
          <c:val>
            <c:numRef>
              <c:f>'טבלאות עזר לדשבורד'!$C$18:$C$19</c:f>
              <c:numCache>
                <c:formatCode>General</c:formatCode>
                <c:ptCount val="2"/>
                <c:pt idx="0">
                  <c:v>0</c:v>
                </c:pt>
                <c:pt idx="1">
                  <c:v>0</c:v>
                </c:pt>
              </c:numCache>
            </c:numRef>
          </c:val>
          <c:extLst>
            <c:ext xmlns:c16="http://schemas.microsoft.com/office/drawing/2014/chart" uri="{C3380CC4-5D6E-409C-BE32-E72D297353CC}">
              <c16:uniqueId val="{00000001-D3F0-4B74-9CFA-AC553DC47999}"/>
            </c:ext>
          </c:extLst>
        </c:ser>
        <c:ser>
          <c:idx val="0"/>
          <c:order val="1"/>
          <c:tx>
            <c:strRef>
              <c:f>'טבלאות עזר לדשבורד'!$B$17</c:f>
              <c:strCache>
                <c:ptCount val="1"/>
                <c:pt idx="0">
                  <c:v>2024</c:v>
                </c:pt>
              </c:strCache>
            </c:strRef>
          </c:tx>
          <c:spPr>
            <a:solidFill>
              <a:srgbClr val="9B8BF4"/>
            </a:solidFill>
            <a:ln>
              <a:solidFill>
                <a:srgbClr val="9B8BF4"/>
              </a:solidFill>
            </a:ln>
            <a:effectLst/>
          </c:spPr>
          <c:invertIfNegative val="0"/>
          <c:cat>
            <c:strRef>
              <c:f>'טבלאות עזר לדשבורד'!$A$16:$A$19</c:f>
              <c:strCache>
                <c:ptCount val="4"/>
                <c:pt idx="0">
                  <c:v>מושמי רווחה - ניצולי שואה</c:v>
                </c:pt>
                <c:pt idx="1">
                  <c:v>תוכנית</c:v>
                </c:pt>
                <c:pt idx="2">
                  <c:v>קהילה תומכת ניצולי שואה</c:v>
                </c:pt>
                <c:pt idx="3">
                  <c:v>מופ"ת ניצולי שואה</c:v>
                </c:pt>
              </c:strCache>
            </c:strRef>
          </c:cat>
          <c:val>
            <c:numRef>
              <c:f>'טבלאות עזר לדשבורד'!$B$18:$B$19</c:f>
              <c:numCache>
                <c:formatCode>General</c:formatCode>
                <c:ptCount val="2"/>
                <c:pt idx="0">
                  <c:v>868</c:v>
                </c:pt>
                <c:pt idx="1">
                  <c:v>51</c:v>
                </c:pt>
              </c:numCache>
            </c:numRef>
          </c:val>
          <c:extLst>
            <c:ext xmlns:c16="http://schemas.microsoft.com/office/drawing/2014/chart" uri="{C3380CC4-5D6E-409C-BE32-E72D297353CC}">
              <c16:uniqueId val="{00000000-D3F0-4B74-9CFA-AC553DC47999}"/>
            </c:ext>
          </c:extLst>
        </c:ser>
        <c:dLbls>
          <c:showLegendKey val="0"/>
          <c:showVal val="0"/>
          <c:showCatName val="0"/>
          <c:showSerName val="0"/>
          <c:showPercent val="0"/>
          <c:showBubbleSize val="0"/>
        </c:dLbls>
        <c:gapWidth val="219"/>
        <c:overlap val="-27"/>
        <c:axId val="1937100687"/>
        <c:axId val="1937089039"/>
      </c:barChart>
      <c:catAx>
        <c:axId val="193710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crossAx val="1937089039"/>
        <c:crossesAt val="1"/>
        <c:auto val="1"/>
        <c:lblAlgn val="ctr"/>
        <c:lblOffset val="100"/>
        <c:noMultiLvlLbl val="0"/>
      </c:catAx>
      <c:valAx>
        <c:axId val="1937089039"/>
        <c:scaling>
          <c:logBase val="10"/>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crossAx val="193710068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9B8BF4"/>
      </a:solidFill>
      <a:round/>
    </a:ln>
    <a:effectLst/>
  </c:spPr>
  <c:txPr>
    <a:bodyPr/>
    <a:lstStyle/>
    <a:p>
      <a:pPr>
        <a:defRPr/>
      </a:pPr>
      <a:endParaRPr lang="he-I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9854152519340855"/>
          <c:y val="0.32986497067119824"/>
          <c:w val="0.36380212484027147"/>
          <c:h val="0.65497528662899418"/>
        </c:manualLayout>
      </c:layout>
      <c:doughnutChart>
        <c:varyColors val="1"/>
        <c:ser>
          <c:idx val="2"/>
          <c:order val="2"/>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he-IL"/>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f>'טבלאות עזר לדשבורד'!$E$3:$E$13</c:f>
              <c:strCache>
                <c:ptCount val="6"/>
                <c:pt idx="0">
                  <c:v>קהילה תומכת</c:v>
                </c:pt>
                <c:pt idx="1">
                  <c:v>מרכזי היום</c:v>
                </c:pt>
                <c:pt idx="2">
                  <c:v>מועדון מופת</c:v>
                </c:pt>
                <c:pt idx="3">
                  <c:v>מועדון מועשר</c:v>
                </c:pt>
                <c:pt idx="4">
                  <c:v>תוכנית מז"ל</c:v>
                </c:pt>
                <c:pt idx="5">
                  <c:v>נופשונים</c:v>
                </c:pt>
              </c:strCache>
              <c:extLst/>
            </c:strRef>
          </c:cat>
          <c:val>
            <c:numRef>
              <c:f>'טבלאות עזר לדשבורד'!#REF!</c:f>
              <c:extLst xmlns:c15="http://schemas.microsoft.com/office/drawing/2012/chart"/>
            </c:numRef>
          </c:val>
          <c:extLst xmlns:c15="http://schemas.microsoft.com/office/drawing/2012/chart">
            <c:ext xmlns:c16="http://schemas.microsoft.com/office/drawing/2014/chart" uri="{C3380CC4-5D6E-409C-BE32-E72D297353CC}">
              <c16:uniqueId val="{0000003E-FAA1-4B48-B6D5-F689BC192DAF}"/>
            </c:ext>
          </c:extLst>
        </c:ser>
        <c:dLbls>
          <c:showLegendKey val="0"/>
          <c:showVal val="1"/>
          <c:showCatName val="0"/>
          <c:showSerName val="0"/>
          <c:showPercent val="0"/>
          <c:showBubbleSize val="0"/>
          <c:showLeaderLines val="1"/>
        </c:dLbls>
        <c:firstSliceAng val="0"/>
        <c:holeSize val="42"/>
        <c:extLst>
          <c:ext xmlns:c15="http://schemas.microsoft.com/office/drawing/2012/chart" uri="{02D57815-91ED-43cb-92C2-25804820EDAC}">
            <c15:filteredPieSeries>
              <c15:ser>
                <c:idx val="0"/>
                <c:order val="0"/>
                <c:dPt>
                  <c:idx val="0"/>
                  <c:bubble3D val="0"/>
                  <c:spPr>
                    <a:solidFill>
                      <a:srgbClr val="9B8BF4"/>
                    </a:solidFill>
                    <a:ln w="19050">
                      <a:solidFill>
                        <a:schemeClr val="lt1"/>
                      </a:solidFill>
                    </a:ln>
                    <a:effectLst/>
                  </c:spPr>
                  <c:extLst>
                    <c:ext xmlns:c16="http://schemas.microsoft.com/office/drawing/2014/chart" uri="{C3380CC4-5D6E-409C-BE32-E72D297353CC}">
                      <c16:uniqueId val="{00000016-FAA1-4B48-B6D5-F689BC192DAF}"/>
                    </c:ext>
                  </c:extLst>
                </c:dPt>
                <c:dPt>
                  <c:idx val="1"/>
                  <c:bubble3D val="0"/>
                  <c:spPr>
                    <a:solidFill>
                      <a:srgbClr val="D9E4FF"/>
                    </a:solidFill>
                    <a:ln w="19050">
                      <a:solidFill>
                        <a:schemeClr val="lt1"/>
                      </a:solidFill>
                    </a:ln>
                    <a:effectLst/>
                  </c:spPr>
                  <c:extLst>
                    <c:ext xmlns:c16="http://schemas.microsoft.com/office/drawing/2014/chart" uri="{C3380CC4-5D6E-409C-BE32-E72D297353CC}">
                      <c16:uniqueId val="{00000018-FAA1-4B48-B6D5-F689BC192DAF}"/>
                    </c:ext>
                  </c:extLst>
                </c:dPt>
                <c:dPt>
                  <c:idx val="2"/>
                  <c:bubble3D val="0"/>
                  <c:spPr>
                    <a:solidFill>
                      <a:srgbClr val="1181C8"/>
                    </a:solidFill>
                    <a:ln w="19050">
                      <a:solidFill>
                        <a:schemeClr val="lt1"/>
                      </a:solidFill>
                    </a:ln>
                    <a:effectLst/>
                  </c:spPr>
                  <c:extLst>
                    <c:ext xmlns:c16="http://schemas.microsoft.com/office/drawing/2014/chart" uri="{C3380CC4-5D6E-409C-BE32-E72D297353CC}">
                      <c16:uniqueId val="{0000001A-FAA1-4B48-B6D5-F689BC192DAF}"/>
                    </c:ext>
                  </c:extLst>
                </c:dPt>
                <c:dPt>
                  <c:idx val="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C-FAA1-4B48-B6D5-F689BC192D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FAA1-4B48-B6D5-F689BC192DAF}"/>
                    </c:ext>
                  </c:extLst>
                </c:dPt>
                <c:dPt>
                  <c:idx val="5"/>
                  <c:bubble3D val="0"/>
                  <c:spPr>
                    <a:solidFill>
                      <a:srgbClr val="00B0F0"/>
                    </a:solidFill>
                    <a:ln w="19050">
                      <a:solidFill>
                        <a:schemeClr val="lt1"/>
                      </a:solidFill>
                    </a:ln>
                    <a:effectLst/>
                  </c:spPr>
                  <c:extLst>
                    <c:ext xmlns:c16="http://schemas.microsoft.com/office/drawing/2014/chart" uri="{C3380CC4-5D6E-409C-BE32-E72D297353CC}">
                      <c16:uniqueId val="{00000020-FAA1-4B48-B6D5-F689BC192DAF}"/>
                    </c:ext>
                  </c:extLst>
                </c:dPt>
                <c:dPt>
                  <c:idx val="6"/>
                  <c:bubble3D val="0"/>
                  <c:spPr>
                    <a:solidFill>
                      <a:srgbClr val="7030A0"/>
                    </a:solidFill>
                    <a:ln w="19050">
                      <a:solidFill>
                        <a:schemeClr val="lt1"/>
                      </a:solidFill>
                    </a:ln>
                    <a:effectLst/>
                  </c:spPr>
                  <c:extLst>
                    <c:ext xmlns:c16="http://schemas.microsoft.com/office/drawing/2014/chart" uri="{C3380CC4-5D6E-409C-BE32-E72D297353CC}">
                      <c16:uniqueId val="{00000022-FAA1-4B48-B6D5-F689BC192D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FAA1-4B48-B6D5-F689BC192DAF}"/>
                    </c:ext>
                  </c:extLst>
                </c:dPt>
                <c:dPt>
                  <c:idx val="8"/>
                  <c:bubble3D val="0"/>
                  <c:spPr>
                    <a:solidFill>
                      <a:srgbClr val="993366"/>
                    </a:solidFill>
                    <a:ln w="19050">
                      <a:solidFill>
                        <a:schemeClr val="lt1"/>
                      </a:solidFill>
                    </a:ln>
                    <a:effectLst/>
                  </c:spPr>
                  <c:extLst>
                    <c:ext xmlns:c16="http://schemas.microsoft.com/office/drawing/2014/chart" uri="{C3380CC4-5D6E-409C-BE32-E72D297353CC}">
                      <c16:uniqueId val="{00000026-FAA1-4B48-B6D5-F689BC192DA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FAA1-4B48-B6D5-F689BC192DAF}"/>
                    </c:ext>
                  </c:extLst>
                </c:dPt>
                <c:dPt>
                  <c:idx val="10"/>
                  <c:bubble3D val="0"/>
                  <c:spPr>
                    <a:solidFill>
                      <a:srgbClr val="CC0099"/>
                    </a:solidFill>
                    <a:ln w="19050">
                      <a:solidFill>
                        <a:schemeClr val="lt1"/>
                      </a:solidFill>
                    </a:ln>
                    <a:effectLst/>
                  </c:spPr>
                  <c:extLst>
                    <c:ext xmlns:c16="http://schemas.microsoft.com/office/drawing/2014/chart" uri="{C3380CC4-5D6E-409C-BE32-E72D297353CC}">
                      <c16:uniqueId val="{00000015-D4FB-4F8A-86BF-C0166B83DC6F}"/>
                    </c:ext>
                  </c:extLst>
                </c:dPt>
                <c:dLbls>
                  <c:dLbl>
                    <c:idx val="0"/>
                    <c:layout>
                      <c:manualLayout>
                        <c:x val="0.14595832326947619"/>
                        <c:y val="-0.1188164230130436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7718829460887892"/>
                            <c:h val="0.12372881934305413"/>
                          </c:manualLayout>
                        </c15:layout>
                      </c:ext>
                      <c:ext xmlns:c16="http://schemas.microsoft.com/office/drawing/2014/chart" uri="{C3380CC4-5D6E-409C-BE32-E72D297353CC}">
                        <c16:uniqueId val="{00000016-FAA1-4B48-B6D5-F689BC192DAF}"/>
                      </c:ext>
                    </c:extLst>
                  </c:dLbl>
                  <c:dLbl>
                    <c:idx val="1"/>
                    <c:layout>
                      <c:manualLayout>
                        <c:x val="0.15728260671713004"/>
                        <c:y val="-3.749361655805164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3593339026148279"/>
                            <c:h val="0.12658987462347798"/>
                          </c:manualLayout>
                        </c15:layout>
                      </c:ext>
                      <c:ext xmlns:c16="http://schemas.microsoft.com/office/drawing/2014/chart" uri="{C3380CC4-5D6E-409C-BE32-E72D297353CC}">
                        <c16:uniqueId val="{00000018-FAA1-4B48-B6D5-F689BC192DAF}"/>
                      </c:ext>
                    </c:extLst>
                  </c:dLbl>
                  <c:dLbl>
                    <c:idx val="2"/>
                    <c:layout>
                      <c:manualLayout>
                        <c:x val="0.12920024559520485"/>
                        <c:y val="0.1424634654742135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233478316270737"/>
                            <c:h val="0.10926852239583763"/>
                          </c:manualLayout>
                        </c15:layout>
                      </c:ext>
                      <c:ext xmlns:c16="http://schemas.microsoft.com/office/drawing/2014/chart" uri="{C3380CC4-5D6E-409C-BE32-E72D297353CC}">
                        <c16:uniqueId val="{0000001A-FAA1-4B48-B6D5-F689BC192DAF}"/>
                      </c:ext>
                    </c:extLst>
                  </c:dLbl>
                  <c:dLbl>
                    <c:idx val="3"/>
                    <c:layout>
                      <c:manualLayout>
                        <c:x val="-0.15072184005979358"/>
                        <c:y val="6.4449304138122332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3300913449560581"/>
                            <c:h val="0.15460618200484461"/>
                          </c:manualLayout>
                        </c15:layout>
                      </c:ext>
                      <c:ext xmlns:c16="http://schemas.microsoft.com/office/drawing/2014/chart" uri="{C3380CC4-5D6E-409C-BE32-E72D297353CC}">
                        <c16:uniqueId val="{0000001C-FAA1-4B48-B6D5-F689BC192DAF}"/>
                      </c:ext>
                    </c:extLst>
                  </c:dLbl>
                  <c:dLbl>
                    <c:idx val="5"/>
                    <c:layout>
                      <c:manualLayout>
                        <c:x val="-0.15201945953758875"/>
                        <c:y val="-6.2101815349081435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1044618863503668"/>
                            <c:h val="0.12490268560907231"/>
                          </c:manualLayout>
                        </c15:layout>
                      </c:ext>
                      <c:ext xmlns:c16="http://schemas.microsoft.com/office/drawing/2014/chart" uri="{C3380CC4-5D6E-409C-BE32-E72D297353CC}">
                        <c16:uniqueId val="{00000020-FAA1-4B48-B6D5-F689BC192DAF}"/>
                      </c:ext>
                    </c:extLst>
                  </c:dLbl>
                  <c:dLbl>
                    <c:idx val="6"/>
                    <c:layout>
                      <c:manualLayout>
                        <c:x val="-8.7274466583873611E-2"/>
                        <c:y val="-0.144463548478775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2847136507743304"/>
                            <c:h val="0.13665889776492549"/>
                          </c:manualLayout>
                        </c15:layout>
                      </c:ext>
                      <c:ext xmlns:c16="http://schemas.microsoft.com/office/drawing/2014/chart" uri="{C3380CC4-5D6E-409C-BE32-E72D297353CC}">
                        <c16:uniqueId val="{00000022-FAA1-4B48-B6D5-F689BC192DAF}"/>
                      </c:ext>
                    </c:extLst>
                  </c:dLbl>
                  <c:dLbl>
                    <c:idx val="7"/>
                    <c:layout>
                      <c:manualLayout>
                        <c:x val="-4.0122554007253584E-2"/>
                        <c:y val="-0.1649145607678099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1455148162165349"/>
                            <c:h val="0.13140672369927769"/>
                          </c:manualLayout>
                        </c15:layout>
                      </c:ext>
                      <c:ext xmlns:c16="http://schemas.microsoft.com/office/drawing/2014/chart" uri="{C3380CC4-5D6E-409C-BE32-E72D297353CC}">
                        <c16:uniqueId val="{00000024-FAA1-4B48-B6D5-F689BC192DAF}"/>
                      </c:ext>
                    </c:extLst>
                  </c:dLbl>
                  <c:dLbl>
                    <c:idx val="8"/>
                    <c:layout>
                      <c:manualLayout>
                        <c:x val="7.3504257249305358E-2"/>
                        <c:y val="-0.1613498194595632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3679834312459468"/>
                            <c:h val="0.13403281073210155"/>
                          </c:manualLayout>
                        </c15:layout>
                      </c:ext>
                      <c:ext xmlns:c16="http://schemas.microsoft.com/office/drawing/2014/chart" uri="{C3380CC4-5D6E-409C-BE32-E72D297353CC}">
                        <c16:uniqueId val="{00000026-FAA1-4B48-B6D5-F689BC192DAF}"/>
                      </c:ext>
                    </c:extLst>
                  </c:dLbl>
                  <c:dLbl>
                    <c:idx val="9"/>
                    <c:layout>
                      <c:manualLayout>
                        <c:x val="-2.0583519871284147E-2"/>
                        <c:y val="-0.1492803975545752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1178013309015251"/>
                            <c:h val="9.6260446215426884E-2"/>
                          </c:manualLayout>
                        </c15:layout>
                      </c:ext>
                      <c:ext xmlns:c16="http://schemas.microsoft.com/office/drawing/2014/chart" uri="{C3380CC4-5D6E-409C-BE32-E72D297353CC}">
                        <c16:uniqueId val="{00000028-FAA1-4B48-B6D5-F689BC192DAF}"/>
                      </c:ext>
                    </c:extLst>
                  </c:dLbl>
                  <c:dLbl>
                    <c:idx val="10"/>
                    <c:layout>
                      <c:manualLayout>
                        <c:x val="0.14228816927819798"/>
                        <c:y val="-0.1404632384376854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extLst>
                      <c:ext uri="{CE6537A1-D6FC-4f65-9D91-7224C49458BB}">
                        <c15:layout>
                          <c:manualLayout>
                            <c:w val="0.19610048515715783"/>
                            <c:h val="0.1269028406296174"/>
                          </c:manualLayout>
                        </c15:layout>
                      </c:ext>
                      <c:ext xmlns:c16="http://schemas.microsoft.com/office/drawing/2014/chart" uri="{C3380CC4-5D6E-409C-BE32-E72D297353CC}">
                        <c16:uniqueId val="{00000015-D4FB-4F8A-86BF-C0166B83DC6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'טבלאות עזר לדשבורד'!$E$3:$E$13</c15:sqref>
                        </c15:formulaRef>
                      </c:ext>
                    </c:extLst>
                    <c:strCache>
                      <c:ptCount val="6"/>
                      <c:pt idx="0">
                        <c:v>קהילה תומכת</c:v>
                      </c:pt>
                      <c:pt idx="1">
                        <c:v>מרכזי היום</c:v>
                      </c:pt>
                      <c:pt idx="2">
                        <c:v>מועדון מופת</c:v>
                      </c:pt>
                      <c:pt idx="3">
                        <c:v>מועדון מועשר</c:v>
                      </c:pt>
                      <c:pt idx="4">
                        <c:v>תוכנית מז"ל</c:v>
                      </c:pt>
                      <c:pt idx="5">
                        <c:v>נופשונים</c:v>
                      </c:pt>
                    </c:strCache>
                  </c:strRef>
                </c:cat>
                <c:val>
                  <c:numRef>
                    <c:extLst>
                      <c:ext uri="{02D57815-91ED-43cb-92C2-25804820EDAC}">
                        <c15:formulaRef>
                          <c15:sqref>'טבלאות עזר לדשבורד'!$F$3:$F$13</c15:sqref>
                        </c15:formulaRef>
                      </c:ext>
                    </c:extLst>
                    <c:numCache>
                      <c:formatCode>General</c:formatCode>
                      <c:ptCount val="11"/>
                      <c:pt idx="0">
                        <c:v>302850</c:v>
                      </c:pt>
                      <c:pt idx="1">
                        <c:v>177557</c:v>
                      </c:pt>
                      <c:pt idx="2">
                        <c:v>642436</c:v>
                      </c:pt>
                      <c:pt idx="3">
                        <c:v>876905</c:v>
                      </c:pt>
                      <c:pt idx="4">
                        <c:v>5700</c:v>
                      </c:pt>
                      <c:pt idx="5">
                        <c:v>97673</c:v>
                      </c:pt>
                    </c:numCache>
                  </c:numRef>
                </c:val>
                <c:extLst>
                  <c:ext xmlns:c16="http://schemas.microsoft.com/office/drawing/2014/chart" uri="{C3380CC4-5D6E-409C-BE32-E72D297353CC}">
                    <c16:uniqueId val="{00000029-FAA1-4B48-B6D5-F689BC192DAF}"/>
                  </c:ext>
                </c:extLst>
              </c15:ser>
            </c15:filteredPieSeries>
            <c15:filteredPieSeries>
              <c15:ser>
                <c:idx val="1"/>
                <c:order val="1"/>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1-FAA1-4B48-B6D5-F689BC192DAF}"/>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3-FAA1-4B48-B6D5-F689BC192DAF}"/>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05-FAA1-4B48-B6D5-F689BC192DAF}"/>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07-FAA1-4B48-B6D5-F689BC192DAF}"/>
                    </c:ext>
                  </c:extLst>
                </c:dPt>
                <c:dPt>
                  <c:idx val="4"/>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09-FAA1-4B48-B6D5-F689BC192DAF}"/>
                    </c:ext>
                  </c:extLst>
                </c:dPt>
                <c:dPt>
                  <c:idx val="5"/>
                  <c:bubble3D val="0"/>
                  <c:spPr>
                    <a:solidFill>
                      <a:schemeClr val="accent6"/>
                    </a:solidFill>
                    <a:ln w="19050">
                      <a:solidFill>
                        <a:schemeClr val="lt1"/>
                      </a:solidFill>
                    </a:ln>
                    <a:effectLst/>
                  </c:spPr>
                  <c:extLst xmlns:c15="http://schemas.microsoft.com/office/drawing/2012/chart">
                    <c:ext xmlns:c16="http://schemas.microsoft.com/office/drawing/2014/chart" uri="{C3380CC4-5D6E-409C-BE32-E72D297353CC}">
                      <c16:uniqueId val="{0000000B-FAA1-4B48-B6D5-F689BC192DAF}"/>
                    </c:ext>
                  </c:extLst>
                </c:dPt>
                <c:dPt>
                  <c:idx val="6"/>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0D-FAA1-4B48-B6D5-F689BC192DAF}"/>
                    </c:ext>
                  </c:extLst>
                </c:dPt>
                <c:dPt>
                  <c:idx val="7"/>
                  <c:bubble3D val="0"/>
                  <c:spPr>
                    <a:solidFill>
                      <a:schemeClr val="accent2">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0F-FAA1-4B48-B6D5-F689BC192DAF}"/>
                    </c:ext>
                  </c:extLst>
                </c:dPt>
                <c:dPt>
                  <c:idx val="8"/>
                  <c:bubble3D val="0"/>
                  <c:spPr>
                    <a:solidFill>
                      <a:schemeClr val="accent3">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11-FAA1-4B48-B6D5-F689BC192DAF}"/>
                    </c:ext>
                  </c:extLst>
                </c:dPt>
                <c:dPt>
                  <c:idx val="9"/>
                  <c:bubble3D val="0"/>
                  <c:spPr>
                    <a:solidFill>
                      <a:schemeClr val="accent4">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13-FAA1-4B48-B6D5-F689BC192DAF}"/>
                    </c:ext>
                  </c:extLst>
                </c:dPt>
                <c:dPt>
                  <c:idx val="10"/>
                  <c:bubble3D val="0"/>
                  <c:spPr>
                    <a:solidFill>
                      <a:schemeClr val="accent5">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2B-D4FB-4F8A-86BF-C0166B83DC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'טבלאות עזר לדשבורד'!$E$3:$E$13</c15:sqref>
                        </c15:formulaRef>
                      </c:ext>
                    </c:extLst>
                    <c:strCache>
                      <c:ptCount val="6"/>
                      <c:pt idx="0">
                        <c:v>קהילה תומכת</c:v>
                      </c:pt>
                      <c:pt idx="1">
                        <c:v>מרכזי היום</c:v>
                      </c:pt>
                      <c:pt idx="2">
                        <c:v>מועדון מופת</c:v>
                      </c:pt>
                      <c:pt idx="3">
                        <c:v>מועדון מועשר</c:v>
                      </c:pt>
                      <c:pt idx="4">
                        <c:v>תוכנית מז"ל</c:v>
                      </c:pt>
                      <c:pt idx="5">
                        <c:v>נופשונים</c:v>
                      </c:pt>
                    </c:strCache>
                  </c:strRef>
                </c:cat>
                <c:val>
                  <c:numRef>
                    <c:extLst xmlns:c15="http://schemas.microsoft.com/office/drawing/2012/chart">
                      <c:ext xmlns:c15="http://schemas.microsoft.com/office/drawing/2012/chart" uri="{02D57815-91ED-43cb-92C2-25804820EDAC}">
                        <c15:formulaRef>
                          <c15:sqref>'טבלאות עזר לדשבורד'!$H$3:$H$13</c15:sqref>
                        </c15:formulaRef>
                      </c:ext>
                    </c:extLst>
                    <c:numCache>
                      <c:formatCode>General</c:formatCode>
                      <c:ptCount val="11"/>
                      <c:pt idx="0">
                        <c:v>19872</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14-FAA1-4B48-B6D5-F689BC192DAF}"/>
                  </c:ext>
                </c:extLst>
              </c15:ser>
            </c15:filteredPieSeries>
          </c:ext>
        </c:extLst>
      </c:doughnutChart>
      <c:spPr>
        <a:noFill/>
        <a:ln>
          <a:noFill/>
        </a:ln>
        <a:effectLst/>
      </c:spPr>
    </c:plotArea>
    <c:legend>
      <c:legendPos val="l"/>
      <c:layout>
        <c:manualLayout>
          <c:xMode val="edge"/>
          <c:yMode val="edge"/>
          <c:x val="1.6763007764044432E-2"/>
          <c:y val="0"/>
          <c:w val="0.37616503633524517"/>
          <c:h val="1"/>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855361390107414"/>
          <c:y val="0.19934603121277963"/>
          <c:w val="0.40114794661382386"/>
          <c:h val="0.65541441159563074"/>
        </c:manualLayout>
      </c:layout>
      <c:doughnutChart>
        <c:varyColors val="1"/>
        <c:ser>
          <c:idx val="2"/>
          <c:order val="2"/>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he-IL"/>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f>'טבלאות עזר לדשבורד'!$E$18:$E$22</c:f>
              <c:strCache>
                <c:ptCount val="2"/>
                <c:pt idx="0">
                  <c:v>קהילה תומכת ניצולי שואה</c:v>
                </c:pt>
                <c:pt idx="1">
                  <c:v>מופ"ת ניצולי שואה</c:v>
                </c:pt>
              </c:strCache>
              <c:extLst/>
            </c:strRef>
          </c:cat>
          <c:val>
            <c:numRef>
              <c:f>'טבלאות עזר לדשבורד'!#REF!</c:f>
              <c:extLst xmlns:c15="http://schemas.microsoft.com/office/drawing/2012/chart"/>
            </c:numRef>
          </c:val>
          <c:extLst xmlns:c15="http://schemas.microsoft.com/office/drawing/2012/chart">
            <c:ext xmlns:c16="http://schemas.microsoft.com/office/drawing/2014/chart" uri="{C3380CC4-5D6E-409C-BE32-E72D297353CC}">
              <c16:uniqueId val="{00000020-5ED5-415C-91CD-35E335DD625F}"/>
            </c:ext>
          </c:extLst>
        </c:ser>
        <c:dLbls>
          <c:showLegendKey val="0"/>
          <c:showVal val="1"/>
          <c:showCatName val="0"/>
          <c:showSerName val="0"/>
          <c:showPercent val="0"/>
          <c:showBubbleSize val="0"/>
          <c:showLeaderLines val="1"/>
        </c:dLbls>
        <c:firstSliceAng val="0"/>
        <c:holeSize val="42"/>
        <c:extLst>
          <c:ext xmlns:c15="http://schemas.microsoft.com/office/drawing/2012/chart" uri="{02D57815-91ED-43cb-92C2-25804820EDAC}">
            <c15:filteredPieSeries>
              <c15:ser>
                <c:idx val="0"/>
                <c:order val="0"/>
                <c:dPt>
                  <c:idx val="0"/>
                  <c:bubble3D val="0"/>
                  <c:spPr>
                    <a:solidFill>
                      <a:srgbClr val="9B8BF4"/>
                    </a:solidFill>
                    <a:ln w="19050">
                      <a:solidFill>
                        <a:srgbClr val="9B8BF4"/>
                      </a:solidFill>
                    </a:ln>
                    <a:effectLst/>
                  </c:spPr>
                  <c:extLst>
                    <c:ext xmlns:c16="http://schemas.microsoft.com/office/drawing/2014/chart" uri="{C3380CC4-5D6E-409C-BE32-E72D297353CC}">
                      <c16:uniqueId val="{0000000C-5ED5-415C-91CD-35E335DD625F}"/>
                    </c:ext>
                  </c:extLst>
                </c:dPt>
                <c:dPt>
                  <c:idx val="1"/>
                  <c:bubble3D val="0"/>
                  <c:spPr>
                    <a:solidFill>
                      <a:srgbClr val="D9E4FF"/>
                    </a:solidFill>
                    <a:ln w="19050">
                      <a:solidFill>
                        <a:srgbClr val="D9E4FF"/>
                      </a:solidFill>
                    </a:ln>
                    <a:effectLst/>
                  </c:spPr>
                  <c:extLst>
                    <c:ext xmlns:c16="http://schemas.microsoft.com/office/drawing/2014/chart" uri="{C3380CC4-5D6E-409C-BE32-E72D297353CC}">
                      <c16:uniqueId val="{0000000E-5ED5-415C-91CD-35E335DD625F}"/>
                    </c:ext>
                  </c:extLst>
                </c:dPt>
                <c:dPt>
                  <c:idx val="2"/>
                  <c:bubble3D val="0"/>
                  <c:spPr>
                    <a:solidFill>
                      <a:srgbClr val="1181C8"/>
                    </a:solidFill>
                    <a:ln w="19050">
                      <a:solidFill>
                        <a:srgbClr val="1181C8"/>
                      </a:solidFill>
                    </a:ln>
                    <a:effectLst/>
                  </c:spPr>
                  <c:extLst>
                    <c:ext xmlns:c16="http://schemas.microsoft.com/office/drawing/2014/chart" uri="{C3380CC4-5D6E-409C-BE32-E72D297353CC}">
                      <c16:uniqueId val="{00000010-5ED5-415C-91CD-35E335DD625F}"/>
                    </c:ext>
                  </c:extLst>
                </c:dPt>
                <c:dPt>
                  <c:idx val="3"/>
                  <c:bubble3D val="0"/>
                  <c:spPr>
                    <a:solidFill>
                      <a:schemeClr val="bg2">
                        <a:lumMod val="50000"/>
                      </a:schemeClr>
                    </a:solidFill>
                    <a:ln w="19050">
                      <a:solidFill>
                        <a:schemeClr val="bg2">
                          <a:lumMod val="50000"/>
                        </a:schemeClr>
                      </a:solidFill>
                    </a:ln>
                    <a:effectLst/>
                  </c:spPr>
                  <c:extLst>
                    <c:ext xmlns:c16="http://schemas.microsoft.com/office/drawing/2014/chart" uri="{C3380CC4-5D6E-409C-BE32-E72D297353CC}">
                      <c16:uniqueId val="{00000012-5ED5-415C-91CD-35E335DD625F}"/>
                    </c:ext>
                  </c:extLst>
                </c:dPt>
                <c:dPt>
                  <c:idx val="4"/>
                  <c:bubble3D val="0"/>
                  <c:spPr>
                    <a:solidFill>
                      <a:srgbClr val="CC0099"/>
                    </a:solidFill>
                    <a:ln w="19050">
                      <a:solidFill>
                        <a:srgbClr val="CC0099"/>
                      </a:solidFill>
                    </a:ln>
                    <a:effectLst/>
                  </c:spPr>
                  <c:extLst>
                    <c:ext xmlns:c16="http://schemas.microsoft.com/office/drawing/2014/chart" uri="{C3380CC4-5D6E-409C-BE32-E72D297353CC}">
                      <c16:uniqueId val="{00000014-5ED5-415C-91CD-35E335DD625F}"/>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'טבלאות עזר לדשבורד'!$E$18:$E$22</c15:sqref>
                        </c15:formulaRef>
                      </c:ext>
                    </c:extLst>
                    <c:strCache>
                      <c:ptCount val="2"/>
                      <c:pt idx="0">
                        <c:v>קהילה תומכת ניצולי שואה</c:v>
                      </c:pt>
                      <c:pt idx="1">
                        <c:v>מופ"ת ניצולי שואה</c:v>
                      </c:pt>
                    </c:strCache>
                  </c:strRef>
                </c:cat>
                <c:val>
                  <c:numRef>
                    <c:extLst>
                      <c:ext uri="{02D57815-91ED-43cb-92C2-25804820EDAC}">
                        <c15:formulaRef>
                          <c15:sqref>'טבלאות עזר לדשבורד'!$F$18:$F$22</c15:sqref>
                        </c15:formulaRef>
                      </c:ext>
                    </c:extLst>
                    <c:numCache>
                      <c:formatCode>General</c:formatCode>
                      <c:ptCount val="5"/>
                      <c:pt idx="0">
                        <c:v>1310435</c:v>
                      </c:pt>
                      <c:pt idx="1">
                        <c:v>530067</c:v>
                      </c:pt>
                    </c:numCache>
                  </c:numRef>
                </c:val>
                <c:extLst>
                  <c:ext xmlns:c16="http://schemas.microsoft.com/office/drawing/2014/chart" uri="{C3380CC4-5D6E-409C-BE32-E72D297353CC}">
                    <c16:uniqueId val="{00000015-5ED5-415C-91CD-35E335DD625F}"/>
                  </c:ext>
                </c:extLst>
              </c15:ser>
            </c15:filteredPieSeries>
            <c15:filteredPieSeries>
              <c15:ser>
                <c:idx val="1"/>
                <c:order val="1"/>
                <c:dPt>
                  <c:idx val="0"/>
                  <c:bubble3D val="0"/>
                  <c:spPr>
                    <a:solidFill>
                      <a:srgbClr val="9B8BF4"/>
                    </a:solidFill>
                    <a:ln w="19050">
                      <a:solidFill>
                        <a:srgbClr val="9B8BF4"/>
                      </a:solidFill>
                    </a:ln>
                    <a:effectLst/>
                  </c:spPr>
                  <c:extLst xmlns:c15="http://schemas.microsoft.com/office/drawing/2012/chart">
                    <c:ext xmlns:c16="http://schemas.microsoft.com/office/drawing/2014/chart" uri="{C3380CC4-5D6E-409C-BE32-E72D297353CC}">
                      <c16:uniqueId val="{00000001-5ED5-415C-91CD-35E335DD625F}"/>
                    </c:ext>
                  </c:extLst>
                </c:dPt>
                <c:dPt>
                  <c:idx val="1"/>
                  <c:bubble3D val="0"/>
                  <c:spPr>
                    <a:solidFill>
                      <a:srgbClr val="D9E4FF"/>
                    </a:solidFill>
                    <a:ln w="19050">
                      <a:solidFill>
                        <a:srgbClr val="D9E4FF"/>
                      </a:solidFill>
                    </a:ln>
                    <a:effectLst/>
                  </c:spPr>
                  <c:extLst xmlns:c15="http://schemas.microsoft.com/office/drawing/2012/chart">
                    <c:ext xmlns:c16="http://schemas.microsoft.com/office/drawing/2014/chart" uri="{C3380CC4-5D6E-409C-BE32-E72D297353CC}">
                      <c16:uniqueId val="{00000003-5ED5-415C-91CD-35E335DD625F}"/>
                    </c:ext>
                  </c:extLst>
                </c:dPt>
                <c:dPt>
                  <c:idx val="2"/>
                  <c:bubble3D val="0"/>
                  <c:spPr>
                    <a:solidFill>
                      <a:srgbClr val="1181C8"/>
                    </a:solidFill>
                    <a:ln w="19050">
                      <a:solidFill>
                        <a:srgbClr val="1181C8"/>
                      </a:solidFill>
                    </a:ln>
                    <a:effectLst/>
                  </c:spPr>
                  <c:extLst xmlns:c15="http://schemas.microsoft.com/office/drawing/2012/chart">
                    <c:ext xmlns:c16="http://schemas.microsoft.com/office/drawing/2014/chart" uri="{C3380CC4-5D6E-409C-BE32-E72D297353CC}">
                      <c16:uniqueId val="{00000005-5ED5-415C-91CD-35E335DD625F}"/>
                    </c:ext>
                  </c:extLst>
                </c:dPt>
                <c:dPt>
                  <c:idx val="3"/>
                  <c:bubble3D val="0"/>
                  <c:spPr>
                    <a:solidFill>
                      <a:schemeClr val="bg2">
                        <a:lumMod val="50000"/>
                      </a:schemeClr>
                    </a:solidFill>
                    <a:ln w="19050">
                      <a:solidFill>
                        <a:schemeClr val="bg2">
                          <a:lumMod val="50000"/>
                        </a:schemeClr>
                      </a:solidFill>
                    </a:ln>
                    <a:effectLst/>
                  </c:spPr>
                  <c:extLst xmlns:c15="http://schemas.microsoft.com/office/drawing/2012/chart">
                    <c:ext xmlns:c16="http://schemas.microsoft.com/office/drawing/2014/chart" uri="{C3380CC4-5D6E-409C-BE32-E72D297353CC}">
                      <c16:uniqueId val="{00000007-5ED5-415C-91CD-35E335DD625F}"/>
                    </c:ext>
                  </c:extLst>
                </c:dPt>
                <c:dPt>
                  <c:idx val="4"/>
                  <c:bubble3D val="0"/>
                  <c:spPr>
                    <a:solidFill>
                      <a:srgbClr val="CC0099"/>
                    </a:solidFill>
                    <a:ln w="19050">
                      <a:solidFill>
                        <a:srgbClr val="CC0099"/>
                      </a:solidFill>
                    </a:ln>
                    <a:effectLst/>
                  </c:spPr>
                  <c:extLst xmlns:c15="http://schemas.microsoft.com/office/drawing/2012/chart">
                    <c:ext xmlns:c16="http://schemas.microsoft.com/office/drawing/2014/chart" uri="{C3380CC4-5D6E-409C-BE32-E72D297353CC}">
                      <c16:uniqueId val="{00000009-5ED5-415C-91CD-35E335DD625F}"/>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he-IL"/>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'טבלאות עזר לדשבורד'!$E$18:$E$22</c15:sqref>
                        </c15:formulaRef>
                      </c:ext>
                    </c:extLst>
                    <c:strCache>
                      <c:ptCount val="2"/>
                      <c:pt idx="0">
                        <c:v>קהילה תומכת ניצולי שואה</c:v>
                      </c:pt>
                      <c:pt idx="1">
                        <c:v>מופ"ת ניצולי שואה</c:v>
                      </c:pt>
                    </c:strCache>
                  </c:strRef>
                </c:cat>
                <c:val>
                  <c:numRef>
                    <c:extLst xmlns:c15="http://schemas.microsoft.com/office/drawing/2012/chart">
                      <c:ext xmlns:c15="http://schemas.microsoft.com/office/drawing/2012/chart" uri="{02D57815-91ED-43cb-92C2-25804820EDAC}">
                        <c15:formulaRef>
                          <c15:sqref>'טבלאות עזר לדשבורד'!$H$18:$H$22</c15:sqref>
                        </c15:formulaRef>
                      </c:ext>
                    </c:extLst>
                    <c:numCache>
                      <c:formatCode>General</c:formatCode>
                      <c:ptCount val="5"/>
                      <c:pt idx="0">
                        <c:v>0</c:v>
                      </c:pt>
                      <c:pt idx="1">
                        <c:v>0</c:v>
                      </c:pt>
                    </c:numCache>
                  </c:numRef>
                </c:val>
                <c:extLst xmlns:c15="http://schemas.microsoft.com/office/drawing/2012/chart">
                  <c:ext xmlns:c16="http://schemas.microsoft.com/office/drawing/2014/chart" uri="{C3380CC4-5D6E-409C-BE32-E72D297353CC}">
                    <c16:uniqueId val="{0000000A-5ED5-415C-91CD-35E335DD625F}"/>
                  </c:ext>
                </c:extLst>
              </c15:ser>
            </c15:filteredPieSeries>
          </c:ext>
        </c:extLst>
      </c:doughnutChart>
      <c:spPr>
        <a:noFill/>
        <a:ln>
          <a:noFill/>
        </a:ln>
        <a:effectLst/>
      </c:spPr>
    </c:plotArea>
    <c:legend>
      <c:legendPos val="l"/>
      <c:layout>
        <c:manualLayout>
          <c:xMode val="edge"/>
          <c:yMode val="edge"/>
          <c:x val="2.0295483056467788E-2"/>
          <c:y val="1.7798325390812494E-2"/>
          <c:w val="0.34024205426511439"/>
          <c:h val="0.94229643654897"/>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sz="1400" b="1">
                <a:solidFill>
                  <a:schemeClr val="tx1"/>
                </a:solidFill>
              </a:rPr>
              <a:t>התפלגות</a:t>
            </a:r>
            <a:r>
              <a:rPr lang="he-IL" sz="1400" b="1" baseline="0">
                <a:solidFill>
                  <a:schemeClr val="tx1"/>
                </a:solidFill>
              </a:rPr>
              <a:t> תקציב - הזדקנות מיטבית בקהילה</a:t>
            </a:r>
            <a:endParaRPr lang="en-US" sz="1400" b="1">
              <a:solidFill>
                <a:schemeClr val="tx1"/>
              </a:solidFill>
            </a:endParaRPr>
          </a:p>
        </c:rich>
      </c:tx>
      <c:layout>
        <c:manualLayout>
          <c:xMode val="edge"/>
          <c:yMode val="edge"/>
          <c:x val="0.28304653293478366"/>
          <c:y val="1.426492664514197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he-IL"/>
        </a:p>
      </c:txPr>
    </c:title>
    <c:autoTitleDeleted val="0"/>
    <c:plotArea>
      <c:layout>
        <c:manualLayout>
          <c:layoutTarget val="inner"/>
          <c:xMode val="edge"/>
          <c:yMode val="edge"/>
          <c:x val="5.0817067133908128E-2"/>
          <c:y val="0.16865740740740742"/>
          <c:w val="0.92023675466618238"/>
          <c:h val="0.49121135899679208"/>
        </c:manualLayout>
      </c:layout>
      <c:barChart>
        <c:barDir val="col"/>
        <c:grouping val="clustered"/>
        <c:varyColors val="0"/>
        <c:ser>
          <c:idx val="2"/>
          <c:order val="0"/>
          <c:tx>
            <c:strRef>
              <c:f>'טבלאות עזר לדשבורד'!$H$2</c:f>
              <c:strCache>
                <c:ptCount val="1"/>
                <c:pt idx="0">
                  <c:v>תכנון 2025</c:v>
                </c:pt>
              </c:strCache>
            </c:strRef>
          </c:tx>
          <c:spPr>
            <a:solidFill>
              <a:schemeClr val="accent3"/>
            </a:solidFill>
            <a:ln>
              <a:noFill/>
            </a:ln>
            <a:effectLst/>
          </c:spPr>
          <c:invertIfNegative val="0"/>
          <c:dLbls>
            <c:delete val="1"/>
          </c:dLbls>
          <c:cat>
            <c:strRef>
              <c:f>'טבלאות עזר לדשבורד'!$E$3:$E$8</c:f>
              <c:strCache>
                <c:ptCount val="6"/>
                <c:pt idx="0">
                  <c:v>קהילה תומכת</c:v>
                </c:pt>
                <c:pt idx="1">
                  <c:v>מרכזי היום</c:v>
                </c:pt>
                <c:pt idx="2">
                  <c:v>מועדון מופת</c:v>
                </c:pt>
                <c:pt idx="3">
                  <c:v>מועדון מועשר</c:v>
                </c:pt>
                <c:pt idx="4">
                  <c:v>תוכנית מז"ל</c:v>
                </c:pt>
                <c:pt idx="5">
                  <c:v>נופשונים</c:v>
                </c:pt>
              </c:strCache>
            </c:strRef>
          </c:cat>
          <c:val>
            <c:numRef>
              <c:f>'טבלאות עזר לדשבורד'!$H$3:$H$8</c:f>
              <c:numCache>
                <c:formatCode>General</c:formatCode>
                <c:ptCount val="6"/>
                <c:pt idx="0">
                  <c:v>19872</c:v>
                </c:pt>
                <c:pt idx="1">
                  <c:v>0</c:v>
                </c:pt>
                <c:pt idx="2">
                  <c:v>0</c:v>
                </c:pt>
                <c:pt idx="3">
                  <c:v>0</c:v>
                </c:pt>
                <c:pt idx="4">
                  <c:v>0</c:v>
                </c:pt>
                <c:pt idx="5">
                  <c:v>0</c:v>
                </c:pt>
              </c:numCache>
            </c:numRef>
          </c:val>
          <c:extLst>
            <c:ext xmlns:c16="http://schemas.microsoft.com/office/drawing/2014/chart" uri="{C3380CC4-5D6E-409C-BE32-E72D297353CC}">
              <c16:uniqueId val="{00000002-060A-46C1-A53C-55BFCDAD0706}"/>
            </c:ext>
          </c:extLst>
        </c:ser>
        <c:ser>
          <c:idx val="1"/>
          <c:order val="1"/>
          <c:tx>
            <c:strRef>
              <c:f>'טבלאות עזר לדשבורד'!$G$2</c:f>
              <c:strCache>
                <c:ptCount val="1"/>
                <c:pt idx="0">
                  <c:v>ביצוע 2024</c:v>
                </c:pt>
              </c:strCache>
            </c:strRef>
          </c:tx>
          <c:spPr>
            <a:solidFill>
              <a:srgbClr val="D9E4FF"/>
            </a:solidFill>
            <a:ln>
              <a:solidFill>
                <a:srgbClr val="D9E4FF"/>
              </a:solidFill>
            </a:ln>
            <a:effectLst/>
          </c:spPr>
          <c:invertIfNegative val="0"/>
          <c:dLbls>
            <c:delete val="1"/>
          </c:dLbls>
          <c:cat>
            <c:strRef>
              <c:f>'טבלאות עזר לדשבורד'!$E$3:$E$8</c:f>
              <c:strCache>
                <c:ptCount val="6"/>
                <c:pt idx="0">
                  <c:v>קהילה תומכת</c:v>
                </c:pt>
                <c:pt idx="1">
                  <c:v>מרכזי היום</c:v>
                </c:pt>
                <c:pt idx="2">
                  <c:v>מועדון מופת</c:v>
                </c:pt>
                <c:pt idx="3">
                  <c:v>מועדון מועשר</c:v>
                </c:pt>
                <c:pt idx="4">
                  <c:v>תוכנית מז"ל</c:v>
                </c:pt>
                <c:pt idx="5">
                  <c:v>נופשונים</c:v>
                </c:pt>
              </c:strCache>
            </c:strRef>
          </c:cat>
          <c:val>
            <c:numRef>
              <c:f>'טבלאות עזר לדשבורד'!$G$3:$G$8</c:f>
              <c:numCache>
                <c:formatCode>General</c:formatCode>
                <c:ptCount val="6"/>
                <c:pt idx="4">
                  <c:v>0</c:v>
                </c:pt>
                <c:pt idx="5">
                  <c:v>0</c:v>
                </c:pt>
              </c:numCache>
            </c:numRef>
          </c:val>
          <c:extLst>
            <c:ext xmlns:c16="http://schemas.microsoft.com/office/drawing/2014/chart" uri="{C3380CC4-5D6E-409C-BE32-E72D297353CC}">
              <c16:uniqueId val="{00000001-060A-46C1-A53C-55BFCDAD0706}"/>
            </c:ext>
          </c:extLst>
        </c:ser>
        <c:ser>
          <c:idx val="0"/>
          <c:order val="2"/>
          <c:tx>
            <c:strRef>
              <c:f>'טבלאות עזר לדשבורד'!$F$2</c:f>
              <c:strCache>
                <c:ptCount val="1"/>
                <c:pt idx="0">
                  <c:v>תכנון 2024</c:v>
                </c:pt>
              </c:strCache>
            </c:strRef>
          </c:tx>
          <c:spPr>
            <a:solidFill>
              <a:srgbClr val="9B8BF4"/>
            </a:solidFill>
            <a:ln>
              <a:solidFill>
                <a:srgbClr val="9B8BF4"/>
              </a:solidFill>
            </a:ln>
            <a:effectLst/>
          </c:spPr>
          <c:invertIfNegative val="0"/>
          <c:dLbls>
            <c:delete val="1"/>
          </c:dLbls>
          <c:cat>
            <c:strRef>
              <c:f>'טבלאות עזר לדשבורד'!$E$3:$E$8</c:f>
              <c:strCache>
                <c:ptCount val="6"/>
                <c:pt idx="0">
                  <c:v>קהילה תומכת</c:v>
                </c:pt>
                <c:pt idx="1">
                  <c:v>מרכזי היום</c:v>
                </c:pt>
                <c:pt idx="2">
                  <c:v>מועדון מופת</c:v>
                </c:pt>
                <c:pt idx="3">
                  <c:v>מועדון מועשר</c:v>
                </c:pt>
                <c:pt idx="4">
                  <c:v>תוכנית מז"ל</c:v>
                </c:pt>
                <c:pt idx="5">
                  <c:v>נופשונים</c:v>
                </c:pt>
              </c:strCache>
            </c:strRef>
          </c:cat>
          <c:val>
            <c:numRef>
              <c:f>'טבלאות עזר לדשבורד'!$F$3:$F$8</c:f>
              <c:numCache>
                <c:formatCode>General</c:formatCode>
                <c:ptCount val="6"/>
                <c:pt idx="0">
                  <c:v>302850</c:v>
                </c:pt>
                <c:pt idx="1">
                  <c:v>177557</c:v>
                </c:pt>
                <c:pt idx="2">
                  <c:v>642436</c:v>
                </c:pt>
                <c:pt idx="3">
                  <c:v>876905</c:v>
                </c:pt>
                <c:pt idx="4">
                  <c:v>5700</c:v>
                </c:pt>
                <c:pt idx="5">
                  <c:v>97673</c:v>
                </c:pt>
              </c:numCache>
            </c:numRef>
          </c:val>
          <c:extLst>
            <c:ext xmlns:c16="http://schemas.microsoft.com/office/drawing/2014/chart" uri="{C3380CC4-5D6E-409C-BE32-E72D297353CC}">
              <c16:uniqueId val="{00000000-060A-46C1-A53C-55BFCDAD0706}"/>
            </c:ext>
          </c:extLst>
        </c:ser>
        <c:dLbls>
          <c:dLblPos val="outEnd"/>
          <c:showLegendKey val="0"/>
          <c:showVal val="1"/>
          <c:showCatName val="0"/>
          <c:showSerName val="0"/>
          <c:showPercent val="0"/>
          <c:showBubbleSize val="0"/>
        </c:dLbls>
        <c:gapWidth val="219"/>
        <c:overlap val="-27"/>
        <c:axId val="2120881791"/>
        <c:axId val="2120878879"/>
      </c:barChart>
      <c:catAx>
        <c:axId val="2120881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he-IL"/>
          </a:p>
        </c:txPr>
        <c:crossAx val="2120878879"/>
        <c:crosses val="autoZero"/>
        <c:auto val="1"/>
        <c:lblAlgn val="ctr"/>
        <c:lblOffset val="100"/>
        <c:noMultiLvlLbl val="0"/>
      </c:catAx>
      <c:valAx>
        <c:axId val="2120878879"/>
        <c:scaling>
          <c:logBase val="10"/>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crossAx val="2120881791"/>
        <c:crosses val="autoZero"/>
        <c:crossBetween val="between"/>
        <c:majorUnit val="1"/>
        <c:minorUnit val="0.5"/>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9B8BF4"/>
      </a:solidFill>
      <a:round/>
    </a:ln>
    <a:effectLst/>
  </c:spPr>
  <c:txPr>
    <a:bodyPr/>
    <a:lstStyle/>
    <a:p>
      <a:pPr>
        <a:defRPr/>
      </a:pPr>
      <a:endParaRPr lang="he-I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התפלגות</a:t>
            </a:r>
            <a:r>
              <a:rPr lang="he-IL" b="1" baseline="0">
                <a:solidFill>
                  <a:sysClr val="windowText" lastClr="000000"/>
                </a:solidFill>
              </a:rPr>
              <a:t> תקציב - ניצולי שואה</a:t>
            </a:r>
            <a:endParaRPr lang="en-US" b="1">
              <a:solidFill>
                <a:sysClr val="windowText" lastClr="000000"/>
              </a:solidFill>
            </a:endParaRPr>
          </a:p>
        </c:rich>
      </c:tx>
      <c:layout>
        <c:manualLayout>
          <c:xMode val="edge"/>
          <c:yMode val="edge"/>
          <c:x val="0.28409430183665935"/>
          <c:y val="1.43209770740326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plotArea>
      <c:layout/>
      <c:barChart>
        <c:barDir val="col"/>
        <c:grouping val="clustered"/>
        <c:varyColors val="0"/>
        <c:ser>
          <c:idx val="2"/>
          <c:order val="0"/>
          <c:tx>
            <c:strRef>
              <c:f>'טבלאות עזר לדשבורד'!$H$17</c:f>
              <c:strCache>
                <c:ptCount val="1"/>
                <c:pt idx="0">
                  <c:v>תכנון 2025</c:v>
                </c:pt>
              </c:strCache>
            </c:strRef>
          </c:tx>
          <c:spPr>
            <a:solidFill>
              <a:schemeClr val="accent3"/>
            </a:solidFill>
            <a:ln>
              <a:noFill/>
            </a:ln>
            <a:effectLst/>
          </c:spPr>
          <c:invertIfNegative val="0"/>
          <c:cat>
            <c:strRef>
              <c:f>'טבלאות עזר לדשבורד'!$E$18:$E$19</c:f>
              <c:strCache>
                <c:ptCount val="2"/>
                <c:pt idx="0">
                  <c:v>קהילה תומכת ניצולי שואה</c:v>
                </c:pt>
                <c:pt idx="1">
                  <c:v>מופ"ת ניצולי שואה</c:v>
                </c:pt>
              </c:strCache>
            </c:strRef>
          </c:cat>
          <c:val>
            <c:numRef>
              <c:f>'טבלאות עזר לדשבורד'!$H$18:$H$19</c:f>
              <c:numCache>
                <c:formatCode>General</c:formatCode>
                <c:ptCount val="2"/>
                <c:pt idx="0">
                  <c:v>0</c:v>
                </c:pt>
                <c:pt idx="1">
                  <c:v>0</c:v>
                </c:pt>
              </c:numCache>
            </c:numRef>
          </c:val>
          <c:extLst>
            <c:ext xmlns:c16="http://schemas.microsoft.com/office/drawing/2014/chart" uri="{C3380CC4-5D6E-409C-BE32-E72D297353CC}">
              <c16:uniqueId val="{00000002-EE6D-4628-A079-6E8CDF9048C1}"/>
            </c:ext>
          </c:extLst>
        </c:ser>
        <c:ser>
          <c:idx val="1"/>
          <c:order val="1"/>
          <c:tx>
            <c:strRef>
              <c:f>'טבלאות עזר לדשבורד'!$G$17</c:f>
              <c:strCache>
                <c:ptCount val="1"/>
                <c:pt idx="0">
                  <c:v>ביצוע 2024</c:v>
                </c:pt>
              </c:strCache>
            </c:strRef>
          </c:tx>
          <c:spPr>
            <a:solidFill>
              <a:srgbClr val="D9E4FF"/>
            </a:solidFill>
            <a:ln>
              <a:solidFill>
                <a:srgbClr val="D9E4FF"/>
              </a:solidFill>
            </a:ln>
            <a:effectLst/>
          </c:spPr>
          <c:invertIfNegative val="0"/>
          <c:cat>
            <c:strRef>
              <c:f>'טבלאות עזר לדשבורד'!$E$18:$E$19</c:f>
              <c:strCache>
                <c:ptCount val="2"/>
                <c:pt idx="0">
                  <c:v>קהילה תומכת ניצולי שואה</c:v>
                </c:pt>
                <c:pt idx="1">
                  <c:v>מופ"ת ניצולי שואה</c:v>
                </c:pt>
              </c:strCache>
            </c:strRef>
          </c:cat>
          <c:val>
            <c:numRef>
              <c:f>'טבלאות עזר לדשבורד'!$G$18:$G$19</c:f>
              <c:numCache>
                <c:formatCode>General</c:formatCode>
                <c:ptCount val="2"/>
              </c:numCache>
            </c:numRef>
          </c:val>
          <c:extLst>
            <c:ext xmlns:c16="http://schemas.microsoft.com/office/drawing/2014/chart" uri="{C3380CC4-5D6E-409C-BE32-E72D297353CC}">
              <c16:uniqueId val="{00000001-EE6D-4628-A079-6E8CDF9048C1}"/>
            </c:ext>
          </c:extLst>
        </c:ser>
        <c:ser>
          <c:idx val="0"/>
          <c:order val="2"/>
          <c:tx>
            <c:strRef>
              <c:f>'טבלאות עזר לדשבורד'!$F$17</c:f>
              <c:strCache>
                <c:ptCount val="1"/>
                <c:pt idx="0">
                  <c:v>תכנון 2024</c:v>
                </c:pt>
              </c:strCache>
            </c:strRef>
          </c:tx>
          <c:spPr>
            <a:solidFill>
              <a:srgbClr val="9B8BF4"/>
            </a:solidFill>
            <a:ln>
              <a:solidFill>
                <a:srgbClr val="9B8BF4"/>
              </a:solidFill>
            </a:ln>
            <a:effectLst/>
          </c:spPr>
          <c:invertIfNegative val="0"/>
          <c:cat>
            <c:strRef>
              <c:f>'טבלאות עזר לדשבורד'!$E$18:$E$19</c:f>
              <c:strCache>
                <c:ptCount val="2"/>
                <c:pt idx="0">
                  <c:v>קהילה תומכת ניצולי שואה</c:v>
                </c:pt>
                <c:pt idx="1">
                  <c:v>מופ"ת ניצולי שואה</c:v>
                </c:pt>
              </c:strCache>
            </c:strRef>
          </c:cat>
          <c:val>
            <c:numRef>
              <c:f>'טבלאות עזר לדשבורד'!$F$18:$F$19</c:f>
              <c:numCache>
                <c:formatCode>General</c:formatCode>
                <c:ptCount val="2"/>
                <c:pt idx="0">
                  <c:v>1310435</c:v>
                </c:pt>
                <c:pt idx="1">
                  <c:v>530067</c:v>
                </c:pt>
              </c:numCache>
            </c:numRef>
          </c:val>
          <c:extLst>
            <c:ext xmlns:c16="http://schemas.microsoft.com/office/drawing/2014/chart" uri="{C3380CC4-5D6E-409C-BE32-E72D297353CC}">
              <c16:uniqueId val="{00000000-EE6D-4628-A079-6E8CDF9048C1}"/>
            </c:ext>
          </c:extLst>
        </c:ser>
        <c:dLbls>
          <c:showLegendKey val="0"/>
          <c:showVal val="0"/>
          <c:showCatName val="0"/>
          <c:showSerName val="0"/>
          <c:showPercent val="0"/>
          <c:showBubbleSize val="0"/>
        </c:dLbls>
        <c:gapWidth val="219"/>
        <c:overlap val="-27"/>
        <c:axId val="1937100687"/>
        <c:axId val="1937089039"/>
      </c:barChart>
      <c:catAx>
        <c:axId val="193710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crossAx val="1937089039"/>
        <c:crossesAt val="1"/>
        <c:auto val="1"/>
        <c:lblAlgn val="ctr"/>
        <c:lblOffset val="100"/>
        <c:noMultiLvlLbl val="0"/>
      </c:catAx>
      <c:valAx>
        <c:axId val="1937089039"/>
        <c:scaling>
          <c:logBase val="10"/>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crossAx val="193710068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9B8BF4"/>
      </a:solidFill>
      <a:round/>
    </a:ln>
    <a:effectLst/>
  </c:spPr>
  <c:txPr>
    <a:bodyPr/>
    <a:lstStyle/>
    <a:p>
      <a:pPr>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J$377"/>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ctrlProps/ctrlProp129.xml><?xml version="1.0" encoding="utf-8"?>
<formControlPr xmlns="http://schemas.microsoft.com/office/spreadsheetml/2009/9/main" objectType="CheckBox" lockText="1"/>
</file>

<file path=xl/ctrlProps/ctrlProp130.xml><?xml version="1.0" encoding="utf-8"?>
<formControlPr xmlns="http://schemas.microsoft.com/office/spreadsheetml/2009/9/main" objectType="CheckBox" lockText="1"/>
</file>

<file path=xl/ctrlProps/ctrlProp131.xml><?xml version="1.0" encoding="utf-8"?>
<formControlPr xmlns="http://schemas.microsoft.com/office/spreadsheetml/2009/9/main" objectType="CheckBox" lockText="1"/>
</file>

<file path=xl/ctrlProps/ctrlProp132.xml><?xml version="1.0" encoding="utf-8"?>
<formControlPr xmlns="http://schemas.microsoft.com/office/spreadsheetml/2009/9/main" objectType="CheckBox" lockText="1"/>
</file>

<file path=xl/ctrlProps/ctrlProp133.xml><?xml version="1.0" encoding="utf-8"?>
<formControlPr xmlns="http://schemas.microsoft.com/office/spreadsheetml/2009/9/main" objectType="CheckBox" lockText="1"/>
</file>

<file path=xl/ctrlProps/ctrlProp134.xml><?xml version="1.0" encoding="utf-8"?>
<formControlPr xmlns="http://schemas.microsoft.com/office/spreadsheetml/2009/9/main" objectType="CheckBox" lockText="1"/>
</file>

<file path=xl/ctrlProps/ctrlProp135.xml><?xml version="1.0" encoding="utf-8"?>
<formControlPr xmlns="http://schemas.microsoft.com/office/spreadsheetml/2009/9/main" objectType="CheckBox" lockText="1"/>
</file>

<file path=xl/ctrlProps/ctrlProp136.xml><?xml version="1.0" encoding="utf-8"?>
<formControlPr xmlns="http://schemas.microsoft.com/office/spreadsheetml/2009/9/main" objectType="CheckBox" lockText="1"/>
</file>

<file path=xl/ctrlProps/ctrlProp137.xml><?xml version="1.0" encoding="utf-8"?>
<formControlPr xmlns="http://schemas.microsoft.com/office/spreadsheetml/2009/9/main" objectType="CheckBox" lockText="1"/>
</file>

<file path=xl/ctrlProps/ctrlProp138.xml><?xml version="1.0" encoding="utf-8"?>
<formControlPr xmlns="http://schemas.microsoft.com/office/spreadsheetml/2009/9/main" objectType="CheckBox" lockText="1"/>
</file>

<file path=xl/ctrlProps/ctrlProp139.xml><?xml version="1.0" encoding="utf-8"?>
<formControlPr xmlns="http://schemas.microsoft.com/office/spreadsheetml/2009/9/main" objectType="CheckBox" lockText="1"/>
</file>

<file path=xl/ctrlProps/ctrlProp140.xml><?xml version="1.0" encoding="utf-8"?>
<formControlPr xmlns="http://schemas.microsoft.com/office/spreadsheetml/2009/9/main" objectType="CheckBox" lockText="1"/>
</file>

<file path=xl/ctrlProps/ctrlProp141.xml><?xml version="1.0" encoding="utf-8"?>
<formControlPr xmlns="http://schemas.microsoft.com/office/spreadsheetml/2009/9/main" objectType="CheckBox" lockText="1"/>
</file>

<file path=xl/ctrlProps/ctrlProp142.xml><?xml version="1.0" encoding="utf-8"?>
<formControlPr xmlns="http://schemas.microsoft.com/office/spreadsheetml/2009/9/main" objectType="CheckBox" lockText="1"/>
</file>

<file path=xl/ctrlProps/ctrlProp143.xml><?xml version="1.0" encoding="utf-8"?>
<formControlPr xmlns="http://schemas.microsoft.com/office/spreadsheetml/2009/9/main" objectType="CheckBox" lockText="1"/>
</file>

<file path=xl/ctrlProps/ctrlProp144.xml><?xml version="1.0" encoding="utf-8"?>
<formControlPr xmlns="http://schemas.microsoft.com/office/spreadsheetml/2009/9/main" objectType="CheckBox" lockText="1"/>
</file>

<file path=xl/ctrlProps/ctrlProp145.xml><?xml version="1.0" encoding="utf-8"?>
<formControlPr xmlns="http://schemas.microsoft.com/office/spreadsheetml/2009/9/main" objectType="CheckBox" lockText="1"/>
</file>

<file path=xl/ctrlProps/ctrlProp146.xml><?xml version="1.0" encoding="utf-8"?>
<formControlPr xmlns="http://schemas.microsoft.com/office/spreadsheetml/2009/9/main" objectType="CheckBox" lockText="1"/>
</file>

<file path=xl/ctrlProps/ctrlProp147.xml><?xml version="1.0" encoding="utf-8"?>
<formControlPr xmlns="http://schemas.microsoft.com/office/spreadsheetml/2009/9/main" objectType="CheckBox" lockText="1"/>
</file>

<file path=xl/ctrlProps/ctrlProp148.xml><?xml version="1.0" encoding="utf-8"?>
<formControlPr xmlns="http://schemas.microsoft.com/office/spreadsheetml/2009/9/main" objectType="CheckBox" lockText="1"/>
</file>

<file path=xl/ctrlProps/ctrlProp149.xml><?xml version="1.0" encoding="utf-8"?>
<formControlPr xmlns="http://schemas.microsoft.com/office/spreadsheetml/2009/9/main" objectType="CheckBox"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CheckBox" lockText="1"/>
</file>

<file path=xl/ctrlProps/ctrlProp163.xml><?xml version="1.0" encoding="utf-8"?>
<formControlPr xmlns="http://schemas.microsoft.com/office/spreadsheetml/2009/9/main" objectType="CheckBox" lockText="1"/>
</file>

<file path=xl/ctrlProps/ctrlProp164.xml><?xml version="1.0" encoding="utf-8"?>
<formControlPr xmlns="http://schemas.microsoft.com/office/spreadsheetml/2009/9/main" objectType="CheckBox" lockText="1"/>
</file>

<file path=xl/ctrlProps/ctrlProp165.xml><?xml version="1.0" encoding="utf-8"?>
<formControlPr xmlns="http://schemas.microsoft.com/office/spreadsheetml/2009/9/main" objectType="CheckBox" lockText="1"/>
</file>

<file path=xl/ctrlProps/ctrlProp166.xml><?xml version="1.0" encoding="utf-8"?>
<formControlPr xmlns="http://schemas.microsoft.com/office/spreadsheetml/2009/9/main" objectType="CheckBox" lockText="1"/>
</file>

<file path=xl/ctrlProps/ctrlProp167.xml><?xml version="1.0" encoding="utf-8"?>
<formControlPr xmlns="http://schemas.microsoft.com/office/spreadsheetml/2009/9/main" objectType="CheckBox" lockText="1"/>
</file>

<file path=xl/ctrlProps/ctrlProp168.xml><?xml version="1.0" encoding="utf-8"?>
<formControlPr xmlns="http://schemas.microsoft.com/office/spreadsheetml/2009/9/main" objectType="CheckBox" lockText="1"/>
</file>

<file path=xl/ctrlProps/ctrlProp169.xml><?xml version="1.0" encoding="utf-8"?>
<formControlPr xmlns="http://schemas.microsoft.com/office/spreadsheetml/2009/9/main" objectType="CheckBox" lockText="1"/>
</file>

<file path=xl/ctrlProps/ctrlProp170.xml><?xml version="1.0" encoding="utf-8"?>
<formControlPr xmlns="http://schemas.microsoft.com/office/spreadsheetml/2009/9/main" objectType="CheckBox" lockText="1"/>
</file>

<file path=xl/ctrlProps/ctrlProp171.xml><?xml version="1.0" encoding="utf-8"?>
<formControlPr xmlns="http://schemas.microsoft.com/office/spreadsheetml/2009/9/main" objectType="CheckBox" lockText="1"/>
</file>

<file path=xl/ctrlProps/ctrlProp172.xml><?xml version="1.0" encoding="utf-8"?>
<formControlPr xmlns="http://schemas.microsoft.com/office/spreadsheetml/2009/9/main" objectType="CheckBox" lockText="1"/>
</file>

<file path=xl/ctrlProps/ctrlProp173.xml><?xml version="1.0" encoding="utf-8"?>
<formControlPr xmlns="http://schemas.microsoft.com/office/spreadsheetml/2009/9/main" objectType="CheckBox"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lockText="1"/>
</file>

<file path=xl/ctrlProps/ctrlProp239.xml><?xml version="1.0" encoding="utf-8"?>
<formControlPr xmlns="http://schemas.microsoft.com/office/spreadsheetml/2009/9/main" objectType="CheckBox"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lockText="1"/>
</file>

<file path=xl/ctrlProps/ctrlProp260.xml><?xml version="1.0" encoding="utf-8"?>
<formControlPr xmlns="http://schemas.microsoft.com/office/spreadsheetml/2009/9/main" objectType="CheckBox" lockText="1"/>
</file>

<file path=xl/ctrlProps/ctrlProp261.xml><?xml version="1.0" encoding="utf-8"?>
<formControlPr xmlns="http://schemas.microsoft.com/office/spreadsheetml/2009/9/main" objectType="CheckBox"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lockText="1"/>
</file>

<file path=xl/ctrlProps/ctrlProp279.xml><?xml version="1.0" encoding="utf-8"?>
<formControlPr xmlns="http://schemas.microsoft.com/office/spreadsheetml/2009/9/main" objectType="CheckBox"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lockText="1"/>
</file>

<file path=xl/ctrlProps/ctrlProp287.xml><?xml version="1.0" encoding="utf-8"?>
<formControlPr xmlns="http://schemas.microsoft.com/office/spreadsheetml/2009/9/main" objectType="CheckBox"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lockText="1"/>
</file>

<file path=xl/ctrlProps/ctrlProp299.xml><?xml version="1.0" encoding="utf-8"?>
<formControlPr xmlns="http://schemas.microsoft.com/office/spreadsheetml/2009/9/main" objectType="CheckBox"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lockText="1"/>
</file>

<file path=xl/ctrlProps/ctrlProp321.xml><?xml version="1.0" encoding="utf-8"?>
<formControlPr xmlns="http://schemas.microsoft.com/office/spreadsheetml/2009/9/main" objectType="CheckBox"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lockText="1"/>
</file>

<file path=xl/ctrlProps/ctrlProp332.xml><?xml version="1.0" encoding="utf-8"?>
<formControlPr xmlns="http://schemas.microsoft.com/office/spreadsheetml/2009/9/main" objectType="CheckBox" lockText="1"/>
</file>

<file path=xl/ctrlProps/ctrlProp333.xml><?xml version="1.0" encoding="utf-8"?>
<formControlPr xmlns="http://schemas.microsoft.com/office/spreadsheetml/2009/9/main" objectType="CheckBox"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lockText="1"/>
</file>

<file path=xl/ctrlProps/ctrlProp380.xml><?xml version="1.0" encoding="utf-8"?>
<formControlPr xmlns="http://schemas.microsoft.com/office/spreadsheetml/2009/9/main" objectType="CheckBox"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lockText="1"/>
</file>

<file path=xl/ctrlProps/ctrlProp383.xml><?xml version="1.0" encoding="utf-8"?>
<formControlPr xmlns="http://schemas.microsoft.com/office/spreadsheetml/2009/9/main" objectType="CheckBox"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251696</xdr:colOff>
      <xdr:row>4</xdr:row>
      <xdr:rowOff>35791</xdr:rowOff>
    </xdr:from>
    <xdr:to>
      <xdr:col>9</xdr:col>
      <xdr:colOff>482600</xdr:colOff>
      <xdr:row>8</xdr:row>
      <xdr:rowOff>0</xdr:rowOff>
    </xdr:to>
    <xdr:sp macro="" textlink="">
      <xdr:nvSpPr>
        <xdr:cNvPr id="3" name="Rectangle 3">
          <a:extLst>
            <a:ext uri="{FF2B5EF4-FFF2-40B4-BE49-F238E27FC236}">
              <a16:creationId xmlns:a16="http://schemas.microsoft.com/office/drawing/2014/main" id="{00000000-0008-0000-0000-000003000000}"/>
            </a:ext>
          </a:extLst>
        </xdr:cNvPr>
        <xdr:cNvSpPr/>
      </xdr:nvSpPr>
      <xdr:spPr>
        <a:xfrm>
          <a:off x="9982174600" y="797791"/>
          <a:ext cx="3590054" cy="877456"/>
        </a:xfrm>
        <a:prstGeom prst="rect">
          <a:avLst/>
        </a:prstGeom>
        <a:solidFill>
          <a:srgbClr val="F3F3F3"/>
        </a:solidFill>
        <a:ln>
          <a:solidFill>
            <a:srgbClr val="F3F3F3"/>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he-IL" sz="4000" b="1" i="0">
              <a:solidFill>
                <a:srgbClr val="9B8BF4"/>
              </a:solidFill>
              <a:effectLst/>
              <a:latin typeface="Gill Sans Nova" panose="020B0602020104020203" pitchFamily="34" charset="0"/>
              <a:cs typeface="+mn-cs"/>
            </a:rPr>
            <a:t>הוראות</a:t>
          </a:r>
          <a:r>
            <a:rPr lang="he-IL" sz="4000" b="1" i="0" baseline="0">
              <a:solidFill>
                <a:srgbClr val="9B8BF4"/>
              </a:solidFill>
              <a:effectLst/>
              <a:latin typeface="Gill Sans Nova" panose="020B0602020104020203" pitchFamily="34" charset="0"/>
              <a:cs typeface="+mn-cs"/>
            </a:rPr>
            <a:t> שימוש</a:t>
          </a:r>
          <a:endParaRPr lang="he-IL" sz="4000" b="1" i="0">
            <a:solidFill>
              <a:srgbClr val="9B8BF4"/>
            </a:solidFill>
            <a:effectLst/>
            <a:latin typeface="Gill Sans Nova" panose="020B0602020104020203" pitchFamily="34" charset="0"/>
            <a:cs typeface="+mn-cs"/>
          </a:endParaRPr>
        </a:p>
        <a:p>
          <a:pPr algn="ctr"/>
          <a:endParaRPr lang="en-US" sz="1050">
            <a:solidFill>
              <a:srgbClr val="9B8BF4"/>
            </a:solidFill>
            <a:latin typeface="Gill Sans Nova" panose="020B0602020104020203" pitchFamily="34" charset="0"/>
            <a:cs typeface="+mn-cs"/>
          </a:endParaRPr>
        </a:p>
      </xdr:txBody>
    </xdr:sp>
    <xdr:clientData/>
  </xdr:twoCellAnchor>
  <xdr:twoCellAnchor editAs="oneCell">
    <xdr:from>
      <xdr:col>0</xdr:col>
      <xdr:colOff>682625</xdr:colOff>
      <xdr:row>0</xdr:row>
      <xdr:rowOff>95250</xdr:rowOff>
    </xdr:from>
    <xdr:to>
      <xdr:col>2</xdr:col>
      <xdr:colOff>536517</xdr:colOff>
      <xdr:row>4</xdr:row>
      <xdr:rowOff>106848</xdr:rowOff>
    </xdr:to>
    <xdr:pic>
      <xdr:nvPicPr>
        <xdr:cNvPr id="5" name="Picture 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87797583" y="95250"/>
          <a:ext cx="2482792" cy="7481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474303</xdr:colOff>
      <xdr:row>0</xdr:row>
      <xdr:rowOff>65628</xdr:rowOff>
    </xdr:from>
    <xdr:to>
      <xdr:col>2</xdr:col>
      <xdr:colOff>761226</xdr:colOff>
      <xdr:row>3</xdr:row>
      <xdr:rowOff>54307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16914377" y="65628"/>
          <a:ext cx="2071492" cy="547041"/>
        </a:xfrm>
        <a:prstGeom prst="rect">
          <a:avLst/>
        </a:prstGeom>
      </xdr:spPr>
    </xdr:pic>
    <xdr:clientData/>
  </xdr:twoCellAnchor>
  <xdr:twoCellAnchor>
    <xdr:from>
      <xdr:col>0</xdr:col>
      <xdr:colOff>182880</xdr:colOff>
      <xdr:row>19</xdr:row>
      <xdr:rowOff>216646</xdr:rowOff>
    </xdr:from>
    <xdr:to>
      <xdr:col>0</xdr:col>
      <xdr:colOff>457200</xdr:colOff>
      <xdr:row>19</xdr:row>
      <xdr:rowOff>216646</xdr:rowOff>
    </xdr:to>
    <xdr:cxnSp macro="">
      <xdr:nvCxnSpPr>
        <xdr:cNvPr id="21" name="Straight Arrow Connector 20">
          <a:extLst>
            <a:ext uri="{FF2B5EF4-FFF2-40B4-BE49-F238E27FC236}">
              <a16:creationId xmlns:a16="http://schemas.microsoft.com/office/drawing/2014/main" id="{00000000-0008-0000-0100-000015000000}"/>
            </a:ext>
          </a:extLst>
        </xdr:cNvPr>
        <xdr:cNvCxnSpPr/>
      </xdr:nvCxnSpPr>
      <xdr:spPr>
        <a:xfrm>
          <a:off x="10048081624" y="5565587"/>
          <a:ext cx="274320" cy="0"/>
        </a:xfrm>
        <a:prstGeom prst="straightConnector1">
          <a:avLst/>
        </a:prstGeom>
        <a:ln>
          <a:solidFill>
            <a:schemeClr val="bg1"/>
          </a:solidFill>
          <a:headEnd w="lg" len="lg"/>
          <a:tailEnd type="triangle" w="lg" len="lg"/>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145977</xdr:colOff>
      <xdr:row>4</xdr:row>
      <xdr:rowOff>0</xdr:rowOff>
    </xdr:from>
    <xdr:to>
      <xdr:col>13</xdr:col>
      <xdr:colOff>437930</xdr:colOff>
      <xdr:row>10</xdr:row>
      <xdr:rowOff>21897</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587557</xdr:colOff>
      <xdr:row>3</xdr:row>
      <xdr:rowOff>189770</xdr:rowOff>
    </xdr:from>
    <xdr:to>
      <xdr:col>18</xdr:col>
      <xdr:colOff>985344</xdr:colOff>
      <xdr:row>10</xdr:row>
      <xdr:rowOff>21897</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226264</xdr:colOff>
      <xdr:row>10</xdr:row>
      <xdr:rowOff>80288</xdr:rowOff>
    </xdr:from>
    <xdr:to>
      <xdr:col>13</xdr:col>
      <xdr:colOff>109483</xdr:colOff>
      <xdr:row>17</xdr:row>
      <xdr:rowOff>44156</xdr:rowOff>
    </xdr:to>
    <xdr:graphicFrame macro="">
      <xdr:nvGraphicFramePr>
        <xdr:cNvPr id="18" name="Chart 17">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562011</xdr:colOff>
      <xdr:row>11</xdr:row>
      <xdr:rowOff>7299</xdr:rowOff>
    </xdr:from>
    <xdr:to>
      <xdr:col>20</xdr:col>
      <xdr:colOff>192691</xdr:colOff>
      <xdr:row>18</xdr:row>
      <xdr:rowOff>20728</xdr:rowOff>
    </xdr:to>
    <xdr:graphicFrame macro="">
      <xdr:nvGraphicFramePr>
        <xdr:cNvPr id="25" name="Chart 24">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131377</xdr:colOff>
      <xdr:row>11</xdr:row>
      <xdr:rowOff>0</xdr:rowOff>
    </xdr:from>
    <xdr:to>
      <xdr:col>13</xdr:col>
      <xdr:colOff>426982</xdr:colOff>
      <xdr:row>17</xdr:row>
      <xdr:rowOff>21897</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591207</xdr:colOff>
      <xdr:row>10</xdr:row>
      <xdr:rowOff>153276</xdr:rowOff>
    </xdr:from>
    <xdr:to>
      <xdr:col>18</xdr:col>
      <xdr:colOff>988994</xdr:colOff>
      <xdr:row>17</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120784</xdr:colOff>
      <xdr:row>0</xdr:row>
      <xdr:rowOff>76575</xdr:rowOff>
    </xdr:from>
    <xdr:to>
      <xdr:col>2</xdr:col>
      <xdr:colOff>616942</xdr:colOff>
      <xdr:row>4</xdr:row>
      <xdr:rowOff>63500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24897996" y="76575"/>
          <a:ext cx="2448783" cy="764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132765</xdr:colOff>
      <xdr:row>0</xdr:row>
      <xdr:rowOff>0</xdr:rowOff>
    </xdr:from>
    <xdr:to>
      <xdr:col>2</xdr:col>
      <xdr:colOff>115876</xdr:colOff>
      <xdr:row>3</xdr:row>
      <xdr:rowOff>66969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19966106" y="0"/>
          <a:ext cx="2028252" cy="6420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171450</xdr:colOff>
          <xdr:row>77</xdr:row>
          <xdr:rowOff>28575</xdr:rowOff>
        </xdr:from>
        <xdr:to>
          <xdr:col>9</xdr:col>
          <xdr:colOff>466725</xdr:colOff>
          <xdr:row>78</xdr:row>
          <xdr:rowOff>38100</xdr:rowOff>
        </xdr:to>
        <xdr:sp macro="" textlink="">
          <xdr:nvSpPr>
            <xdr:cNvPr id="7660" name="Check Box 492" hidden="1">
              <a:extLst>
                <a:ext uri="{63B3BB69-23CF-44E3-9099-C40C66FF867C}">
                  <a14:compatExt spid="_x0000_s7660"/>
                </a:ext>
                <a:ext uri="{FF2B5EF4-FFF2-40B4-BE49-F238E27FC236}">
                  <a16:creationId xmlns:a16="http://schemas.microsoft.com/office/drawing/2014/main" id="{00000000-0008-0000-0500-0000EC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77</xdr:row>
          <xdr:rowOff>219075</xdr:rowOff>
        </xdr:from>
        <xdr:to>
          <xdr:col>9</xdr:col>
          <xdr:colOff>466725</xdr:colOff>
          <xdr:row>79</xdr:row>
          <xdr:rowOff>38100</xdr:rowOff>
        </xdr:to>
        <xdr:sp macro="" textlink="">
          <xdr:nvSpPr>
            <xdr:cNvPr id="7661" name="Check Box 493" hidden="1">
              <a:extLst>
                <a:ext uri="{63B3BB69-23CF-44E3-9099-C40C66FF867C}">
                  <a14:compatExt spid="_x0000_s7661"/>
                </a:ext>
                <a:ext uri="{FF2B5EF4-FFF2-40B4-BE49-F238E27FC236}">
                  <a16:creationId xmlns:a16="http://schemas.microsoft.com/office/drawing/2014/main" id="{00000000-0008-0000-0500-0000ED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79</xdr:row>
          <xdr:rowOff>9525</xdr:rowOff>
        </xdr:from>
        <xdr:to>
          <xdr:col>9</xdr:col>
          <xdr:colOff>466725</xdr:colOff>
          <xdr:row>80</xdr:row>
          <xdr:rowOff>28575</xdr:rowOff>
        </xdr:to>
        <xdr:sp macro="" textlink="">
          <xdr:nvSpPr>
            <xdr:cNvPr id="7662" name="Check Box 494" hidden="1">
              <a:extLst>
                <a:ext uri="{63B3BB69-23CF-44E3-9099-C40C66FF867C}">
                  <a14:compatExt spid="_x0000_s7662"/>
                </a:ext>
                <a:ext uri="{FF2B5EF4-FFF2-40B4-BE49-F238E27FC236}">
                  <a16:creationId xmlns:a16="http://schemas.microsoft.com/office/drawing/2014/main" id="{00000000-0008-0000-0500-0000EE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80</xdr:row>
          <xdr:rowOff>19050</xdr:rowOff>
        </xdr:from>
        <xdr:to>
          <xdr:col>9</xdr:col>
          <xdr:colOff>466725</xdr:colOff>
          <xdr:row>81</xdr:row>
          <xdr:rowOff>38100</xdr:rowOff>
        </xdr:to>
        <xdr:sp macro="" textlink="">
          <xdr:nvSpPr>
            <xdr:cNvPr id="7663" name="Check Box 495" hidden="1">
              <a:extLst>
                <a:ext uri="{63B3BB69-23CF-44E3-9099-C40C66FF867C}">
                  <a14:compatExt spid="_x0000_s7663"/>
                </a:ext>
                <a:ext uri="{FF2B5EF4-FFF2-40B4-BE49-F238E27FC236}">
                  <a16:creationId xmlns:a16="http://schemas.microsoft.com/office/drawing/2014/main" id="{00000000-0008-0000-0500-0000EF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137</xdr:row>
          <xdr:rowOff>200025</xdr:rowOff>
        </xdr:from>
        <xdr:to>
          <xdr:col>9</xdr:col>
          <xdr:colOff>466725</xdr:colOff>
          <xdr:row>380</xdr:row>
          <xdr:rowOff>28575</xdr:rowOff>
        </xdr:to>
        <xdr:sp macro="" textlink="">
          <xdr:nvSpPr>
            <xdr:cNvPr id="7664" name="Check Box 496" hidden="1">
              <a:extLst>
                <a:ext uri="{63B3BB69-23CF-44E3-9099-C40C66FF867C}">
                  <a14:compatExt spid="_x0000_s7664"/>
                </a:ext>
                <a:ext uri="{FF2B5EF4-FFF2-40B4-BE49-F238E27FC236}">
                  <a16:creationId xmlns:a16="http://schemas.microsoft.com/office/drawing/2014/main" id="{00000000-0008-0000-0500-0000F0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138</xdr:row>
          <xdr:rowOff>190500</xdr:rowOff>
        </xdr:from>
        <xdr:to>
          <xdr:col>9</xdr:col>
          <xdr:colOff>457200</xdr:colOff>
          <xdr:row>380</xdr:row>
          <xdr:rowOff>38100</xdr:rowOff>
        </xdr:to>
        <xdr:sp macro="" textlink="">
          <xdr:nvSpPr>
            <xdr:cNvPr id="7665" name="Check Box 497" hidden="1">
              <a:extLst>
                <a:ext uri="{63B3BB69-23CF-44E3-9099-C40C66FF867C}">
                  <a14:compatExt spid="_x0000_s7665"/>
                </a:ext>
                <a:ext uri="{FF2B5EF4-FFF2-40B4-BE49-F238E27FC236}">
                  <a16:creationId xmlns:a16="http://schemas.microsoft.com/office/drawing/2014/main" id="{00000000-0008-0000-0500-0000F1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134</xdr:row>
          <xdr:rowOff>200025</xdr:rowOff>
        </xdr:from>
        <xdr:to>
          <xdr:col>9</xdr:col>
          <xdr:colOff>466725</xdr:colOff>
          <xdr:row>380</xdr:row>
          <xdr:rowOff>28575</xdr:rowOff>
        </xdr:to>
        <xdr:sp macro="" textlink="">
          <xdr:nvSpPr>
            <xdr:cNvPr id="7666" name="Check Box 498" hidden="1">
              <a:extLst>
                <a:ext uri="{63B3BB69-23CF-44E3-9099-C40C66FF867C}">
                  <a14:compatExt spid="_x0000_s7666"/>
                </a:ext>
                <a:ext uri="{FF2B5EF4-FFF2-40B4-BE49-F238E27FC236}">
                  <a16:creationId xmlns:a16="http://schemas.microsoft.com/office/drawing/2014/main" id="{00000000-0008-0000-0500-0000F2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135</xdr:row>
          <xdr:rowOff>190500</xdr:rowOff>
        </xdr:from>
        <xdr:to>
          <xdr:col>9</xdr:col>
          <xdr:colOff>466725</xdr:colOff>
          <xdr:row>380</xdr:row>
          <xdr:rowOff>38100</xdr:rowOff>
        </xdr:to>
        <xdr:sp macro="" textlink="">
          <xdr:nvSpPr>
            <xdr:cNvPr id="7667" name="Check Box 499" hidden="1">
              <a:extLst>
                <a:ext uri="{63B3BB69-23CF-44E3-9099-C40C66FF867C}">
                  <a14:compatExt spid="_x0000_s7667"/>
                </a:ext>
                <a:ext uri="{FF2B5EF4-FFF2-40B4-BE49-F238E27FC236}">
                  <a16:creationId xmlns:a16="http://schemas.microsoft.com/office/drawing/2014/main" id="{00000000-0008-0000-0500-0000F3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137</xdr:row>
          <xdr:rowOff>9525</xdr:rowOff>
        </xdr:from>
        <xdr:to>
          <xdr:col>10</xdr:col>
          <xdr:colOff>0</xdr:colOff>
          <xdr:row>380</xdr:row>
          <xdr:rowOff>28575</xdr:rowOff>
        </xdr:to>
        <xdr:sp macro="" textlink="">
          <xdr:nvSpPr>
            <xdr:cNvPr id="7668" name="Check Box 500" hidden="1">
              <a:extLst>
                <a:ext uri="{63B3BB69-23CF-44E3-9099-C40C66FF867C}">
                  <a14:compatExt spid="_x0000_s7668"/>
                </a:ext>
                <a:ext uri="{FF2B5EF4-FFF2-40B4-BE49-F238E27FC236}">
                  <a16:creationId xmlns:a16="http://schemas.microsoft.com/office/drawing/2014/main" id="{00000000-0008-0000-0500-0000F4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131</xdr:row>
          <xdr:rowOff>200025</xdr:rowOff>
        </xdr:from>
        <xdr:to>
          <xdr:col>9</xdr:col>
          <xdr:colOff>466725</xdr:colOff>
          <xdr:row>380</xdr:row>
          <xdr:rowOff>28575</xdr:rowOff>
        </xdr:to>
        <xdr:sp macro="" textlink="">
          <xdr:nvSpPr>
            <xdr:cNvPr id="7669" name="Check Box 501" hidden="1">
              <a:extLst>
                <a:ext uri="{63B3BB69-23CF-44E3-9099-C40C66FF867C}">
                  <a14:compatExt spid="_x0000_s7669"/>
                </a:ext>
                <a:ext uri="{FF2B5EF4-FFF2-40B4-BE49-F238E27FC236}">
                  <a16:creationId xmlns:a16="http://schemas.microsoft.com/office/drawing/2014/main" id="{00000000-0008-0000-0500-0000F5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132</xdr:row>
          <xdr:rowOff>190500</xdr:rowOff>
        </xdr:from>
        <xdr:to>
          <xdr:col>9</xdr:col>
          <xdr:colOff>457200</xdr:colOff>
          <xdr:row>380</xdr:row>
          <xdr:rowOff>38100</xdr:rowOff>
        </xdr:to>
        <xdr:sp macro="" textlink="">
          <xdr:nvSpPr>
            <xdr:cNvPr id="7670" name="Check Box 502" hidden="1">
              <a:extLst>
                <a:ext uri="{63B3BB69-23CF-44E3-9099-C40C66FF867C}">
                  <a14:compatExt spid="_x0000_s7670"/>
                </a:ext>
                <a:ext uri="{FF2B5EF4-FFF2-40B4-BE49-F238E27FC236}">
                  <a16:creationId xmlns:a16="http://schemas.microsoft.com/office/drawing/2014/main" id="{00000000-0008-0000-0500-0000F6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133</xdr:row>
          <xdr:rowOff>200025</xdr:rowOff>
        </xdr:from>
        <xdr:to>
          <xdr:col>9</xdr:col>
          <xdr:colOff>447675</xdr:colOff>
          <xdr:row>380</xdr:row>
          <xdr:rowOff>28575</xdr:rowOff>
        </xdr:to>
        <xdr:sp macro="" textlink="">
          <xdr:nvSpPr>
            <xdr:cNvPr id="7671" name="Check Box 503" hidden="1">
              <a:extLst>
                <a:ext uri="{63B3BB69-23CF-44E3-9099-C40C66FF867C}">
                  <a14:compatExt spid="_x0000_s7671"/>
                </a:ext>
                <a:ext uri="{FF2B5EF4-FFF2-40B4-BE49-F238E27FC236}">
                  <a16:creationId xmlns:a16="http://schemas.microsoft.com/office/drawing/2014/main" id="{00000000-0008-0000-0500-0000F7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128</xdr:row>
          <xdr:rowOff>200025</xdr:rowOff>
        </xdr:from>
        <xdr:to>
          <xdr:col>9</xdr:col>
          <xdr:colOff>466725</xdr:colOff>
          <xdr:row>380</xdr:row>
          <xdr:rowOff>28575</xdr:rowOff>
        </xdr:to>
        <xdr:sp macro="" textlink="">
          <xdr:nvSpPr>
            <xdr:cNvPr id="7672" name="Check Box 504" hidden="1">
              <a:extLst>
                <a:ext uri="{63B3BB69-23CF-44E3-9099-C40C66FF867C}">
                  <a14:compatExt spid="_x0000_s7672"/>
                </a:ext>
                <a:ext uri="{FF2B5EF4-FFF2-40B4-BE49-F238E27FC236}">
                  <a16:creationId xmlns:a16="http://schemas.microsoft.com/office/drawing/2014/main" id="{00000000-0008-0000-0500-0000F8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129</xdr:row>
          <xdr:rowOff>190500</xdr:rowOff>
        </xdr:from>
        <xdr:to>
          <xdr:col>9</xdr:col>
          <xdr:colOff>466725</xdr:colOff>
          <xdr:row>380</xdr:row>
          <xdr:rowOff>38100</xdr:rowOff>
        </xdr:to>
        <xdr:sp macro="" textlink="">
          <xdr:nvSpPr>
            <xdr:cNvPr id="7673" name="Check Box 505" hidden="1">
              <a:extLst>
                <a:ext uri="{63B3BB69-23CF-44E3-9099-C40C66FF867C}">
                  <a14:compatExt spid="_x0000_s7673"/>
                </a:ext>
                <a:ext uri="{FF2B5EF4-FFF2-40B4-BE49-F238E27FC236}">
                  <a16:creationId xmlns:a16="http://schemas.microsoft.com/office/drawing/2014/main" id="{00000000-0008-0000-0500-0000F9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131</xdr:row>
          <xdr:rowOff>9525</xdr:rowOff>
        </xdr:from>
        <xdr:to>
          <xdr:col>10</xdr:col>
          <xdr:colOff>0</xdr:colOff>
          <xdr:row>380</xdr:row>
          <xdr:rowOff>28575</xdr:rowOff>
        </xdr:to>
        <xdr:sp macro="" textlink="">
          <xdr:nvSpPr>
            <xdr:cNvPr id="7674" name="Check Box 506" hidden="1">
              <a:extLst>
                <a:ext uri="{63B3BB69-23CF-44E3-9099-C40C66FF867C}">
                  <a14:compatExt spid="_x0000_s7674"/>
                </a:ext>
                <a:ext uri="{FF2B5EF4-FFF2-40B4-BE49-F238E27FC236}">
                  <a16:creationId xmlns:a16="http://schemas.microsoft.com/office/drawing/2014/main" id="{00000000-0008-0000-0500-0000FA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125</xdr:row>
          <xdr:rowOff>200025</xdr:rowOff>
        </xdr:from>
        <xdr:to>
          <xdr:col>9</xdr:col>
          <xdr:colOff>466725</xdr:colOff>
          <xdr:row>380</xdr:row>
          <xdr:rowOff>28575</xdr:rowOff>
        </xdr:to>
        <xdr:sp macro="" textlink="">
          <xdr:nvSpPr>
            <xdr:cNvPr id="7675" name="Check Box 507" hidden="1">
              <a:extLst>
                <a:ext uri="{63B3BB69-23CF-44E3-9099-C40C66FF867C}">
                  <a14:compatExt spid="_x0000_s7675"/>
                </a:ext>
                <a:ext uri="{FF2B5EF4-FFF2-40B4-BE49-F238E27FC236}">
                  <a16:creationId xmlns:a16="http://schemas.microsoft.com/office/drawing/2014/main" id="{00000000-0008-0000-0500-0000FB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126</xdr:row>
          <xdr:rowOff>190500</xdr:rowOff>
        </xdr:from>
        <xdr:to>
          <xdr:col>9</xdr:col>
          <xdr:colOff>466725</xdr:colOff>
          <xdr:row>380</xdr:row>
          <xdr:rowOff>38100</xdr:rowOff>
        </xdr:to>
        <xdr:sp macro="" textlink="">
          <xdr:nvSpPr>
            <xdr:cNvPr id="7676" name="Check Box 508" hidden="1">
              <a:extLst>
                <a:ext uri="{63B3BB69-23CF-44E3-9099-C40C66FF867C}">
                  <a14:compatExt spid="_x0000_s7676"/>
                </a:ext>
                <a:ext uri="{FF2B5EF4-FFF2-40B4-BE49-F238E27FC236}">
                  <a16:creationId xmlns:a16="http://schemas.microsoft.com/office/drawing/2014/main" id="{00000000-0008-0000-0500-0000FC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122</xdr:row>
          <xdr:rowOff>200025</xdr:rowOff>
        </xdr:from>
        <xdr:to>
          <xdr:col>9</xdr:col>
          <xdr:colOff>466725</xdr:colOff>
          <xdr:row>380</xdr:row>
          <xdr:rowOff>28575</xdr:rowOff>
        </xdr:to>
        <xdr:sp macro="" textlink="">
          <xdr:nvSpPr>
            <xdr:cNvPr id="7677" name="Check Box 509" hidden="1">
              <a:extLst>
                <a:ext uri="{63B3BB69-23CF-44E3-9099-C40C66FF867C}">
                  <a14:compatExt spid="_x0000_s7677"/>
                </a:ext>
                <a:ext uri="{FF2B5EF4-FFF2-40B4-BE49-F238E27FC236}">
                  <a16:creationId xmlns:a16="http://schemas.microsoft.com/office/drawing/2014/main" id="{00000000-0008-0000-0500-0000FD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123</xdr:row>
          <xdr:rowOff>190500</xdr:rowOff>
        </xdr:from>
        <xdr:to>
          <xdr:col>9</xdr:col>
          <xdr:colOff>457200</xdr:colOff>
          <xdr:row>380</xdr:row>
          <xdr:rowOff>38100</xdr:rowOff>
        </xdr:to>
        <xdr:sp macro="" textlink="">
          <xdr:nvSpPr>
            <xdr:cNvPr id="7678" name="Check Box 510" hidden="1">
              <a:extLst>
                <a:ext uri="{63B3BB69-23CF-44E3-9099-C40C66FF867C}">
                  <a14:compatExt spid="_x0000_s7678"/>
                </a:ext>
                <a:ext uri="{FF2B5EF4-FFF2-40B4-BE49-F238E27FC236}">
                  <a16:creationId xmlns:a16="http://schemas.microsoft.com/office/drawing/2014/main" id="{00000000-0008-0000-0500-0000FE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124</xdr:row>
          <xdr:rowOff>200025</xdr:rowOff>
        </xdr:from>
        <xdr:to>
          <xdr:col>9</xdr:col>
          <xdr:colOff>447675</xdr:colOff>
          <xdr:row>380</xdr:row>
          <xdr:rowOff>28575</xdr:rowOff>
        </xdr:to>
        <xdr:sp macro="" textlink="">
          <xdr:nvSpPr>
            <xdr:cNvPr id="7679" name="Check Box 511" hidden="1">
              <a:extLst>
                <a:ext uri="{63B3BB69-23CF-44E3-9099-C40C66FF867C}">
                  <a14:compatExt spid="_x0000_s7679"/>
                </a:ext>
                <a:ext uri="{FF2B5EF4-FFF2-40B4-BE49-F238E27FC236}">
                  <a16:creationId xmlns:a16="http://schemas.microsoft.com/office/drawing/2014/main" id="{00000000-0008-0000-0500-0000FF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119</xdr:row>
          <xdr:rowOff>200025</xdr:rowOff>
        </xdr:from>
        <xdr:to>
          <xdr:col>9</xdr:col>
          <xdr:colOff>466725</xdr:colOff>
          <xdr:row>380</xdr:row>
          <xdr:rowOff>28575</xdr:rowOff>
        </xdr:to>
        <xdr:sp macro="" textlink="">
          <xdr:nvSpPr>
            <xdr:cNvPr id="7680" name="Check Box 512" hidden="1">
              <a:extLst>
                <a:ext uri="{63B3BB69-23CF-44E3-9099-C40C66FF867C}">
                  <a14:compatExt spid="_x0000_s7680"/>
                </a:ext>
                <a:ext uri="{FF2B5EF4-FFF2-40B4-BE49-F238E27FC236}">
                  <a16:creationId xmlns:a16="http://schemas.microsoft.com/office/drawing/2014/main" id="{00000000-0008-0000-0500-00000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120</xdr:row>
          <xdr:rowOff>190500</xdr:rowOff>
        </xdr:from>
        <xdr:to>
          <xdr:col>9</xdr:col>
          <xdr:colOff>466725</xdr:colOff>
          <xdr:row>380</xdr:row>
          <xdr:rowOff>38100</xdr:rowOff>
        </xdr:to>
        <xdr:sp macro="" textlink="">
          <xdr:nvSpPr>
            <xdr:cNvPr id="7681" name="Check Box 513" hidden="1">
              <a:extLst>
                <a:ext uri="{63B3BB69-23CF-44E3-9099-C40C66FF867C}">
                  <a14:compatExt spid="_x0000_s7681"/>
                </a:ext>
                <a:ext uri="{FF2B5EF4-FFF2-40B4-BE49-F238E27FC236}">
                  <a16:creationId xmlns:a16="http://schemas.microsoft.com/office/drawing/2014/main" id="{00000000-0008-0000-0500-00000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122</xdr:row>
          <xdr:rowOff>9525</xdr:rowOff>
        </xdr:from>
        <xdr:to>
          <xdr:col>10</xdr:col>
          <xdr:colOff>0</xdr:colOff>
          <xdr:row>380</xdr:row>
          <xdr:rowOff>28575</xdr:rowOff>
        </xdr:to>
        <xdr:sp macro="" textlink="">
          <xdr:nvSpPr>
            <xdr:cNvPr id="7682" name="Check Box 514" hidden="1">
              <a:extLst>
                <a:ext uri="{63B3BB69-23CF-44E3-9099-C40C66FF867C}">
                  <a14:compatExt spid="_x0000_s7682"/>
                </a:ext>
                <a:ext uri="{FF2B5EF4-FFF2-40B4-BE49-F238E27FC236}">
                  <a16:creationId xmlns:a16="http://schemas.microsoft.com/office/drawing/2014/main" id="{00000000-0008-0000-0500-00000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116</xdr:row>
          <xdr:rowOff>200025</xdr:rowOff>
        </xdr:from>
        <xdr:to>
          <xdr:col>9</xdr:col>
          <xdr:colOff>466725</xdr:colOff>
          <xdr:row>380</xdr:row>
          <xdr:rowOff>28575</xdr:rowOff>
        </xdr:to>
        <xdr:sp macro="" textlink="">
          <xdr:nvSpPr>
            <xdr:cNvPr id="7683" name="Check Box 515" hidden="1">
              <a:extLst>
                <a:ext uri="{63B3BB69-23CF-44E3-9099-C40C66FF867C}">
                  <a14:compatExt spid="_x0000_s7683"/>
                </a:ext>
                <a:ext uri="{FF2B5EF4-FFF2-40B4-BE49-F238E27FC236}">
                  <a16:creationId xmlns:a16="http://schemas.microsoft.com/office/drawing/2014/main" id="{00000000-0008-0000-0500-00000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117</xdr:row>
          <xdr:rowOff>190500</xdr:rowOff>
        </xdr:from>
        <xdr:to>
          <xdr:col>9</xdr:col>
          <xdr:colOff>466725</xdr:colOff>
          <xdr:row>380</xdr:row>
          <xdr:rowOff>38100</xdr:rowOff>
        </xdr:to>
        <xdr:sp macro="" textlink="">
          <xdr:nvSpPr>
            <xdr:cNvPr id="7684" name="Check Box 516" hidden="1">
              <a:extLst>
                <a:ext uri="{63B3BB69-23CF-44E3-9099-C40C66FF867C}">
                  <a14:compatExt spid="_x0000_s7684"/>
                </a:ext>
                <a:ext uri="{FF2B5EF4-FFF2-40B4-BE49-F238E27FC236}">
                  <a16:creationId xmlns:a16="http://schemas.microsoft.com/office/drawing/2014/main" id="{00000000-0008-0000-0500-00000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113</xdr:row>
          <xdr:rowOff>200025</xdr:rowOff>
        </xdr:from>
        <xdr:to>
          <xdr:col>9</xdr:col>
          <xdr:colOff>466725</xdr:colOff>
          <xdr:row>380</xdr:row>
          <xdr:rowOff>28575</xdr:rowOff>
        </xdr:to>
        <xdr:sp macro="" textlink="">
          <xdr:nvSpPr>
            <xdr:cNvPr id="7685" name="Check Box 517" hidden="1">
              <a:extLst>
                <a:ext uri="{63B3BB69-23CF-44E3-9099-C40C66FF867C}">
                  <a14:compatExt spid="_x0000_s7685"/>
                </a:ext>
                <a:ext uri="{FF2B5EF4-FFF2-40B4-BE49-F238E27FC236}">
                  <a16:creationId xmlns:a16="http://schemas.microsoft.com/office/drawing/2014/main" id="{00000000-0008-0000-0500-00000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114</xdr:row>
          <xdr:rowOff>190500</xdr:rowOff>
        </xdr:from>
        <xdr:to>
          <xdr:col>9</xdr:col>
          <xdr:colOff>466725</xdr:colOff>
          <xdr:row>380</xdr:row>
          <xdr:rowOff>38100</xdr:rowOff>
        </xdr:to>
        <xdr:sp macro="" textlink="">
          <xdr:nvSpPr>
            <xdr:cNvPr id="7686" name="Check Box 518" hidden="1">
              <a:extLst>
                <a:ext uri="{63B3BB69-23CF-44E3-9099-C40C66FF867C}">
                  <a14:compatExt spid="_x0000_s7686"/>
                </a:ext>
                <a:ext uri="{FF2B5EF4-FFF2-40B4-BE49-F238E27FC236}">
                  <a16:creationId xmlns:a16="http://schemas.microsoft.com/office/drawing/2014/main" id="{00000000-0008-0000-0500-00000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116</xdr:row>
          <xdr:rowOff>19050</xdr:rowOff>
        </xdr:from>
        <xdr:to>
          <xdr:col>10</xdr:col>
          <xdr:colOff>0</xdr:colOff>
          <xdr:row>380</xdr:row>
          <xdr:rowOff>28575</xdr:rowOff>
        </xdr:to>
        <xdr:sp macro="" textlink="">
          <xdr:nvSpPr>
            <xdr:cNvPr id="7687" name="Check Box 519" hidden="1">
              <a:extLst>
                <a:ext uri="{63B3BB69-23CF-44E3-9099-C40C66FF867C}">
                  <a14:compatExt spid="_x0000_s7687"/>
                </a:ext>
                <a:ext uri="{FF2B5EF4-FFF2-40B4-BE49-F238E27FC236}">
                  <a16:creationId xmlns:a16="http://schemas.microsoft.com/office/drawing/2014/main" id="{00000000-0008-0000-0500-00000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110</xdr:row>
          <xdr:rowOff>200025</xdr:rowOff>
        </xdr:from>
        <xdr:to>
          <xdr:col>9</xdr:col>
          <xdr:colOff>466725</xdr:colOff>
          <xdr:row>112</xdr:row>
          <xdr:rowOff>38100</xdr:rowOff>
        </xdr:to>
        <xdr:sp macro="" textlink="">
          <xdr:nvSpPr>
            <xdr:cNvPr id="7688" name="Check Box 520" hidden="1">
              <a:extLst>
                <a:ext uri="{63B3BB69-23CF-44E3-9099-C40C66FF867C}">
                  <a14:compatExt spid="_x0000_s7688"/>
                </a:ext>
                <a:ext uri="{FF2B5EF4-FFF2-40B4-BE49-F238E27FC236}">
                  <a16:creationId xmlns:a16="http://schemas.microsoft.com/office/drawing/2014/main" id="{00000000-0008-0000-0500-00000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111</xdr:row>
          <xdr:rowOff>190500</xdr:rowOff>
        </xdr:from>
        <xdr:to>
          <xdr:col>9</xdr:col>
          <xdr:colOff>466725</xdr:colOff>
          <xdr:row>379</xdr:row>
          <xdr:rowOff>38100</xdr:rowOff>
        </xdr:to>
        <xdr:sp macro="" textlink="">
          <xdr:nvSpPr>
            <xdr:cNvPr id="7689" name="Check Box 521" hidden="1">
              <a:extLst>
                <a:ext uri="{63B3BB69-23CF-44E3-9099-C40C66FF867C}">
                  <a14:compatExt spid="_x0000_s7689"/>
                </a:ext>
                <a:ext uri="{FF2B5EF4-FFF2-40B4-BE49-F238E27FC236}">
                  <a16:creationId xmlns:a16="http://schemas.microsoft.com/office/drawing/2014/main" id="{00000000-0008-0000-0500-00000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113</xdr:row>
          <xdr:rowOff>9525</xdr:rowOff>
        </xdr:from>
        <xdr:to>
          <xdr:col>10</xdr:col>
          <xdr:colOff>0</xdr:colOff>
          <xdr:row>380</xdr:row>
          <xdr:rowOff>28575</xdr:rowOff>
        </xdr:to>
        <xdr:sp macro="" textlink="">
          <xdr:nvSpPr>
            <xdr:cNvPr id="7690" name="Check Box 522" hidden="1">
              <a:extLst>
                <a:ext uri="{63B3BB69-23CF-44E3-9099-C40C66FF867C}">
                  <a14:compatExt spid="_x0000_s7690"/>
                </a:ext>
                <a:ext uri="{FF2B5EF4-FFF2-40B4-BE49-F238E27FC236}">
                  <a16:creationId xmlns:a16="http://schemas.microsoft.com/office/drawing/2014/main" id="{00000000-0008-0000-0500-00000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118</xdr:row>
          <xdr:rowOff>200025</xdr:rowOff>
        </xdr:from>
        <xdr:to>
          <xdr:col>9</xdr:col>
          <xdr:colOff>466725</xdr:colOff>
          <xdr:row>380</xdr:row>
          <xdr:rowOff>38100</xdr:rowOff>
        </xdr:to>
        <xdr:sp macro="" textlink="">
          <xdr:nvSpPr>
            <xdr:cNvPr id="7691" name="Check Box 523" hidden="1">
              <a:extLst>
                <a:ext uri="{63B3BB69-23CF-44E3-9099-C40C66FF867C}">
                  <a14:compatExt spid="_x0000_s7691"/>
                </a:ext>
                <a:ext uri="{FF2B5EF4-FFF2-40B4-BE49-F238E27FC236}">
                  <a16:creationId xmlns:a16="http://schemas.microsoft.com/office/drawing/2014/main" id="{00000000-0008-0000-0500-00000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128</xdr:row>
          <xdr:rowOff>19050</xdr:rowOff>
        </xdr:from>
        <xdr:to>
          <xdr:col>9</xdr:col>
          <xdr:colOff>466725</xdr:colOff>
          <xdr:row>380</xdr:row>
          <xdr:rowOff>38100</xdr:rowOff>
        </xdr:to>
        <xdr:sp macro="" textlink="">
          <xdr:nvSpPr>
            <xdr:cNvPr id="7692" name="Check Box 524" hidden="1">
              <a:extLst>
                <a:ext uri="{63B3BB69-23CF-44E3-9099-C40C66FF867C}">
                  <a14:compatExt spid="_x0000_s7692"/>
                </a:ext>
                <a:ext uri="{FF2B5EF4-FFF2-40B4-BE49-F238E27FC236}">
                  <a16:creationId xmlns:a16="http://schemas.microsoft.com/office/drawing/2014/main" id="{00000000-0008-0000-0500-00000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107</xdr:row>
          <xdr:rowOff>200025</xdr:rowOff>
        </xdr:from>
        <xdr:to>
          <xdr:col>9</xdr:col>
          <xdr:colOff>466725</xdr:colOff>
          <xdr:row>109</xdr:row>
          <xdr:rowOff>38100</xdr:rowOff>
        </xdr:to>
        <xdr:sp macro="" textlink="">
          <xdr:nvSpPr>
            <xdr:cNvPr id="7693" name="Check Box 525" hidden="1">
              <a:extLst>
                <a:ext uri="{63B3BB69-23CF-44E3-9099-C40C66FF867C}">
                  <a14:compatExt spid="_x0000_s7693"/>
                </a:ext>
                <a:ext uri="{FF2B5EF4-FFF2-40B4-BE49-F238E27FC236}">
                  <a16:creationId xmlns:a16="http://schemas.microsoft.com/office/drawing/2014/main" id="{00000000-0008-0000-0500-00000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108</xdr:row>
          <xdr:rowOff>190500</xdr:rowOff>
        </xdr:from>
        <xdr:to>
          <xdr:col>9</xdr:col>
          <xdr:colOff>457200</xdr:colOff>
          <xdr:row>110</xdr:row>
          <xdr:rowOff>38100</xdr:rowOff>
        </xdr:to>
        <xdr:sp macro="" textlink="">
          <xdr:nvSpPr>
            <xdr:cNvPr id="7694" name="Check Box 526" hidden="1">
              <a:extLst>
                <a:ext uri="{63B3BB69-23CF-44E3-9099-C40C66FF867C}">
                  <a14:compatExt spid="_x0000_s7694"/>
                </a:ext>
                <a:ext uri="{FF2B5EF4-FFF2-40B4-BE49-F238E27FC236}">
                  <a16:creationId xmlns:a16="http://schemas.microsoft.com/office/drawing/2014/main" id="{00000000-0008-0000-0500-00000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109</xdr:row>
          <xdr:rowOff>200025</xdr:rowOff>
        </xdr:from>
        <xdr:to>
          <xdr:col>9</xdr:col>
          <xdr:colOff>447675</xdr:colOff>
          <xdr:row>111</xdr:row>
          <xdr:rowOff>28575</xdr:rowOff>
        </xdr:to>
        <xdr:sp macro="" textlink="">
          <xdr:nvSpPr>
            <xdr:cNvPr id="7695" name="Check Box 527" hidden="1">
              <a:extLst>
                <a:ext uri="{63B3BB69-23CF-44E3-9099-C40C66FF867C}">
                  <a14:compatExt spid="_x0000_s7695"/>
                </a:ext>
                <a:ext uri="{FF2B5EF4-FFF2-40B4-BE49-F238E27FC236}">
                  <a16:creationId xmlns:a16="http://schemas.microsoft.com/office/drawing/2014/main" id="{00000000-0008-0000-0500-00000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104</xdr:row>
          <xdr:rowOff>200025</xdr:rowOff>
        </xdr:from>
        <xdr:to>
          <xdr:col>9</xdr:col>
          <xdr:colOff>466725</xdr:colOff>
          <xdr:row>106</xdr:row>
          <xdr:rowOff>38100</xdr:rowOff>
        </xdr:to>
        <xdr:sp macro="" textlink="">
          <xdr:nvSpPr>
            <xdr:cNvPr id="7696" name="Check Box 528" hidden="1">
              <a:extLst>
                <a:ext uri="{63B3BB69-23CF-44E3-9099-C40C66FF867C}">
                  <a14:compatExt spid="_x0000_s7696"/>
                </a:ext>
                <a:ext uri="{FF2B5EF4-FFF2-40B4-BE49-F238E27FC236}">
                  <a16:creationId xmlns:a16="http://schemas.microsoft.com/office/drawing/2014/main" id="{00000000-0008-0000-0500-00001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105</xdr:row>
          <xdr:rowOff>190500</xdr:rowOff>
        </xdr:from>
        <xdr:to>
          <xdr:col>9</xdr:col>
          <xdr:colOff>466725</xdr:colOff>
          <xdr:row>107</xdr:row>
          <xdr:rowOff>38100</xdr:rowOff>
        </xdr:to>
        <xdr:sp macro="" textlink="">
          <xdr:nvSpPr>
            <xdr:cNvPr id="7697" name="Check Box 529" hidden="1">
              <a:extLst>
                <a:ext uri="{63B3BB69-23CF-44E3-9099-C40C66FF867C}">
                  <a14:compatExt spid="_x0000_s7697"/>
                </a:ext>
                <a:ext uri="{FF2B5EF4-FFF2-40B4-BE49-F238E27FC236}">
                  <a16:creationId xmlns:a16="http://schemas.microsoft.com/office/drawing/2014/main" id="{00000000-0008-0000-0500-00001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107</xdr:row>
          <xdr:rowOff>9525</xdr:rowOff>
        </xdr:from>
        <xdr:to>
          <xdr:col>10</xdr:col>
          <xdr:colOff>0</xdr:colOff>
          <xdr:row>108</xdr:row>
          <xdr:rowOff>38100</xdr:rowOff>
        </xdr:to>
        <xdr:sp macro="" textlink="">
          <xdr:nvSpPr>
            <xdr:cNvPr id="7698" name="Check Box 530" hidden="1">
              <a:extLst>
                <a:ext uri="{63B3BB69-23CF-44E3-9099-C40C66FF867C}">
                  <a14:compatExt spid="_x0000_s7698"/>
                </a:ext>
                <a:ext uri="{FF2B5EF4-FFF2-40B4-BE49-F238E27FC236}">
                  <a16:creationId xmlns:a16="http://schemas.microsoft.com/office/drawing/2014/main" id="{00000000-0008-0000-0500-00001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101</xdr:row>
          <xdr:rowOff>200025</xdr:rowOff>
        </xdr:from>
        <xdr:to>
          <xdr:col>9</xdr:col>
          <xdr:colOff>466725</xdr:colOff>
          <xdr:row>103</xdr:row>
          <xdr:rowOff>38100</xdr:rowOff>
        </xdr:to>
        <xdr:sp macro="" textlink="">
          <xdr:nvSpPr>
            <xdr:cNvPr id="7699" name="Check Box 531" hidden="1">
              <a:extLst>
                <a:ext uri="{63B3BB69-23CF-44E3-9099-C40C66FF867C}">
                  <a14:compatExt spid="_x0000_s7699"/>
                </a:ext>
                <a:ext uri="{FF2B5EF4-FFF2-40B4-BE49-F238E27FC236}">
                  <a16:creationId xmlns:a16="http://schemas.microsoft.com/office/drawing/2014/main" id="{00000000-0008-0000-0500-00001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102</xdr:row>
          <xdr:rowOff>190500</xdr:rowOff>
        </xdr:from>
        <xdr:to>
          <xdr:col>9</xdr:col>
          <xdr:colOff>457200</xdr:colOff>
          <xdr:row>104</xdr:row>
          <xdr:rowOff>38100</xdr:rowOff>
        </xdr:to>
        <xdr:sp macro="" textlink="">
          <xdr:nvSpPr>
            <xdr:cNvPr id="7700" name="Check Box 532" hidden="1">
              <a:extLst>
                <a:ext uri="{63B3BB69-23CF-44E3-9099-C40C66FF867C}">
                  <a14:compatExt spid="_x0000_s7700"/>
                </a:ext>
                <a:ext uri="{FF2B5EF4-FFF2-40B4-BE49-F238E27FC236}">
                  <a16:creationId xmlns:a16="http://schemas.microsoft.com/office/drawing/2014/main" id="{00000000-0008-0000-0500-00001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103</xdr:row>
          <xdr:rowOff>200025</xdr:rowOff>
        </xdr:from>
        <xdr:to>
          <xdr:col>9</xdr:col>
          <xdr:colOff>447675</xdr:colOff>
          <xdr:row>105</xdr:row>
          <xdr:rowOff>28575</xdr:rowOff>
        </xdr:to>
        <xdr:sp macro="" textlink="">
          <xdr:nvSpPr>
            <xdr:cNvPr id="7701" name="Check Box 533" hidden="1">
              <a:extLst>
                <a:ext uri="{63B3BB69-23CF-44E3-9099-C40C66FF867C}">
                  <a14:compatExt spid="_x0000_s7701"/>
                </a:ext>
                <a:ext uri="{FF2B5EF4-FFF2-40B4-BE49-F238E27FC236}">
                  <a16:creationId xmlns:a16="http://schemas.microsoft.com/office/drawing/2014/main" id="{00000000-0008-0000-0500-00001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98</xdr:row>
          <xdr:rowOff>200025</xdr:rowOff>
        </xdr:from>
        <xdr:to>
          <xdr:col>9</xdr:col>
          <xdr:colOff>466725</xdr:colOff>
          <xdr:row>100</xdr:row>
          <xdr:rowOff>38100</xdr:rowOff>
        </xdr:to>
        <xdr:sp macro="" textlink="">
          <xdr:nvSpPr>
            <xdr:cNvPr id="7702" name="Check Box 534" hidden="1">
              <a:extLst>
                <a:ext uri="{63B3BB69-23CF-44E3-9099-C40C66FF867C}">
                  <a14:compatExt spid="_x0000_s7702"/>
                </a:ext>
                <a:ext uri="{FF2B5EF4-FFF2-40B4-BE49-F238E27FC236}">
                  <a16:creationId xmlns:a16="http://schemas.microsoft.com/office/drawing/2014/main" id="{00000000-0008-0000-0500-00001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99</xdr:row>
          <xdr:rowOff>190500</xdr:rowOff>
        </xdr:from>
        <xdr:to>
          <xdr:col>9</xdr:col>
          <xdr:colOff>466725</xdr:colOff>
          <xdr:row>101</xdr:row>
          <xdr:rowOff>38100</xdr:rowOff>
        </xdr:to>
        <xdr:sp macro="" textlink="">
          <xdr:nvSpPr>
            <xdr:cNvPr id="7703" name="Check Box 535" hidden="1">
              <a:extLst>
                <a:ext uri="{63B3BB69-23CF-44E3-9099-C40C66FF867C}">
                  <a14:compatExt spid="_x0000_s7703"/>
                </a:ext>
                <a:ext uri="{FF2B5EF4-FFF2-40B4-BE49-F238E27FC236}">
                  <a16:creationId xmlns:a16="http://schemas.microsoft.com/office/drawing/2014/main" id="{00000000-0008-0000-0500-00001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101</xdr:row>
          <xdr:rowOff>9525</xdr:rowOff>
        </xdr:from>
        <xdr:to>
          <xdr:col>10</xdr:col>
          <xdr:colOff>0</xdr:colOff>
          <xdr:row>102</xdr:row>
          <xdr:rowOff>38100</xdr:rowOff>
        </xdr:to>
        <xdr:sp macro="" textlink="">
          <xdr:nvSpPr>
            <xdr:cNvPr id="7704" name="Check Box 536" hidden="1">
              <a:extLst>
                <a:ext uri="{63B3BB69-23CF-44E3-9099-C40C66FF867C}">
                  <a14:compatExt spid="_x0000_s7704"/>
                </a:ext>
                <a:ext uri="{FF2B5EF4-FFF2-40B4-BE49-F238E27FC236}">
                  <a16:creationId xmlns:a16="http://schemas.microsoft.com/office/drawing/2014/main" id="{00000000-0008-0000-0500-00001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95</xdr:row>
          <xdr:rowOff>200025</xdr:rowOff>
        </xdr:from>
        <xdr:to>
          <xdr:col>9</xdr:col>
          <xdr:colOff>466725</xdr:colOff>
          <xdr:row>97</xdr:row>
          <xdr:rowOff>38100</xdr:rowOff>
        </xdr:to>
        <xdr:sp macro="" textlink="">
          <xdr:nvSpPr>
            <xdr:cNvPr id="7705" name="Check Box 537" hidden="1">
              <a:extLst>
                <a:ext uri="{63B3BB69-23CF-44E3-9099-C40C66FF867C}">
                  <a14:compatExt spid="_x0000_s7705"/>
                </a:ext>
                <a:ext uri="{FF2B5EF4-FFF2-40B4-BE49-F238E27FC236}">
                  <a16:creationId xmlns:a16="http://schemas.microsoft.com/office/drawing/2014/main" id="{00000000-0008-0000-0500-00001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96</xdr:row>
          <xdr:rowOff>190500</xdr:rowOff>
        </xdr:from>
        <xdr:to>
          <xdr:col>9</xdr:col>
          <xdr:colOff>466725</xdr:colOff>
          <xdr:row>98</xdr:row>
          <xdr:rowOff>38100</xdr:rowOff>
        </xdr:to>
        <xdr:sp macro="" textlink="">
          <xdr:nvSpPr>
            <xdr:cNvPr id="7706" name="Check Box 538" hidden="1">
              <a:extLst>
                <a:ext uri="{63B3BB69-23CF-44E3-9099-C40C66FF867C}">
                  <a14:compatExt spid="_x0000_s7706"/>
                </a:ext>
                <a:ext uri="{FF2B5EF4-FFF2-40B4-BE49-F238E27FC236}">
                  <a16:creationId xmlns:a16="http://schemas.microsoft.com/office/drawing/2014/main" id="{00000000-0008-0000-0500-00001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92</xdr:row>
          <xdr:rowOff>200025</xdr:rowOff>
        </xdr:from>
        <xdr:to>
          <xdr:col>9</xdr:col>
          <xdr:colOff>466725</xdr:colOff>
          <xdr:row>94</xdr:row>
          <xdr:rowOff>38100</xdr:rowOff>
        </xdr:to>
        <xdr:sp macro="" textlink="">
          <xdr:nvSpPr>
            <xdr:cNvPr id="7707" name="Check Box 539" hidden="1">
              <a:extLst>
                <a:ext uri="{63B3BB69-23CF-44E3-9099-C40C66FF867C}">
                  <a14:compatExt spid="_x0000_s7707"/>
                </a:ext>
                <a:ext uri="{FF2B5EF4-FFF2-40B4-BE49-F238E27FC236}">
                  <a16:creationId xmlns:a16="http://schemas.microsoft.com/office/drawing/2014/main" id="{00000000-0008-0000-0500-00001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93</xdr:row>
          <xdr:rowOff>190500</xdr:rowOff>
        </xdr:from>
        <xdr:to>
          <xdr:col>9</xdr:col>
          <xdr:colOff>457200</xdr:colOff>
          <xdr:row>95</xdr:row>
          <xdr:rowOff>38100</xdr:rowOff>
        </xdr:to>
        <xdr:sp macro="" textlink="">
          <xdr:nvSpPr>
            <xdr:cNvPr id="7708" name="Check Box 540" hidden="1">
              <a:extLst>
                <a:ext uri="{63B3BB69-23CF-44E3-9099-C40C66FF867C}">
                  <a14:compatExt spid="_x0000_s7708"/>
                </a:ext>
                <a:ext uri="{FF2B5EF4-FFF2-40B4-BE49-F238E27FC236}">
                  <a16:creationId xmlns:a16="http://schemas.microsoft.com/office/drawing/2014/main" id="{00000000-0008-0000-0500-00001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94</xdr:row>
          <xdr:rowOff>200025</xdr:rowOff>
        </xdr:from>
        <xdr:to>
          <xdr:col>9</xdr:col>
          <xdr:colOff>447675</xdr:colOff>
          <xdr:row>96</xdr:row>
          <xdr:rowOff>28575</xdr:rowOff>
        </xdr:to>
        <xdr:sp macro="" textlink="">
          <xdr:nvSpPr>
            <xdr:cNvPr id="7709" name="Check Box 541" hidden="1">
              <a:extLst>
                <a:ext uri="{63B3BB69-23CF-44E3-9099-C40C66FF867C}">
                  <a14:compatExt spid="_x0000_s7709"/>
                </a:ext>
                <a:ext uri="{FF2B5EF4-FFF2-40B4-BE49-F238E27FC236}">
                  <a16:creationId xmlns:a16="http://schemas.microsoft.com/office/drawing/2014/main" id="{00000000-0008-0000-0500-00001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89</xdr:row>
          <xdr:rowOff>200025</xdr:rowOff>
        </xdr:from>
        <xdr:to>
          <xdr:col>9</xdr:col>
          <xdr:colOff>466725</xdr:colOff>
          <xdr:row>91</xdr:row>
          <xdr:rowOff>38100</xdr:rowOff>
        </xdr:to>
        <xdr:sp macro="" textlink="">
          <xdr:nvSpPr>
            <xdr:cNvPr id="7710" name="Check Box 542" hidden="1">
              <a:extLst>
                <a:ext uri="{63B3BB69-23CF-44E3-9099-C40C66FF867C}">
                  <a14:compatExt spid="_x0000_s7710"/>
                </a:ext>
                <a:ext uri="{FF2B5EF4-FFF2-40B4-BE49-F238E27FC236}">
                  <a16:creationId xmlns:a16="http://schemas.microsoft.com/office/drawing/2014/main" id="{00000000-0008-0000-0500-00001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90</xdr:row>
          <xdr:rowOff>190500</xdr:rowOff>
        </xdr:from>
        <xdr:to>
          <xdr:col>9</xdr:col>
          <xdr:colOff>466725</xdr:colOff>
          <xdr:row>92</xdr:row>
          <xdr:rowOff>38100</xdr:rowOff>
        </xdr:to>
        <xdr:sp macro="" textlink="">
          <xdr:nvSpPr>
            <xdr:cNvPr id="7711" name="Check Box 543" hidden="1">
              <a:extLst>
                <a:ext uri="{63B3BB69-23CF-44E3-9099-C40C66FF867C}">
                  <a14:compatExt spid="_x0000_s7711"/>
                </a:ext>
                <a:ext uri="{FF2B5EF4-FFF2-40B4-BE49-F238E27FC236}">
                  <a16:creationId xmlns:a16="http://schemas.microsoft.com/office/drawing/2014/main" id="{00000000-0008-0000-0500-00001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92</xdr:row>
          <xdr:rowOff>9525</xdr:rowOff>
        </xdr:from>
        <xdr:to>
          <xdr:col>10</xdr:col>
          <xdr:colOff>0</xdr:colOff>
          <xdr:row>93</xdr:row>
          <xdr:rowOff>38100</xdr:rowOff>
        </xdr:to>
        <xdr:sp macro="" textlink="">
          <xdr:nvSpPr>
            <xdr:cNvPr id="7712" name="Check Box 544" hidden="1">
              <a:extLst>
                <a:ext uri="{63B3BB69-23CF-44E3-9099-C40C66FF867C}">
                  <a14:compatExt spid="_x0000_s7712"/>
                </a:ext>
                <a:ext uri="{FF2B5EF4-FFF2-40B4-BE49-F238E27FC236}">
                  <a16:creationId xmlns:a16="http://schemas.microsoft.com/office/drawing/2014/main" id="{00000000-0008-0000-0500-00002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86</xdr:row>
          <xdr:rowOff>200025</xdr:rowOff>
        </xdr:from>
        <xdr:to>
          <xdr:col>9</xdr:col>
          <xdr:colOff>466725</xdr:colOff>
          <xdr:row>88</xdr:row>
          <xdr:rowOff>38100</xdr:rowOff>
        </xdr:to>
        <xdr:sp macro="" textlink="">
          <xdr:nvSpPr>
            <xdr:cNvPr id="7713" name="Check Box 545" hidden="1">
              <a:extLst>
                <a:ext uri="{63B3BB69-23CF-44E3-9099-C40C66FF867C}">
                  <a14:compatExt spid="_x0000_s7713"/>
                </a:ext>
                <a:ext uri="{FF2B5EF4-FFF2-40B4-BE49-F238E27FC236}">
                  <a16:creationId xmlns:a16="http://schemas.microsoft.com/office/drawing/2014/main" id="{00000000-0008-0000-0500-00002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87</xdr:row>
          <xdr:rowOff>190500</xdr:rowOff>
        </xdr:from>
        <xdr:to>
          <xdr:col>9</xdr:col>
          <xdr:colOff>466725</xdr:colOff>
          <xdr:row>89</xdr:row>
          <xdr:rowOff>38100</xdr:rowOff>
        </xdr:to>
        <xdr:sp macro="" textlink="">
          <xdr:nvSpPr>
            <xdr:cNvPr id="7714" name="Check Box 546" hidden="1">
              <a:extLst>
                <a:ext uri="{63B3BB69-23CF-44E3-9099-C40C66FF867C}">
                  <a14:compatExt spid="_x0000_s7714"/>
                </a:ext>
                <a:ext uri="{FF2B5EF4-FFF2-40B4-BE49-F238E27FC236}">
                  <a16:creationId xmlns:a16="http://schemas.microsoft.com/office/drawing/2014/main" id="{00000000-0008-0000-0500-00002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83</xdr:row>
          <xdr:rowOff>200025</xdr:rowOff>
        </xdr:from>
        <xdr:to>
          <xdr:col>9</xdr:col>
          <xdr:colOff>466725</xdr:colOff>
          <xdr:row>85</xdr:row>
          <xdr:rowOff>38100</xdr:rowOff>
        </xdr:to>
        <xdr:sp macro="" textlink="">
          <xdr:nvSpPr>
            <xdr:cNvPr id="7715" name="Check Box 547" hidden="1">
              <a:extLst>
                <a:ext uri="{63B3BB69-23CF-44E3-9099-C40C66FF867C}">
                  <a14:compatExt spid="_x0000_s7715"/>
                </a:ext>
                <a:ext uri="{FF2B5EF4-FFF2-40B4-BE49-F238E27FC236}">
                  <a16:creationId xmlns:a16="http://schemas.microsoft.com/office/drawing/2014/main" id="{00000000-0008-0000-0500-00002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84</xdr:row>
          <xdr:rowOff>190500</xdr:rowOff>
        </xdr:from>
        <xdr:to>
          <xdr:col>9</xdr:col>
          <xdr:colOff>466725</xdr:colOff>
          <xdr:row>86</xdr:row>
          <xdr:rowOff>38100</xdr:rowOff>
        </xdr:to>
        <xdr:sp macro="" textlink="">
          <xdr:nvSpPr>
            <xdr:cNvPr id="7716" name="Check Box 548" hidden="1">
              <a:extLst>
                <a:ext uri="{63B3BB69-23CF-44E3-9099-C40C66FF867C}">
                  <a14:compatExt spid="_x0000_s7716"/>
                </a:ext>
                <a:ext uri="{FF2B5EF4-FFF2-40B4-BE49-F238E27FC236}">
                  <a16:creationId xmlns:a16="http://schemas.microsoft.com/office/drawing/2014/main" id="{00000000-0008-0000-0500-00002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86</xdr:row>
          <xdr:rowOff>19050</xdr:rowOff>
        </xdr:from>
        <xdr:to>
          <xdr:col>10</xdr:col>
          <xdr:colOff>0</xdr:colOff>
          <xdr:row>87</xdr:row>
          <xdr:rowOff>47625</xdr:rowOff>
        </xdr:to>
        <xdr:sp macro="" textlink="">
          <xdr:nvSpPr>
            <xdr:cNvPr id="7717" name="Check Box 549" hidden="1">
              <a:extLst>
                <a:ext uri="{63B3BB69-23CF-44E3-9099-C40C66FF867C}">
                  <a14:compatExt spid="_x0000_s7717"/>
                </a:ext>
                <a:ext uri="{FF2B5EF4-FFF2-40B4-BE49-F238E27FC236}">
                  <a16:creationId xmlns:a16="http://schemas.microsoft.com/office/drawing/2014/main" id="{00000000-0008-0000-0500-00002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80</xdr:row>
          <xdr:rowOff>200025</xdr:rowOff>
        </xdr:from>
        <xdr:to>
          <xdr:col>9</xdr:col>
          <xdr:colOff>466725</xdr:colOff>
          <xdr:row>82</xdr:row>
          <xdr:rowOff>38100</xdr:rowOff>
        </xdr:to>
        <xdr:sp macro="" textlink="">
          <xdr:nvSpPr>
            <xdr:cNvPr id="7718" name="Check Box 550" hidden="1">
              <a:extLst>
                <a:ext uri="{63B3BB69-23CF-44E3-9099-C40C66FF867C}">
                  <a14:compatExt spid="_x0000_s7718"/>
                </a:ext>
                <a:ext uri="{FF2B5EF4-FFF2-40B4-BE49-F238E27FC236}">
                  <a16:creationId xmlns:a16="http://schemas.microsoft.com/office/drawing/2014/main" id="{00000000-0008-0000-0500-00002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81</xdr:row>
          <xdr:rowOff>190500</xdr:rowOff>
        </xdr:from>
        <xdr:to>
          <xdr:col>9</xdr:col>
          <xdr:colOff>466725</xdr:colOff>
          <xdr:row>83</xdr:row>
          <xdr:rowOff>38100</xdr:rowOff>
        </xdr:to>
        <xdr:sp macro="" textlink="">
          <xdr:nvSpPr>
            <xdr:cNvPr id="7719" name="Check Box 551" hidden="1">
              <a:extLst>
                <a:ext uri="{63B3BB69-23CF-44E3-9099-C40C66FF867C}">
                  <a14:compatExt spid="_x0000_s7719"/>
                </a:ext>
                <a:ext uri="{FF2B5EF4-FFF2-40B4-BE49-F238E27FC236}">
                  <a16:creationId xmlns:a16="http://schemas.microsoft.com/office/drawing/2014/main" id="{00000000-0008-0000-0500-00002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83</xdr:row>
          <xdr:rowOff>9525</xdr:rowOff>
        </xdr:from>
        <xdr:to>
          <xdr:col>10</xdr:col>
          <xdr:colOff>0</xdr:colOff>
          <xdr:row>84</xdr:row>
          <xdr:rowOff>38100</xdr:rowOff>
        </xdr:to>
        <xdr:sp macro="" textlink="">
          <xdr:nvSpPr>
            <xdr:cNvPr id="7720" name="Check Box 552" hidden="1">
              <a:extLst>
                <a:ext uri="{63B3BB69-23CF-44E3-9099-C40C66FF867C}">
                  <a14:compatExt spid="_x0000_s7720"/>
                </a:ext>
                <a:ext uri="{FF2B5EF4-FFF2-40B4-BE49-F238E27FC236}">
                  <a16:creationId xmlns:a16="http://schemas.microsoft.com/office/drawing/2014/main" id="{00000000-0008-0000-0500-00002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88</xdr:row>
          <xdr:rowOff>200025</xdr:rowOff>
        </xdr:from>
        <xdr:to>
          <xdr:col>9</xdr:col>
          <xdr:colOff>466725</xdr:colOff>
          <xdr:row>90</xdr:row>
          <xdr:rowOff>38100</xdr:rowOff>
        </xdr:to>
        <xdr:sp macro="" textlink="">
          <xdr:nvSpPr>
            <xdr:cNvPr id="7721" name="Check Box 553" hidden="1">
              <a:extLst>
                <a:ext uri="{63B3BB69-23CF-44E3-9099-C40C66FF867C}">
                  <a14:compatExt spid="_x0000_s7721"/>
                </a:ext>
                <a:ext uri="{FF2B5EF4-FFF2-40B4-BE49-F238E27FC236}">
                  <a16:creationId xmlns:a16="http://schemas.microsoft.com/office/drawing/2014/main" id="{00000000-0008-0000-0500-00002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98</xdr:row>
          <xdr:rowOff>19050</xdr:rowOff>
        </xdr:from>
        <xdr:to>
          <xdr:col>9</xdr:col>
          <xdr:colOff>466725</xdr:colOff>
          <xdr:row>99</xdr:row>
          <xdr:rowOff>57150</xdr:rowOff>
        </xdr:to>
        <xdr:sp macro="" textlink="">
          <xdr:nvSpPr>
            <xdr:cNvPr id="7722" name="Check Box 554" hidden="1">
              <a:extLst>
                <a:ext uri="{63B3BB69-23CF-44E3-9099-C40C66FF867C}">
                  <a14:compatExt spid="_x0000_s7722"/>
                </a:ext>
                <a:ext uri="{FF2B5EF4-FFF2-40B4-BE49-F238E27FC236}">
                  <a16:creationId xmlns:a16="http://schemas.microsoft.com/office/drawing/2014/main" id="{00000000-0008-0000-0500-00002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290</xdr:row>
          <xdr:rowOff>200025</xdr:rowOff>
        </xdr:from>
        <xdr:to>
          <xdr:col>9</xdr:col>
          <xdr:colOff>466725</xdr:colOff>
          <xdr:row>380</xdr:row>
          <xdr:rowOff>28575</xdr:rowOff>
        </xdr:to>
        <xdr:sp macro="" textlink="">
          <xdr:nvSpPr>
            <xdr:cNvPr id="7723" name="Check Box 555" hidden="1">
              <a:extLst>
                <a:ext uri="{63B3BB69-23CF-44E3-9099-C40C66FF867C}">
                  <a14:compatExt spid="_x0000_s7723"/>
                </a:ext>
                <a:ext uri="{FF2B5EF4-FFF2-40B4-BE49-F238E27FC236}">
                  <a16:creationId xmlns:a16="http://schemas.microsoft.com/office/drawing/2014/main" id="{00000000-0008-0000-0500-00002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291</xdr:row>
          <xdr:rowOff>190500</xdr:rowOff>
        </xdr:from>
        <xdr:to>
          <xdr:col>9</xdr:col>
          <xdr:colOff>466725</xdr:colOff>
          <xdr:row>380</xdr:row>
          <xdr:rowOff>38100</xdr:rowOff>
        </xdr:to>
        <xdr:sp macro="" textlink="">
          <xdr:nvSpPr>
            <xdr:cNvPr id="7724" name="Check Box 556" hidden="1">
              <a:extLst>
                <a:ext uri="{63B3BB69-23CF-44E3-9099-C40C66FF867C}">
                  <a14:compatExt spid="_x0000_s7724"/>
                </a:ext>
                <a:ext uri="{FF2B5EF4-FFF2-40B4-BE49-F238E27FC236}">
                  <a16:creationId xmlns:a16="http://schemas.microsoft.com/office/drawing/2014/main" id="{00000000-0008-0000-0500-00002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287</xdr:row>
          <xdr:rowOff>200025</xdr:rowOff>
        </xdr:from>
        <xdr:to>
          <xdr:col>9</xdr:col>
          <xdr:colOff>466725</xdr:colOff>
          <xdr:row>380</xdr:row>
          <xdr:rowOff>28575</xdr:rowOff>
        </xdr:to>
        <xdr:sp macro="" textlink="">
          <xdr:nvSpPr>
            <xdr:cNvPr id="7725" name="Check Box 557" hidden="1">
              <a:extLst>
                <a:ext uri="{63B3BB69-23CF-44E3-9099-C40C66FF867C}">
                  <a14:compatExt spid="_x0000_s7725"/>
                </a:ext>
                <a:ext uri="{FF2B5EF4-FFF2-40B4-BE49-F238E27FC236}">
                  <a16:creationId xmlns:a16="http://schemas.microsoft.com/office/drawing/2014/main" id="{00000000-0008-0000-0500-00002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288</xdr:row>
          <xdr:rowOff>190500</xdr:rowOff>
        </xdr:from>
        <xdr:to>
          <xdr:col>9</xdr:col>
          <xdr:colOff>457200</xdr:colOff>
          <xdr:row>380</xdr:row>
          <xdr:rowOff>38100</xdr:rowOff>
        </xdr:to>
        <xdr:sp macro="" textlink="">
          <xdr:nvSpPr>
            <xdr:cNvPr id="7726" name="Check Box 558" hidden="1">
              <a:extLst>
                <a:ext uri="{63B3BB69-23CF-44E3-9099-C40C66FF867C}">
                  <a14:compatExt spid="_x0000_s7726"/>
                </a:ext>
                <a:ext uri="{FF2B5EF4-FFF2-40B4-BE49-F238E27FC236}">
                  <a16:creationId xmlns:a16="http://schemas.microsoft.com/office/drawing/2014/main" id="{00000000-0008-0000-0500-00002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289</xdr:row>
          <xdr:rowOff>200025</xdr:rowOff>
        </xdr:from>
        <xdr:to>
          <xdr:col>9</xdr:col>
          <xdr:colOff>447675</xdr:colOff>
          <xdr:row>380</xdr:row>
          <xdr:rowOff>28575</xdr:rowOff>
        </xdr:to>
        <xdr:sp macro="" textlink="">
          <xdr:nvSpPr>
            <xdr:cNvPr id="7727" name="Check Box 559" hidden="1">
              <a:extLst>
                <a:ext uri="{63B3BB69-23CF-44E3-9099-C40C66FF867C}">
                  <a14:compatExt spid="_x0000_s7727"/>
                </a:ext>
                <a:ext uri="{FF2B5EF4-FFF2-40B4-BE49-F238E27FC236}">
                  <a16:creationId xmlns:a16="http://schemas.microsoft.com/office/drawing/2014/main" id="{00000000-0008-0000-0500-00002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284</xdr:row>
          <xdr:rowOff>200025</xdr:rowOff>
        </xdr:from>
        <xdr:to>
          <xdr:col>9</xdr:col>
          <xdr:colOff>466725</xdr:colOff>
          <xdr:row>380</xdr:row>
          <xdr:rowOff>28575</xdr:rowOff>
        </xdr:to>
        <xdr:sp macro="" textlink="">
          <xdr:nvSpPr>
            <xdr:cNvPr id="7728" name="Check Box 560" hidden="1">
              <a:extLst>
                <a:ext uri="{63B3BB69-23CF-44E3-9099-C40C66FF867C}">
                  <a14:compatExt spid="_x0000_s7728"/>
                </a:ext>
                <a:ext uri="{FF2B5EF4-FFF2-40B4-BE49-F238E27FC236}">
                  <a16:creationId xmlns:a16="http://schemas.microsoft.com/office/drawing/2014/main" id="{00000000-0008-0000-0500-00003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285</xdr:row>
          <xdr:rowOff>190500</xdr:rowOff>
        </xdr:from>
        <xdr:to>
          <xdr:col>9</xdr:col>
          <xdr:colOff>466725</xdr:colOff>
          <xdr:row>380</xdr:row>
          <xdr:rowOff>38100</xdr:rowOff>
        </xdr:to>
        <xdr:sp macro="" textlink="">
          <xdr:nvSpPr>
            <xdr:cNvPr id="7729" name="Check Box 561" hidden="1">
              <a:extLst>
                <a:ext uri="{63B3BB69-23CF-44E3-9099-C40C66FF867C}">
                  <a14:compatExt spid="_x0000_s7729"/>
                </a:ext>
                <a:ext uri="{FF2B5EF4-FFF2-40B4-BE49-F238E27FC236}">
                  <a16:creationId xmlns:a16="http://schemas.microsoft.com/office/drawing/2014/main" id="{00000000-0008-0000-0500-00003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287</xdr:row>
          <xdr:rowOff>9525</xdr:rowOff>
        </xdr:from>
        <xdr:to>
          <xdr:col>10</xdr:col>
          <xdr:colOff>0</xdr:colOff>
          <xdr:row>380</xdr:row>
          <xdr:rowOff>28575</xdr:rowOff>
        </xdr:to>
        <xdr:sp macro="" textlink="">
          <xdr:nvSpPr>
            <xdr:cNvPr id="7730" name="Check Box 562" hidden="1">
              <a:extLst>
                <a:ext uri="{63B3BB69-23CF-44E3-9099-C40C66FF867C}">
                  <a14:compatExt spid="_x0000_s7730"/>
                </a:ext>
                <a:ext uri="{FF2B5EF4-FFF2-40B4-BE49-F238E27FC236}">
                  <a16:creationId xmlns:a16="http://schemas.microsoft.com/office/drawing/2014/main" id="{00000000-0008-0000-0500-00003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281</xdr:row>
          <xdr:rowOff>200025</xdr:rowOff>
        </xdr:from>
        <xdr:to>
          <xdr:col>9</xdr:col>
          <xdr:colOff>466725</xdr:colOff>
          <xdr:row>380</xdr:row>
          <xdr:rowOff>28575</xdr:rowOff>
        </xdr:to>
        <xdr:sp macro="" textlink="">
          <xdr:nvSpPr>
            <xdr:cNvPr id="7731" name="Check Box 563" hidden="1">
              <a:extLst>
                <a:ext uri="{63B3BB69-23CF-44E3-9099-C40C66FF867C}">
                  <a14:compatExt spid="_x0000_s7731"/>
                </a:ext>
                <a:ext uri="{FF2B5EF4-FFF2-40B4-BE49-F238E27FC236}">
                  <a16:creationId xmlns:a16="http://schemas.microsoft.com/office/drawing/2014/main" id="{00000000-0008-0000-0500-00003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282</xdr:row>
          <xdr:rowOff>190500</xdr:rowOff>
        </xdr:from>
        <xdr:to>
          <xdr:col>9</xdr:col>
          <xdr:colOff>457200</xdr:colOff>
          <xdr:row>380</xdr:row>
          <xdr:rowOff>38100</xdr:rowOff>
        </xdr:to>
        <xdr:sp macro="" textlink="">
          <xdr:nvSpPr>
            <xdr:cNvPr id="7732" name="Check Box 564" hidden="1">
              <a:extLst>
                <a:ext uri="{63B3BB69-23CF-44E3-9099-C40C66FF867C}">
                  <a14:compatExt spid="_x0000_s7732"/>
                </a:ext>
                <a:ext uri="{FF2B5EF4-FFF2-40B4-BE49-F238E27FC236}">
                  <a16:creationId xmlns:a16="http://schemas.microsoft.com/office/drawing/2014/main" id="{00000000-0008-0000-0500-00003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283</xdr:row>
          <xdr:rowOff>200025</xdr:rowOff>
        </xdr:from>
        <xdr:to>
          <xdr:col>9</xdr:col>
          <xdr:colOff>447675</xdr:colOff>
          <xdr:row>380</xdr:row>
          <xdr:rowOff>28575</xdr:rowOff>
        </xdr:to>
        <xdr:sp macro="" textlink="">
          <xdr:nvSpPr>
            <xdr:cNvPr id="7733" name="Check Box 565" hidden="1">
              <a:extLst>
                <a:ext uri="{63B3BB69-23CF-44E3-9099-C40C66FF867C}">
                  <a14:compatExt spid="_x0000_s7733"/>
                </a:ext>
                <a:ext uri="{FF2B5EF4-FFF2-40B4-BE49-F238E27FC236}">
                  <a16:creationId xmlns:a16="http://schemas.microsoft.com/office/drawing/2014/main" id="{00000000-0008-0000-0500-00003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278</xdr:row>
          <xdr:rowOff>200025</xdr:rowOff>
        </xdr:from>
        <xdr:to>
          <xdr:col>9</xdr:col>
          <xdr:colOff>466725</xdr:colOff>
          <xdr:row>380</xdr:row>
          <xdr:rowOff>28575</xdr:rowOff>
        </xdr:to>
        <xdr:sp macro="" textlink="">
          <xdr:nvSpPr>
            <xdr:cNvPr id="7734" name="Check Box 566" hidden="1">
              <a:extLst>
                <a:ext uri="{63B3BB69-23CF-44E3-9099-C40C66FF867C}">
                  <a14:compatExt spid="_x0000_s7734"/>
                </a:ext>
                <a:ext uri="{FF2B5EF4-FFF2-40B4-BE49-F238E27FC236}">
                  <a16:creationId xmlns:a16="http://schemas.microsoft.com/office/drawing/2014/main" id="{00000000-0008-0000-0500-00003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279</xdr:row>
          <xdr:rowOff>190500</xdr:rowOff>
        </xdr:from>
        <xdr:to>
          <xdr:col>9</xdr:col>
          <xdr:colOff>466725</xdr:colOff>
          <xdr:row>380</xdr:row>
          <xdr:rowOff>38100</xdr:rowOff>
        </xdr:to>
        <xdr:sp macro="" textlink="">
          <xdr:nvSpPr>
            <xdr:cNvPr id="7735" name="Check Box 567" hidden="1">
              <a:extLst>
                <a:ext uri="{63B3BB69-23CF-44E3-9099-C40C66FF867C}">
                  <a14:compatExt spid="_x0000_s7735"/>
                </a:ext>
                <a:ext uri="{FF2B5EF4-FFF2-40B4-BE49-F238E27FC236}">
                  <a16:creationId xmlns:a16="http://schemas.microsoft.com/office/drawing/2014/main" id="{00000000-0008-0000-0500-00003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281</xdr:row>
          <xdr:rowOff>9525</xdr:rowOff>
        </xdr:from>
        <xdr:to>
          <xdr:col>10</xdr:col>
          <xdr:colOff>0</xdr:colOff>
          <xdr:row>380</xdr:row>
          <xdr:rowOff>28575</xdr:rowOff>
        </xdr:to>
        <xdr:sp macro="" textlink="">
          <xdr:nvSpPr>
            <xdr:cNvPr id="7736" name="Check Box 568" hidden="1">
              <a:extLst>
                <a:ext uri="{63B3BB69-23CF-44E3-9099-C40C66FF867C}">
                  <a14:compatExt spid="_x0000_s7736"/>
                </a:ext>
                <a:ext uri="{FF2B5EF4-FFF2-40B4-BE49-F238E27FC236}">
                  <a16:creationId xmlns:a16="http://schemas.microsoft.com/office/drawing/2014/main" id="{00000000-0008-0000-0500-00003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275</xdr:row>
          <xdr:rowOff>200025</xdr:rowOff>
        </xdr:from>
        <xdr:to>
          <xdr:col>9</xdr:col>
          <xdr:colOff>466725</xdr:colOff>
          <xdr:row>380</xdr:row>
          <xdr:rowOff>28575</xdr:rowOff>
        </xdr:to>
        <xdr:sp macro="" textlink="">
          <xdr:nvSpPr>
            <xdr:cNvPr id="7737" name="Check Box 569" hidden="1">
              <a:extLst>
                <a:ext uri="{63B3BB69-23CF-44E3-9099-C40C66FF867C}">
                  <a14:compatExt spid="_x0000_s7737"/>
                </a:ext>
                <a:ext uri="{FF2B5EF4-FFF2-40B4-BE49-F238E27FC236}">
                  <a16:creationId xmlns:a16="http://schemas.microsoft.com/office/drawing/2014/main" id="{00000000-0008-0000-0500-00003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276</xdr:row>
          <xdr:rowOff>190500</xdr:rowOff>
        </xdr:from>
        <xdr:to>
          <xdr:col>9</xdr:col>
          <xdr:colOff>466725</xdr:colOff>
          <xdr:row>380</xdr:row>
          <xdr:rowOff>38100</xdr:rowOff>
        </xdr:to>
        <xdr:sp macro="" textlink="">
          <xdr:nvSpPr>
            <xdr:cNvPr id="7738" name="Check Box 570" hidden="1">
              <a:extLst>
                <a:ext uri="{63B3BB69-23CF-44E3-9099-C40C66FF867C}">
                  <a14:compatExt spid="_x0000_s7738"/>
                </a:ext>
                <a:ext uri="{FF2B5EF4-FFF2-40B4-BE49-F238E27FC236}">
                  <a16:creationId xmlns:a16="http://schemas.microsoft.com/office/drawing/2014/main" id="{00000000-0008-0000-0500-00003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272</xdr:row>
          <xdr:rowOff>200025</xdr:rowOff>
        </xdr:from>
        <xdr:to>
          <xdr:col>9</xdr:col>
          <xdr:colOff>466725</xdr:colOff>
          <xdr:row>380</xdr:row>
          <xdr:rowOff>28575</xdr:rowOff>
        </xdr:to>
        <xdr:sp macro="" textlink="">
          <xdr:nvSpPr>
            <xdr:cNvPr id="7739" name="Check Box 571" hidden="1">
              <a:extLst>
                <a:ext uri="{63B3BB69-23CF-44E3-9099-C40C66FF867C}">
                  <a14:compatExt spid="_x0000_s7739"/>
                </a:ext>
                <a:ext uri="{FF2B5EF4-FFF2-40B4-BE49-F238E27FC236}">
                  <a16:creationId xmlns:a16="http://schemas.microsoft.com/office/drawing/2014/main" id="{00000000-0008-0000-0500-00003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273</xdr:row>
          <xdr:rowOff>190500</xdr:rowOff>
        </xdr:from>
        <xdr:to>
          <xdr:col>9</xdr:col>
          <xdr:colOff>457200</xdr:colOff>
          <xdr:row>380</xdr:row>
          <xdr:rowOff>38100</xdr:rowOff>
        </xdr:to>
        <xdr:sp macro="" textlink="">
          <xdr:nvSpPr>
            <xdr:cNvPr id="7740" name="Check Box 572" hidden="1">
              <a:extLst>
                <a:ext uri="{63B3BB69-23CF-44E3-9099-C40C66FF867C}">
                  <a14:compatExt spid="_x0000_s7740"/>
                </a:ext>
                <a:ext uri="{FF2B5EF4-FFF2-40B4-BE49-F238E27FC236}">
                  <a16:creationId xmlns:a16="http://schemas.microsoft.com/office/drawing/2014/main" id="{00000000-0008-0000-0500-00003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274</xdr:row>
          <xdr:rowOff>200025</xdr:rowOff>
        </xdr:from>
        <xdr:to>
          <xdr:col>9</xdr:col>
          <xdr:colOff>447675</xdr:colOff>
          <xdr:row>380</xdr:row>
          <xdr:rowOff>28575</xdr:rowOff>
        </xdr:to>
        <xdr:sp macro="" textlink="">
          <xdr:nvSpPr>
            <xdr:cNvPr id="7741" name="Check Box 573" hidden="1">
              <a:extLst>
                <a:ext uri="{63B3BB69-23CF-44E3-9099-C40C66FF867C}">
                  <a14:compatExt spid="_x0000_s7741"/>
                </a:ext>
                <a:ext uri="{FF2B5EF4-FFF2-40B4-BE49-F238E27FC236}">
                  <a16:creationId xmlns:a16="http://schemas.microsoft.com/office/drawing/2014/main" id="{00000000-0008-0000-0500-00003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269</xdr:row>
          <xdr:rowOff>200025</xdr:rowOff>
        </xdr:from>
        <xdr:to>
          <xdr:col>9</xdr:col>
          <xdr:colOff>466725</xdr:colOff>
          <xdr:row>380</xdr:row>
          <xdr:rowOff>28575</xdr:rowOff>
        </xdr:to>
        <xdr:sp macro="" textlink="">
          <xdr:nvSpPr>
            <xdr:cNvPr id="7742" name="Check Box 574" hidden="1">
              <a:extLst>
                <a:ext uri="{63B3BB69-23CF-44E3-9099-C40C66FF867C}">
                  <a14:compatExt spid="_x0000_s7742"/>
                </a:ext>
                <a:ext uri="{FF2B5EF4-FFF2-40B4-BE49-F238E27FC236}">
                  <a16:creationId xmlns:a16="http://schemas.microsoft.com/office/drawing/2014/main" id="{00000000-0008-0000-0500-00003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270</xdr:row>
          <xdr:rowOff>190500</xdr:rowOff>
        </xdr:from>
        <xdr:to>
          <xdr:col>9</xdr:col>
          <xdr:colOff>466725</xdr:colOff>
          <xdr:row>380</xdr:row>
          <xdr:rowOff>38100</xdr:rowOff>
        </xdr:to>
        <xdr:sp macro="" textlink="">
          <xdr:nvSpPr>
            <xdr:cNvPr id="7743" name="Check Box 575" hidden="1">
              <a:extLst>
                <a:ext uri="{63B3BB69-23CF-44E3-9099-C40C66FF867C}">
                  <a14:compatExt spid="_x0000_s7743"/>
                </a:ext>
                <a:ext uri="{FF2B5EF4-FFF2-40B4-BE49-F238E27FC236}">
                  <a16:creationId xmlns:a16="http://schemas.microsoft.com/office/drawing/2014/main" id="{00000000-0008-0000-0500-00003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272</xdr:row>
          <xdr:rowOff>9525</xdr:rowOff>
        </xdr:from>
        <xdr:to>
          <xdr:col>10</xdr:col>
          <xdr:colOff>0</xdr:colOff>
          <xdr:row>380</xdr:row>
          <xdr:rowOff>28575</xdr:rowOff>
        </xdr:to>
        <xdr:sp macro="" textlink="">
          <xdr:nvSpPr>
            <xdr:cNvPr id="7744" name="Check Box 576" hidden="1">
              <a:extLst>
                <a:ext uri="{63B3BB69-23CF-44E3-9099-C40C66FF867C}">
                  <a14:compatExt spid="_x0000_s7744"/>
                </a:ext>
                <a:ext uri="{FF2B5EF4-FFF2-40B4-BE49-F238E27FC236}">
                  <a16:creationId xmlns:a16="http://schemas.microsoft.com/office/drawing/2014/main" id="{00000000-0008-0000-0500-00004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266</xdr:row>
          <xdr:rowOff>200025</xdr:rowOff>
        </xdr:from>
        <xdr:to>
          <xdr:col>9</xdr:col>
          <xdr:colOff>466725</xdr:colOff>
          <xdr:row>380</xdr:row>
          <xdr:rowOff>28575</xdr:rowOff>
        </xdr:to>
        <xdr:sp macro="" textlink="">
          <xdr:nvSpPr>
            <xdr:cNvPr id="7745" name="Check Box 577" hidden="1">
              <a:extLst>
                <a:ext uri="{63B3BB69-23CF-44E3-9099-C40C66FF867C}">
                  <a14:compatExt spid="_x0000_s7745"/>
                </a:ext>
                <a:ext uri="{FF2B5EF4-FFF2-40B4-BE49-F238E27FC236}">
                  <a16:creationId xmlns:a16="http://schemas.microsoft.com/office/drawing/2014/main" id="{00000000-0008-0000-0500-00004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267</xdr:row>
          <xdr:rowOff>190500</xdr:rowOff>
        </xdr:from>
        <xdr:to>
          <xdr:col>9</xdr:col>
          <xdr:colOff>466725</xdr:colOff>
          <xdr:row>380</xdr:row>
          <xdr:rowOff>38100</xdr:rowOff>
        </xdr:to>
        <xdr:sp macro="" textlink="">
          <xdr:nvSpPr>
            <xdr:cNvPr id="7746" name="Check Box 578" hidden="1">
              <a:extLst>
                <a:ext uri="{63B3BB69-23CF-44E3-9099-C40C66FF867C}">
                  <a14:compatExt spid="_x0000_s7746"/>
                </a:ext>
                <a:ext uri="{FF2B5EF4-FFF2-40B4-BE49-F238E27FC236}">
                  <a16:creationId xmlns:a16="http://schemas.microsoft.com/office/drawing/2014/main" id="{00000000-0008-0000-0500-00004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263</xdr:row>
          <xdr:rowOff>200025</xdr:rowOff>
        </xdr:from>
        <xdr:to>
          <xdr:col>9</xdr:col>
          <xdr:colOff>466725</xdr:colOff>
          <xdr:row>380</xdr:row>
          <xdr:rowOff>28575</xdr:rowOff>
        </xdr:to>
        <xdr:sp macro="" textlink="">
          <xdr:nvSpPr>
            <xdr:cNvPr id="7747" name="Check Box 579" hidden="1">
              <a:extLst>
                <a:ext uri="{63B3BB69-23CF-44E3-9099-C40C66FF867C}">
                  <a14:compatExt spid="_x0000_s7747"/>
                </a:ext>
                <a:ext uri="{FF2B5EF4-FFF2-40B4-BE49-F238E27FC236}">
                  <a16:creationId xmlns:a16="http://schemas.microsoft.com/office/drawing/2014/main" id="{00000000-0008-0000-0500-00004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264</xdr:row>
          <xdr:rowOff>190500</xdr:rowOff>
        </xdr:from>
        <xdr:to>
          <xdr:col>9</xdr:col>
          <xdr:colOff>466725</xdr:colOff>
          <xdr:row>380</xdr:row>
          <xdr:rowOff>38100</xdr:rowOff>
        </xdr:to>
        <xdr:sp macro="" textlink="">
          <xdr:nvSpPr>
            <xdr:cNvPr id="7748" name="Check Box 580" hidden="1">
              <a:extLst>
                <a:ext uri="{63B3BB69-23CF-44E3-9099-C40C66FF867C}">
                  <a14:compatExt spid="_x0000_s7748"/>
                </a:ext>
                <a:ext uri="{FF2B5EF4-FFF2-40B4-BE49-F238E27FC236}">
                  <a16:creationId xmlns:a16="http://schemas.microsoft.com/office/drawing/2014/main" id="{00000000-0008-0000-0500-00004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266</xdr:row>
          <xdr:rowOff>19050</xdr:rowOff>
        </xdr:from>
        <xdr:to>
          <xdr:col>10</xdr:col>
          <xdr:colOff>0</xdr:colOff>
          <xdr:row>380</xdr:row>
          <xdr:rowOff>28575</xdr:rowOff>
        </xdr:to>
        <xdr:sp macro="" textlink="">
          <xdr:nvSpPr>
            <xdr:cNvPr id="7749" name="Check Box 581" hidden="1">
              <a:extLst>
                <a:ext uri="{63B3BB69-23CF-44E3-9099-C40C66FF867C}">
                  <a14:compatExt spid="_x0000_s7749"/>
                </a:ext>
                <a:ext uri="{FF2B5EF4-FFF2-40B4-BE49-F238E27FC236}">
                  <a16:creationId xmlns:a16="http://schemas.microsoft.com/office/drawing/2014/main" id="{00000000-0008-0000-0500-00004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260</xdr:row>
          <xdr:rowOff>200025</xdr:rowOff>
        </xdr:from>
        <xdr:to>
          <xdr:col>9</xdr:col>
          <xdr:colOff>466725</xdr:colOff>
          <xdr:row>380</xdr:row>
          <xdr:rowOff>28575</xdr:rowOff>
        </xdr:to>
        <xdr:sp macro="" textlink="">
          <xdr:nvSpPr>
            <xdr:cNvPr id="7750" name="Check Box 582" hidden="1">
              <a:extLst>
                <a:ext uri="{63B3BB69-23CF-44E3-9099-C40C66FF867C}">
                  <a14:compatExt spid="_x0000_s7750"/>
                </a:ext>
                <a:ext uri="{FF2B5EF4-FFF2-40B4-BE49-F238E27FC236}">
                  <a16:creationId xmlns:a16="http://schemas.microsoft.com/office/drawing/2014/main" id="{00000000-0008-0000-0500-00004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261</xdr:row>
          <xdr:rowOff>190500</xdr:rowOff>
        </xdr:from>
        <xdr:to>
          <xdr:col>9</xdr:col>
          <xdr:colOff>466725</xdr:colOff>
          <xdr:row>380</xdr:row>
          <xdr:rowOff>38100</xdr:rowOff>
        </xdr:to>
        <xdr:sp macro="" textlink="">
          <xdr:nvSpPr>
            <xdr:cNvPr id="7751" name="Check Box 583" hidden="1">
              <a:extLst>
                <a:ext uri="{63B3BB69-23CF-44E3-9099-C40C66FF867C}">
                  <a14:compatExt spid="_x0000_s7751"/>
                </a:ext>
                <a:ext uri="{FF2B5EF4-FFF2-40B4-BE49-F238E27FC236}">
                  <a16:creationId xmlns:a16="http://schemas.microsoft.com/office/drawing/2014/main" id="{00000000-0008-0000-0500-00004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263</xdr:row>
          <xdr:rowOff>9525</xdr:rowOff>
        </xdr:from>
        <xdr:to>
          <xdr:col>10</xdr:col>
          <xdr:colOff>0</xdr:colOff>
          <xdr:row>380</xdr:row>
          <xdr:rowOff>28575</xdr:rowOff>
        </xdr:to>
        <xdr:sp macro="" textlink="">
          <xdr:nvSpPr>
            <xdr:cNvPr id="7752" name="Check Box 584" hidden="1">
              <a:extLst>
                <a:ext uri="{63B3BB69-23CF-44E3-9099-C40C66FF867C}">
                  <a14:compatExt spid="_x0000_s7752"/>
                </a:ext>
                <a:ext uri="{FF2B5EF4-FFF2-40B4-BE49-F238E27FC236}">
                  <a16:creationId xmlns:a16="http://schemas.microsoft.com/office/drawing/2014/main" id="{00000000-0008-0000-0500-00004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268</xdr:row>
          <xdr:rowOff>200025</xdr:rowOff>
        </xdr:from>
        <xdr:to>
          <xdr:col>9</xdr:col>
          <xdr:colOff>466725</xdr:colOff>
          <xdr:row>380</xdr:row>
          <xdr:rowOff>38100</xdr:rowOff>
        </xdr:to>
        <xdr:sp macro="" textlink="">
          <xdr:nvSpPr>
            <xdr:cNvPr id="7753" name="Check Box 585" hidden="1">
              <a:extLst>
                <a:ext uri="{63B3BB69-23CF-44E3-9099-C40C66FF867C}">
                  <a14:compatExt spid="_x0000_s7753"/>
                </a:ext>
                <a:ext uri="{FF2B5EF4-FFF2-40B4-BE49-F238E27FC236}">
                  <a16:creationId xmlns:a16="http://schemas.microsoft.com/office/drawing/2014/main" id="{00000000-0008-0000-0500-00004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278</xdr:row>
          <xdr:rowOff>19050</xdr:rowOff>
        </xdr:from>
        <xdr:to>
          <xdr:col>9</xdr:col>
          <xdr:colOff>466725</xdr:colOff>
          <xdr:row>380</xdr:row>
          <xdr:rowOff>38100</xdr:rowOff>
        </xdr:to>
        <xdr:sp macro="" textlink="">
          <xdr:nvSpPr>
            <xdr:cNvPr id="7754" name="Check Box 586" hidden="1">
              <a:extLst>
                <a:ext uri="{63B3BB69-23CF-44E3-9099-C40C66FF867C}">
                  <a14:compatExt spid="_x0000_s7754"/>
                </a:ext>
                <a:ext uri="{FF2B5EF4-FFF2-40B4-BE49-F238E27FC236}">
                  <a16:creationId xmlns:a16="http://schemas.microsoft.com/office/drawing/2014/main" id="{00000000-0008-0000-0500-00004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140</xdr:row>
          <xdr:rowOff>19050</xdr:rowOff>
        </xdr:from>
        <xdr:to>
          <xdr:col>9</xdr:col>
          <xdr:colOff>466725</xdr:colOff>
          <xdr:row>380</xdr:row>
          <xdr:rowOff>19050</xdr:rowOff>
        </xdr:to>
        <xdr:sp macro="" textlink="">
          <xdr:nvSpPr>
            <xdr:cNvPr id="7755" name="Check Box 587" hidden="1">
              <a:extLst>
                <a:ext uri="{63B3BB69-23CF-44E3-9099-C40C66FF867C}">
                  <a14:compatExt spid="_x0000_s7755"/>
                </a:ext>
                <a:ext uri="{FF2B5EF4-FFF2-40B4-BE49-F238E27FC236}">
                  <a16:creationId xmlns:a16="http://schemas.microsoft.com/office/drawing/2014/main" id="{00000000-0008-0000-0500-00004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197</xdr:row>
          <xdr:rowOff>200025</xdr:rowOff>
        </xdr:from>
        <xdr:to>
          <xdr:col>9</xdr:col>
          <xdr:colOff>466725</xdr:colOff>
          <xdr:row>380</xdr:row>
          <xdr:rowOff>28575</xdr:rowOff>
        </xdr:to>
        <xdr:sp macro="" textlink="">
          <xdr:nvSpPr>
            <xdr:cNvPr id="7756" name="Check Box 588" hidden="1">
              <a:extLst>
                <a:ext uri="{63B3BB69-23CF-44E3-9099-C40C66FF867C}">
                  <a14:compatExt spid="_x0000_s7756"/>
                </a:ext>
                <a:ext uri="{FF2B5EF4-FFF2-40B4-BE49-F238E27FC236}">
                  <a16:creationId xmlns:a16="http://schemas.microsoft.com/office/drawing/2014/main" id="{00000000-0008-0000-0500-00004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198</xdr:row>
          <xdr:rowOff>190500</xdr:rowOff>
        </xdr:from>
        <xdr:to>
          <xdr:col>9</xdr:col>
          <xdr:colOff>457200</xdr:colOff>
          <xdr:row>380</xdr:row>
          <xdr:rowOff>38100</xdr:rowOff>
        </xdr:to>
        <xdr:sp macro="" textlink="">
          <xdr:nvSpPr>
            <xdr:cNvPr id="7757" name="Check Box 589" hidden="1">
              <a:extLst>
                <a:ext uri="{63B3BB69-23CF-44E3-9099-C40C66FF867C}">
                  <a14:compatExt spid="_x0000_s7757"/>
                </a:ext>
                <a:ext uri="{FF2B5EF4-FFF2-40B4-BE49-F238E27FC236}">
                  <a16:creationId xmlns:a16="http://schemas.microsoft.com/office/drawing/2014/main" id="{00000000-0008-0000-0500-00004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194</xdr:row>
          <xdr:rowOff>200025</xdr:rowOff>
        </xdr:from>
        <xdr:to>
          <xdr:col>9</xdr:col>
          <xdr:colOff>466725</xdr:colOff>
          <xdr:row>380</xdr:row>
          <xdr:rowOff>28575</xdr:rowOff>
        </xdr:to>
        <xdr:sp macro="" textlink="">
          <xdr:nvSpPr>
            <xdr:cNvPr id="7758" name="Check Box 590" hidden="1">
              <a:extLst>
                <a:ext uri="{63B3BB69-23CF-44E3-9099-C40C66FF867C}">
                  <a14:compatExt spid="_x0000_s7758"/>
                </a:ext>
                <a:ext uri="{FF2B5EF4-FFF2-40B4-BE49-F238E27FC236}">
                  <a16:creationId xmlns:a16="http://schemas.microsoft.com/office/drawing/2014/main" id="{00000000-0008-0000-0500-00004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195</xdr:row>
          <xdr:rowOff>190500</xdr:rowOff>
        </xdr:from>
        <xdr:to>
          <xdr:col>9</xdr:col>
          <xdr:colOff>466725</xdr:colOff>
          <xdr:row>380</xdr:row>
          <xdr:rowOff>38100</xdr:rowOff>
        </xdr:to>
        <xdr:sp macro="" textlink="">
          <xdr:nvSpPr>
            <xdr:cNvPr id="7759" name="Check Box 591" hidden="1">
              <a:extLst>
                <a:ext uri="{63B3BB69-23CF-44E3-9099-C40C66FF867C}">
                  <a14:compatExt spid="_x0000_s7759"/>
                </a:ext>
                <a:ext uri="{FF2B5EF4-FFF2-40B4-BE49-F238E27FC236}">
                  <a16:creationId xmlns:a16="http://schemas.microsoft.com/office/drawing/2014/main" id="{00000000-0008-0000-0500-00004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197</xdr:row>
          <xdr:rowOff>9525</xdr:rowOff>
        </xdr:from>
        <xdr:to>
          <xdr:col>10</xdr:col>
          <xdr:colOff>0</xdr:colOff>
          <xdr:row>380</xdr:row>
          <xdr:rowOff>28575</xdr:rowOff>
        </xdr:to>
        <xdr:sp macro="" textlink="">
          <xdr:nvSpPr>
            <xdr:cNvPr id="7760" name="Check Box 592" hidden="1">
              <a:extLst>
                <a:ext uri="{63B3BB69-23CF-44E3-9099-C40C66FF867C}">
                  <a14:compatExt spid="_x0000_s7760"/>
                </a:ext>
                <a:ext uri="{FF2B5EF4-FFF2-40B4-BE49-F238E27FC236}">
                  <a16:creationId xmlns:a16="http://schemas.microsoft.com/office/drawing/2014/main" id="{00000000-0008-0000-0500-00005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191</xdr:row>
          <xdr:rowOff>200025</xdr:rowOff>
        </xdr:from>
        <xdr:to>
          <xdr:col>9</xdr:col>
          <xdr:colOff>466725</xdr:colOff>
          <xdr:row>380</xdr:row>
          <xdr:rowOff>28575</xdr:rowOff>
        </xdr:to>
        <xdr:sp macro="" textlink="">
          <xdr:nvSpPr>
            <xdr:cNvPr id="7761" name="Check Box 593" hidden="1">
              <a:extLst>
                <a:ext uri="{63B3BB69-23CF-44E3-9099-C40C66FF867C}">
                  <a14:compatExt spid="_x0000_s7761"/>
                </a:ext>
                <a:ext uri="{FF2B5EF4-FFF2-40B4-BE49-F238E27FC236}">
                  <a16:creationId xmlns:a16="http://schemas.microsoft.com/office/drawing/2014/main" id="{00000000-0008-0000-0500-00005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192</xdr:row>
          <xdr:rowOff>190500</xdr:rowOff>
        </xdr:from>
        <xdr:to>
          <xdr:col>9</xdr:col>
          <xdr:colOff>457200</xdr:colOff>
          <xdr:row>380</xdr:row>
          <xdr:rowOff>38100</xdr:rowOff>
        </xdr:to>
        <xdr:sp macro="" textlink="">
          <xdr:nvSpPr>
            <xdr:cNvPr id="7762" name="Check Box 594" hidden="1">
              <a:extLst>
                <a:ext uri="{63B3BB69-23CF-44E3-9099-C40C66FF867C}">
                  <a14:compatExt spid="_x0000_s7762"/>
                </a:ext>
                <a:ext uri="{FF2B5EF4-FFF2-40B4-BE49-F238E27FC236}">
                  <a16:creationId xmlns:a16="http://schemas.microsoft.com/office/drawing/2014/main" id="{00000000-0008-0000-0500-00005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193</xdr:row>
          <xdr:rowOff>200025</xdr:rowOff>
        </xdr:from>
        <xdr:to>
          <xdr:col>9</xdr:col>
          <xdr:colOff>447675</xdr:colOff>
          <xdr:row>380</xdr:row>
          <xdr:rowOff>28575</xdr:rowOff>
        </xdr:to>
        <xdr:sp macro="" textlink="">
          <xdr:nvSpPr>
            <xdr:cNvPr id="7763" name="Check Box 595" hidden="1">
              <a:extLst>
                <a:ext uri="{63B3BB69-23CF-44E3-9099-C40C66FF867C}">
                  <a14:compatExt spid="_x0000_s7763"/>
                </a:ext>
                <a:ext uri="{FF2B5EF4-FFF2-40B4-BE49-F238E27FC236}">
                  <a16:creationId xmlns:a16="http://schemas.microsoft.com/office/drawing/2014/main" id="{00000000-0008-0000-0500-00005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188</xdr:row>
          <xdr:rowOff>200025</xdr:rowOff>
        </xdr:from>
        <xdr:to>
          <xdr:col>9</xdr:col>
          <xdr:colOff>466725</xdr:colOff>
          <xdr:row>380</xdr:row>
          <xdr:rowOff>28575</xdr:rowOff>
        </xdr:to>
        <xdr:sp macro="" textlink="">
          <xdr:nvSpPr>
            <xdr:cNvPr id="7764" name="Check Box 596" hidden="1">
              <a:extLst>
                <a:ext uri="{63B3BB69-23CF-44E3-9099-C40C66FF867C}">
                  <a14:compatExt spid="_x0000_s7764"/>
                </a:ext>
                <a:ext uri="{FF2B5EF4-FFF2-40B4-BE49-F238E27FC236}">
                  <a16:creationId xmlns:a16="http://schemas.microsoft.com/office/drawing/2014/main" id="{00000000-0008-0000-0500-00005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189</xdr:row>
          <xdr:rowOff>190500</xdr:rowOff>
        </xdr:from>
        <xdr:to>
          <xdr:col>9</xdr:col>
          <xdr:colOff>466725</xdr:colOff>
          <xdr:row>380</xdr:row>
          <xdr:rowOff>38100</xdr:rowOff>
        </xdr:to>
        <xdr:sp macro="" textlink="">
          <xdr:nvSpPr>
            <xdr:cNvPr id="7765" name="Check Box 597" hidden="1">
              <a:extLst>
                <a:ext uri="{63B3BB69-23CF-44E3-9099-C40C66FF867C}">
                  <a14:compatExt spid="_x0000_s7765"/>
                </a:ext>
                <a:ext uri="{FF2B5EF4-FFF2-40B4-BE49-F238E27FC236}">
                  <a16:creationId xmlns:a16="http://schemas.microsoft.com/office/drawing/2014/main" id="{00000000-0008-0000-0500-00005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191</xdr:row>
          <xdr:rowOff>9525</xdr:rowOff>
        </xdr:from>
        <xdr:to>
          <xdr:col>10</xdr:col>
          <xdr:colOff>0</xdr:colOff>
          <xdr:row>380</xdr:row>
          <xdr:rowOff>28575</xdr:rowOff>
        </xdr:to>
        <xdr:sp macro="" textlink="">
          <xdr:nvSpPr>
            <xdr:cNvPr id="7766" name="Check Box 598" hidden="1">
              <a:extLst>
                <a:ext uri="{63B3BB69-23CF-44E3-9099-C40C66FF867C}">
                  <a14:compatExt spid="_x0000_s7766"/>
                </a:ext>
                <a:ext uri="{FF2B5EF4-FFF2-40B4-BE49-F238E27FC236}">
                  <a16:creationId xmlns:a16="http://schemas.microsoft.com/office/drawing/2014/main" id="{00000000-0008-0000-0500-00005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185</xdr:row>
          <xdr:rowOff>200025</xdr:rowOff>
        </xdr:from>
        <xdr:to>
          <xdr:col>9</xdr:col>
          <xdr:colOff>466725</xdr:colOff>
          <xdr:row>380</xdr:row>
          <xdr:rowOff>28575</xdr:rowOff>
        </xdr:to>
        <xdr:sp macro="" textlink="">
          <xdr:nvSpPr>
            <xdr:cNvPr id="7767" name="Check Box 599" hidden="1">
              <a:extLst>
                <a:ext uri="{63B3BB69-23CF-44E3-9099-C40C66FF867C}">
                  <a14:compatExt spid="_x0000_s7767"/>
                </a:ext>
                <a:ext uri="{FF2B5EF4-FFF2-40B4-BE49-F238E27FC236}">
                  <a16:creationId xmlns:a16="http://schemas.microsoft.com/office/drawing/2014/main" id="{00000000-0008-0000-0500-00005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186</xdr:row>
          <xdr:rowOff>190500</xdr:rowOff>
        </xdr:from>
        <xdr:to>
          <xdr:col>9</xdr:col>
          <xdr:colOff>466725</xdr:colOff>
          <xdr:row>380</xdr:row>
          <xdr:rowOff>38100</xdr:rowOff>
        </xdr:to>
        <xdr:sp macro="" textlink="">
          <xdr:nvSpPr>
            <xdr:cNvPr id="7768" name="Check Box 600" hidden="1">
              <a:extLst>
                <a:ext uri="{63B3BB69-23CF-44E3-9099-C40C66FF867C}">
                  <a14:compatExt spid="_x0000_s7768"/>
                </a:ext>
                <a:ext uri="{FF2B5EF4-FFF2-40B4-BE49-F238E27FC236}">
                  <a16:creationId xmlns:a16="http://schemas.microsoft.com/office/drawing/2014/main" id="{00000000-0008-0000-0500-00005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182</xdr:row>
          <xdr:rowOff>200025</xdr:rowOff>
        </xdr:from>
        <xdr:to>
          <xdr:col>9</xdr:col>
          <xdr:colOff>466725</xdr:colOff>
          <xdr:row>380</xdr:row>
          <xdr:rowOff>28575</xdr:rowOff>
        </xdr:to>
        <xdr:sp macro="" textlink="">
          <xdr:nvSpPr>
            <xdr:cNvPr id="7769" name="Check Box 601" hidden="1">
              <a:extLst>
                <a:ext uri="{63B3BB69-23CF-44E3-9099-C40C66FF867C}">
                  <a14:compatExt spid="_x0000_s7769"/>
                </a:ext>
                <a:ext uri="{FF2B5EF4-FFF2-40B4-BE49-F238E27FC236}">
                  <a16:creationId xmlns:a16="http://schemas.microsoft.com/office/drawing/2014/main" id="{00000000-0008-0000-0500-00005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183</xdr:row>
          <xdr:rowOff>190500</xdr:rowOff>
        </xdr:from>
        <xdr:to>
          <xdr:col>9</xdr:col>
          <xdr:colOff>457200</xdr:colOff>
          <xdr:row>380</xdr:row>
          <xdr:rowOff>38100</xdr:rowOff>
        </xdr:to>
        <xdr:sp macro="" textlink="">
          <xdr:nvSpPr>
            <xdr:cNvPr id="7770" name="Check Box 602" hidden="1">
              <a:extLst>
                <a:ext uri="{63B3BB69-23CF-44E3-9099-C40C66FF867C}">
                  <a14:compatExt spid="_x0000_s7770"/>
                </a:ext>
                <a:ext uri="{FF2B5EF4-FFF2-40B4-BE49-F238E27FC236}">
                  <a16:creationId xmlns:a16="http://schemas.microsoft.com/office/drawing/2014/main" id="{00000000-0008-0000-0500-00005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184</xdr:row>
          <xdr:rowOff>200025</xdr:rowOff>
        </xdr:from>
        <xdr:to>
          <xdr:col>9</xdr:col>
          <xdr:colOff>447675</xdr:colOff>
          <xdr:row>380</xdr:row>
          <xdr:rowOff>28575</xdr:rowOff>
        </xdr:to>
        <xdr:sp macro="" textlink="">
          <xdr:nvSpPr>
            <xdr:cNvPr id="7771" name="Check Box 603" hidden="1">
              <a:extLst>
                <a:ext uri="{63B3BB69-23CF-44E3-9099-C40C66FF867C}">
                  <a14:compatExt spid="_x0000_s7771"/>
                </a:ext>
                <a:ext uri="{FF2B5EF4-FFF2-40B4-BE49-F238E27FC236}">
                  <a16:creationId xmlns:a16="http://schemas.microsoft.com/office/drawing/2014/main" id="{00000000-0008-0000-0500-00005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179</xdr:row>
          <xdr:rowOff>200025</xdr:rowOff>
        </xdr:from>
        <xdr:to>
          <xdr:col>9</xdr:col>
          <xdr:colOff>466725</xdr:colOff>
          <xdr:row>380</xdr:row>
          <xdr:rowOff>28575</xdr:rowOff>
        </xdr:to>
        <xdr:sp macro="" textlink="">
          <xdr:nvSpPr>
            <xdr:cNvPr id="7772" name="Check Box 604" hidden="1">
              <a:extLst>
                <a:ext uri="{63B3BB69-23CF-44E3-9099-C40C66FF867C}">
                  <a14:compatExt spid="_x0000_s7772"/>
                </a:ext>
                <a:ext uri="{FF2B5EF4-FFF2-40B4-BE49-F238E27FC236}">
                  <a16:creationId xmlns:a16="http://schemas.microsoft.com/office/drawing/2014/main" id="{00000000-0008-0000-0500-00005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180</xdr:row>
          <xdr:rowOff>190500</xdr:rowOff>
        </xdr:from>
        <xdr:to>
          <xdr:col>9</xdr:col>
          <xdr:colOff>466725</xdr:colOff>
          <xdr:row>380</xdr:row>
          <xdr:rowOff>38100</xdr:rowOff>
        </xdr:to>
        <xdr:sp macro="" textlink="">
          <xdr:nvSpPr>
            <xdr:cNvPr id="7773" name="Check Box 605" hidden="1">
              <a:extLst>
                <a:ext uri="{63B3BB69-23CF-44E3-9099-C40C66FF867C}">
                  <a14:compatExt spid="_x0000_s7773"/>
                </a:ext>
                <a:ext uri="{FF2B5EF4-FFF2-40B4-BE49-F238E27FC236}">
                  <a16:creationId xmlns:a16="http://schemas.microsoft.com/office/drawing/2014/main" id="{00000000-0008-0000-0500-00005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182</xdr:row>
          <xdr:rowOff>9525</xdr:rowOff>
        </xdr:from>
        <xdr:to>
          <xdr:col>10</xdr:col>
          <xdr:colOff>0</xdr:colOff>
          <xdr:row>380</xdr:row>
          <xdr:rowOff>28575</xdr:rowOff>
        </xdr:to>
        <xdr:sp macro="" textlink="">
          <xdr:nvSpPr>
            <xdr:cNvPr id="7774" name="Check Box 606" hidden="1">
              <a:extLst>
                <a:ext uri="{63B3BB69-23CF-44E3-9099-C40C66FF867C}">
                  <a14:compatExt spid="_x0000_s7774"/>
                </a:ext>
                <a:ext uri="{FF2B5EF4-FFF2-40B4-BE49-F238E27FC236}">
                  <a16:creationId xmlns:a16="http://schemas.microsoft.com/office/drawing/2014/main" id="{00000000-0008-0000-0500-00005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176</xdr:row>
          <xdr:rowOff>200025</xdr:rowOff>
        </xdr:from>
        <xdr:to>
          <xdr:col>9</xdr:col>
          <xdr:colOff>466725</xdr:colOff>
          <xdr:row>380</xdr:row>
          <xdr:rowOff>28575</xdr:rowOff>
        </xdr:to>
        <xdr:sp macro="" textlink="">
          <xdr:nvSpPr>
            <xdr:cNvPr id="7775" name="Check Box 607" hidden="1">
              <a:extLst>
                <a:ext uri="{63B3BB69-23CF-44E3-9099-C40C66FF867C}">
                  <a14:compatExt spid="_x0000_s7775"/>
                </a:ext>
                <a:ext uri="{FF2B5EF4-FFF2-40B4-BE49-F238E27FC236}">
                  <a16:creationId xmlns:a16="http://schemas.microsoft.com/office/drawing/2014/main" id="{00000000-0008-0000-0500-00005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177</xdr:row>
          <xdr:rowOff>190500</xdr:rowOff>
        </xdr:from>
        <xdr:to>
          <xdr:col>9</xdr:col>
          <xdr:colOff>466725</xdr:colOff>
          <xdr:row>380</xdr:row>
          <xdr:rowOff>38100</xdr:rowOff>
        </xdr:to>
        <xdr:sp macro="" textlink="">
          <xdr:nvSpPr>
            <xdr:cNvPr id="7776" name="Check Box 608" hidden="1">
              <a:extLst>
                <a:ext uri="{63B3BB69-23CF-44E3-9099-C40C66FF867C}">
                  <a14:compatExt spid="_x0000_s7776"/>
                </a:ext>
                <a:ext uri="{FF2B5EF4-FFF2-40B4-BE49-F238E27FC236}">
                  <a16:creationId xmlns:a16="http://schemas.microsoft.com/office/drawing/2014/main" id="{00000000-0008-0000-0500-00006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173</xdr:row>
          <xdr:rowOff>200025</xdr:rowOff>
        </xdr:from>
        <xdr:to>
          <xdr:col>9</xdr:col>
          <xdr:colOff>466725</xdr:colOff>
          <xdr:row>380</xdr:row>
          <xdr:rowOff>28575</xdr:rowOff>
        </xdr:to>
        <xdr:sp macro="" textlink="">
          <xdr:nvSpPr>
            <xdr:cNvPr id="7777" name="Check Box 609" hidden="1">
              <a:extLst>
                <a:ext uri="{63B3BB69-23CF-44E3-9099-C40C66FF867C}">
                  <a14:compatExt spid="_x0000_s7777"/>
                </a:ext>
                <a:ext uri="{FF2B5EF4-FFF2-40B4-BE49-F238E27FC236}">
                  <a16:creationId xmlns:a16="http://schemas.microsoft.com/office/drawing/2014/main" id="{00000000-0008-0000-0500-00006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174</xdr:row>
          <xdr:rowOff>190500</xdr:rowOff>
        </xdr:from>
        <xdr:to>
          <xdr:col>9</xdr:col>
          <xdr:colOff>466725</xdr:colOff>
          <xdr:row>380</xdr:row>
          <xdr:rowOff>38100</xdr:rowOff>
        </xdr:to>
        <xdr:sp macro="" textlink="">
          <xdr:nvSpPr>
            <xdr:cNvPr id="7778" name="Check Box 610" hidden="1">
              <a:extLst>
                <a:ext uri="{63B3BB69-23CF-44E3-9099-C40C66FF867C}">
                  <a14:compatExt spid="_x0000_s7778"/>
                </a:ext>
                <a:ext uri="{FF2B5EF4-FFF2-40B4-BE49-F238E27FC236}">
                  <a16:creationId xmlns:a16="http://schemas.microsoft.com/office/drawing/2014/main" id="{00000000-0008-0000-0500-00006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176</xdr:row>
          <xdr:rowOff>19050</xdr:rowOff>
        </xdr:from>
        <xdr:to>
          <xdr:col>10</xdr:col>
          <xdr:colOff>0</xdr:colOff>
          <xdr:row>380</xdr:row>
          <xdr:rowOff>28575</xdr:rowOff>
        </xdr:to>
        <xdr:sp macro="" textlink="">
          <xdr:nvSpPr>
            <xdr:cNvPr id="7779" name="Check Box 611" hidden="1">
              <a:extLst>
                <a:ext uri="{63B3BB69-23CF-44E3-9099-C40C66FF867C}">
                  <a14:compatExt spid="_x0000_s7779"/>
                </a:ext>
                <a:ext uri="{FF2B5EF4-FFF2-40B4-BE49-F238E27FC236}">
                  <a16:creationId xmlns:a16="http://schemas.microsoft.com/office/drawing/2014/main" id="{00000000-0008-0000-0500-00006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170</xdr:row>
          <xdr:rowOff>200025</xdr:rowOff>
        </xdr:from>
        <xdr:to>
          <xdr:col>9</xdr:col>
          <xdr:colOff>466725</xdr:colOff>
          <xdr:row>380</xdr:row>
          <xdr:rowOff>28575</xdr:rowOff>
        </xdr:to>
        <xdr:sp macro="" textlink="">
          <xdr:nvSpPr>
            <xdr:cNvPr id="7780" name="Check Box 612" hidden="1">
              <a:extLst>
                <a:ext uri="{63B3BB69-23CF-44E3-9099-C40C66FF867C}">
                  <a14:compatExt spid="_x0000_s7780"/>
                </a:ext>
                <a:ext uri="{FF2B5EF4-FFF2-40B4-BE49-F238E27FC236}">
                  <a16:creationId xmlns:a16="http://schemas.microsoft.com/office/drawing/2014/main" id="{00000000-0008-0000-0500-00006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171</xdr:row>
          <xdr:rowOff>190500</xdr:rowOff>
        </xdr:from>
        <xdr:to>
          <xdr:col>9</xdr:col>
          <xdr:colOff>466725</xdr:colOff>
          <xdr:row>380</xdr:row>
          <xdr:rowOff>38100</xdr:rowOff>
        </xdr:to>
        <xdr:sp macro="" textlink="">
          <xdr:nvSpPr>
            <xdr:cNvPr id="7781" name="Check Box 613" hidden="1">
              <a:extLst>
                <a:ext uri="{63B3BB69-23CF-44E3-9099-C40C66FF867C}">
                  <a14:compatExt spid="_x0000_s7781"/>
                </a:ext>
                <a:ext uri="{FF2B5EF4-FFF2-40B4-BE49-F238E27FC236}">
                  <a16:creationId xmlns:a16="http://schemas.microsoft.com/office/drawing/2014/main" id="{00000000-0008-0000-0500-00006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173</xdr:row>
          <xdr:rowOff>9525</xdr:rowOff>
        </xdr:from>
        <xdr:to>
          <xdr:col>10</xdr:col>
          <xdr:colOff>0</xdr:colOff>
          <xdr:row>380</xdr:row>
          <xdr:rowOff>28575</xdr:rowOff>
        </xdr:to>
        <xdr:sp macro="" textlink="">
          <xdr:nvSpPr>
            <xdr:cNvPr id="7782" name="Check Box 614" hidden="1">
              <a:extLst>
                <a:ext uri="{63B3BB69-23CF-44E3-9099-C40C66FF867C}">
                  <a14:compatExt spid="_x0000_s7782"/>
                </a:ext>
                <a:ext uri="{FF2B5EF4-FFF2-40B4-BE49-F238E27FC236}">
                  <a16:creationId xmlns:a16="http://schemas.microsoft.com/office/drawing/2014/main" id="{00000000-0008-0000-0500-00006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178</xdr:row>
          <xdr:rowOff>200025</xdr:rowOff>
        </xdr:from>
        <xdr:to>
          <xdr:col>9</xdr:col>
          <xdr:colOff>466725</xdr:colOff>
          <xdr:row>380</xdr:row>
          <xdr:rowOff>38100</xdr:rowOff>
        </xdr:to>
        <xdr:sp macro="" textlink="">
          <xdr:nvSpPr>
            <xdr:cNvPr id="7783" name="Check Box 615" hidden="1">
              <a:extLst>
                <a:ext uri="{63B3BB69-23CF-44E3-9099-C40C66FF867C}">
                  <a14:compatExt spid="_x0000_s7783"/>
                </a:ext>
                <a:ext uri="{FF2B5EF4-FFF2-40B4-BE49-F238E27FC236}">
                  <a16:creationId xmlns:a16="http://schemas.microsoft.com/office/drawing/2014/main" id="{00000000-0008-0000-0500-00006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188</xdr:row>
          <xdr:rowOff>19050</xdr:rowOff>
        </xdr:from>
        <xdr:to>
          <xdr:col>9</xdr:col>
          <xdr:colOff>466725</xdr:colOff>
          <xdr:row>380</xdr:row>
          <xdr:rowOff>38100</xdr:rowOff>
        </xdr:to>
        <xdr:sp macro="" textlink="">
          <xdr:nvSpPr>
            <xdr:cNvPr id="7784" name="Check Box 616" hidden="1">
              <a:extLst>
                <a:ext uri="{63B3BB69-23CF-44E3-9099-C40C66FF867C}">
                  <a14:compatExt spid="_x0000_s7784"/>
                </a:ext>
                <a:ext uri="{FF2B5EF4-FFF2-40B4-BE49-F238E27FC236}">
                  <a16:creationId xmlns:a16="http://schemas.microsoft.com/office/drawing/2014/main" id="{00000000-0008-0000-0500-00006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167</xdr:row>
          <xdr:rowOff>200025</xdr:rowOff>
        </xdr:from>
        <xdr:to>
          <xdr:col>9</xdr:col>
          <xdr:colOff>466725</xdr:colOff>
          <xdr:row>380</xdr:row>
          <xdr:rowOff>28575</xdr:rowOff>
        </xdr:to>
        <xdr:sp macro="" textlink="">
          <xdr:nvSpPr>
            <xdr:cNvPr id="7785" name="Check Box 617" hidden="1">
              <a:extLst>
                <a:ext uri="{63B3BB69-23CF-44E3-9099-C40C66FF867C}">
                  <a14:compatExt spid="_x0000_s7785"/>
                </a:ext>
                <a:ext uri="{FF2B5EF4-FFF2-40B4-BE49-F238E27FC236}">
                  <a16:creationId xmlns:a16="http://schemas.microsoft.com/office/drawing/2014/main" id="{00000000-0008-0000-0500-00006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168</xdr:row>
          <xdr:rowOff>190500</xdr:rowOff>
        </xdr:from>
        <xdr:to>
          <xdr:col>9</xdr:col>
          <xdr:colOff>457200</xdr:colOff>
          <xdr:row>380</xdr:row>
          <xdr:rowOff>38100</xdr:rowOff>
        </xdr:to>
        <xdr:sp macro="" textlink="">
          <xdr:nvSpPr>
            <xdr:cNvPr id="7786" name="Check Box 618" hidden="1">
              <a:extLst>
                <a:ext uri="{63B3BB69-23CF-44E3-9099-C40C66FF867C}">
                  <a14:compatExt spid="_x0000_s7786"/>
                </a:ext>
                <a:ext uri="{FF2B5EF4-FFF2-40B4-BE49-F238E27FC236}">
                  <a16:creationId xmlns:a16="http://schemas.microsoft.com/office/drawing/2014/main" id="{00000000-0008-0000-0500-00006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169</xdr:row>
          <xdr:rowOff>200025</xdr:rowOff>
        </xdr:from>
        <xdr:to>
          <xdr:col>9</xdr:col>
          <xdr:colOff>447675</xdr:colOff>
          <xdr:row>380</xdr:row>
          <xdr:rowOff>28575</xdr:rowOff>
        </xdr:to>
        <xdr:sp macro="" textlink="">
          <xdr:nvSpPr>
            <xdr:cNvPr id="7787" name="Check Box 619" hidden="1">
              <a:extLst>
                <a:ext uri="{63B3BB69-23CF-44E3-9099-C40C66FF867C}">
                  <a14:compatExt spid="_x0000_s7787"/>
                </a:ext>
                <a:ext uri="{FF2B5EF4-FFF2-40B4-BE49-F238E27FC236}">
                  <a16:creationId xmlns:a16="http://schemas.microsoft.com/office/drawing/2014/main" id="{00000000-0008-0000-0500-00006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164</xdr:row>
          <xdr:rowOff>200025</xdr:rowOff>
        </xdr:from>
        <xdr:to>
          <xdr:col>9</xdr:col>
          <xdr:colOff>466725</xdr:colOff>
          <xdr:row>380</xdr:row>
          <xdr:rowOff>28575</xdr:rowOff>
        </xdr:to>
        <xdr:sp macro="" textlink="">
          <xdr:nvSpPr>
            <xdr:cNvPr id="7788" name="Check Box 620" hidden="1">
              <a:extLst>
                <a:ext uri="{63B3BB69-23CF-44E3-9099-C40C66FF867C}">
                  <a14:compatExt spid="_x0000_s7788"/>
                </a:ext>
                <a:ext uri="{FF2B5EF4-FFF2-40B4-BE49-F238E27FC236}">
                  <a16:creationId xmlns:a16="http://schemas.microsoft.com/office/drawing/2014/main" id="{00000000-0008-0000-0500-00006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165</xdr:row>
          <xdr:rowOff>190500</xdr:rowOff>
        </xdr:from>
        <xdr:to>
          <xdr:col>9</xdr:col>
          <xdr:colOff>466725</xdr:colOff>
          <xdr:row>380</xdr:row>
          <xdr:rowOff>38100</xdr:rowOff>
        </xdr:to>
        <xdr:sp macro="" textlink="">
          <xdr:nvSpPr>
            <xdr:cNvPr id="7789" name="Check Box 621" hidden="1">
              <a:extLst>
                <a:ext uri="{63B3BB69-23CF-44E3-9099-C40C66FF867C}">
                  <a14:compatExt spid="_x0000_s7789"/>
                </a:ext>
                <a:ext uri="{FF2B5EF4-FFF2-40B4-BE49-F238E27FC236}">
                  <a16:creationId xmlns:a16="http://schemas.microsoft.com/office/drawing/2014/main" id="{00000000-0008-0000-0500-00006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167</xdr:row>
          <xdr:rowOff>9525</xdr:rowOff>
        </xdr:from>
        <xdr:to>
          <xdr:col>10</xdr:col>
          <xdr:colOff>0</xdr:colOff>
          <xdr:row>380</xdr:row>
          <xdr:rowOff>28575</xdr:rowOff>
        </xdr:to>
        <xdr:sp macro="" textlink="">
          <xdr:nvSpPr>
            <xdr:cNvPr id="7790" name="Check Box 622" hidden="1">
              <a:extLst>
                <a:ext uri="{63B3BB69-23CF-44E3-9099-C40C66FF867C}">
                  <a14:compatExt spid="_x0000_s7790"/>
                </a:ext>
                <a:ext uri="{FF2B5EF4-FFF2-40B4-BE49-F238E27FC236}">
                  <a16:creationId xmlns:a16="http://schemas.microsoft.com/office/drawing/2014/main" id="{00000000-0008-0000-0500-00006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161</xdr:row>
          <xdr:rowOff>200025</xdr:rowOff>
        </xdr:from>
        <xdr:to>
          <xdr:col>9</xdr:col>
          <xdr:colOff>466725</xdr:colOff>
          <xdr:row>380</xdr:row>
          <xdr:rowOff>28575</xdr:rowOff>
        </xdr:to>
        <xdr:sp macro="" textlink="">
          <xdr:nvSpPr>
            <xdr:cNvPr id="7791" name="Check Box 623" hidden="1">
              <a:extLst>
                <a:ext uri="{63B3BB69-23CF-44E3-9099-C40C66FF867C}">
                  <a14:compatExt spid="_x0000_s7791"/>
                </a:ext>
                <a:ext uri="{FF2B5EF4-FFF2-40B4-BE49-F238E27FC236}">
                  <a16:creationId xmlns:a16="http://schemas.microsoft.com/office/drawing/2014/main" id="{00000000-0008-0000-0500-00006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162</xdr:row>
          <xdr:rowOff>190500</xdr:rowOff>
        </xdr:from>
        <xdr:to>
          <xdr:col>9</xdr:col>
          <xdr:colOff>457200</xdr:colOff>
          <xdr:row>380</xdr:row>
          <xdr:rowOff>38100</xdr:rowOff>
        </xdr:to>
        <xdr:sp macro="" textlink="">
          <xdr:nvSpPr>
            <xdr:cNvPr id="7792" name="Check Box 624" hidden="1">
              <a:extLst>
                <a:ext uri="{63B3BB69-23CF-44E3-9099-C40C66FF867C}">
                  <a14:compatExt spid="_x0000_s7792"/>
                </a:ext>
                <a:ext uri="{FF2B5EF4-FFF2-40B4-BE49-F238E27FC236}">
                  <a16:creationId xmlns:a16="http://schemas.microsoft.com/office/drawing/2014/main" id="{00000000-0008-0000-0500-00007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163</xdr:row>
          <xdr:rowOff>200025</xdr:rowOff>
        </xdr:from>
        <xdr:to>
          <xdr:col>9</xdr:col>
          <xdr:colOff>447675</xdr:colOff>
          <xdr:row>380</xdr:row>
          <xdr:rowOff>28575</xdr:rowOff>
        </xdr:to>
        <xdr:sp macro="" textlink="">
          <xdr:nvSpPr>
            <xdr:cNvPr id="7793" name="Check Box 625" hidden="1">
              <a:extLst>
                <a:ext uri="{63B3BB69-23CF-44E3-9099-C40C66FF867C}">
                  <a14:compatExt spid="_x0000_s7793"/>
                </a:ext>
                <a:ext uri="{FF2B5EF4-FFF2-40B4-BE49-F238E27FC236}">
                  <a16:creationId xmlns:a16="http://schemas.microsoft.com/office/drawing/2014/main" id="{00000000-0008-0000-0500-00007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158</xdr:row>
          <xdr:rowOff>200025</xdr:rowOff>
        </xdr:from>
        <xdr:to>
          <xdr:col>9</xdr:col>
          <xdr:colOff>466725</xdr:colOff>
          <xdr:row>380</xdr:row>
          <xdr:rowOff>28575</xdr:rowOff>
        </xdr:to>
        <xdr:sp macro="" textlink="">
          <xdr:nvSpPr>
            <xdr:cNvPr id="7794" name="Check Box 626" hidden="1">
              <a:extLst>
                <a:ext uri="{63B3BB69-23CF-44E3-9099-C40C66FF867C}">
                  <a14:compatExt spid="_x0000_s7794"/>
                </a:ext>
                <a:ext uri="{FF2B5EF4-FFF2-40B4-BE49-F238E27FC236}">
                  <a16:creationId xmlns:a16="http://schemas.microsoft.com/office/drawing/2014/main" id="{00000000-0008-0000-0500-00007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159</xdr:row>
          <xdr:rowOff>190500</xdr:rowOff>
        </xdr:from>
        <xdr:to>
          <xdr:col>9</xdr:col>
          <xdr:colOff>466725</xdr:colOff>
          <xdr:row>380</xdr:row>
          <xdr:rowOff>38100</xdr:rowOff>
        </xdr:to>
        <xdr:sp macro="" textlink="">
          <xdr:nvSpPr>
            <xdr:cNvPr id="7795" name="Check Box 627" hidden="1">
              <a:extLst>
                <a:ext uri="{63B3BB69-23CF-44E3-9099-C40C66FF867C}">
                  <a14:compatExt spid="_x0000_s7795"/>
                </a:ext>
                <a:ext uri="{FF2B5EF4-FFF2-40B4-BE49-F238E27FC236}">
                  <a16:creationId xmlns:a16="http://schemas.microsoft.com/office/drawing/2014/main" id="{00000000-0008-0000-0500-00007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161</xdr:row>
          <xdr:rowOff>9525</xdr:rowOff>
        </xdr:from>
        <xdr:to>
          <xdr:col>10</xdr:col>
          <xdr:colOff>0</xdr:colOff>
          <xdr:row>380</xdr:row>
          <xdr:rowOff>28575</xdr:rowOff>
        </xdr:to>
        <xdr:sp macro="" textlink="">
          <xdr:nvSpPr>
            <xdr:cNvPr id="7796" name="Check Box 628" hidden="1">
              <a:extLst>
                <a:ext uri="{63B3BB69-23CF-44E3-9099-C40C66FF867C}">
                  <a14:compatExt spid="_x0000_s7796"/>
                </a:ext>
                <a:ext uri="{FF2B5EF4-FFF2-40B4-BE49-F238E27FC236}">
                  <a16:creationId xmlns:a16="http://schemas.microsoft.com/office/drawing/2014/main" id="{00000000-0008-0000-0500-00007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155</xdr:row>
          <xdr:rowOff>200025</xdr:rowOff>
        </xdr:from>
        <xdr:to>
          <xdr:col>9</xdr:col>
          <xdr:colOff>466725</xdr:colOff>
          <xdr:row>380</xdr:row>
          <xdr:rowOff>28575</xdr:rowOff>
        </xdr:to>
        <xdr:sp macro="" textlink="">
          <xdr:nvSpPr>
            <xdr:cNvPr id="7797" name="Check Box 629" hidden="1">
              <a:extLst>
                <a:ext uri="{63B3BB69-23CF-44E3-9099-C40C66FF867C}">
                  <a14:compatExt spid="_x0000_s7797"/>
                </a:ext>
                <a:ext uri="{FF2B5EF4-FFF2-40B4-BE49-F238E27FC236}">
                  <a16:creationId xmlns:a16="http://schemas.microsoft.com/office/drawing/2014/main" id="{00000000-0008-0000-0500-00007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156</xdr:row>
          <xdr:rowOff>190500</xdr:rowOff>
        </xdr:from>
        <xdr:to>
          <xdr:col>9</xdr:col>
          <xdr:colOff>466725</xdr:colOff>
          <xdr:row>380</xdr:row>
          <xdr:rowOff>38100</xdr:rowOff>
        </xdr:to>
        <xdr:sp macro="" textlink="">
          <xdr:nvSpPr>
            <xdr:cNvPr id="7798" name="Check Box 630" hidden="1">
              <a:extLst>
                <a:ext uri="{63B3BB69-23CF-44E3-9099-C40C66FF867C}">
                  <a14:compatExt spid="_x0000_s7798"/>
                </a:ext>
                <a:ext uri="{FF2B5EF4-FFF2-40B4-BE49-F238E27FC236}">
                  <a16:creationId xmlns:a16="http://schemas.microsoft.com/office/drawing/2014/main" id="{00000000-0008-0000-0500-00007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152</xdr:row>
          <xdr:rowOff>200025</xdr:rowOff>
        </xdr:from>
        <xdr:to>
          <xdr:col>9</xdr:col>
          <xdr:colOff>466725</xdr:colOff>
          <xdr:row>380</xdr:row>
          <xdr:rowOff>28575</xdr:rowOff>
        </xdr:to>
        <xdr:sp macro="" textlink="">
          <xdr:nvSpPr>
            <xdr:cNvPr id="7799" name="Check Box 631" hidden="1">
              <a:extLst>
                <a:ext uri="{63B3BB69-23CF-44E3-9099-C40C66FF867C}">
                  <a14:compatExt spid="_x0000_s7799"/>
                </a:ext>
                <a:ext uri="{FF2B5EF4-FFF2-40B4-BE49-F238E27FC236}">
                  <a16:creationId xmlns:a16="http://schemas.microsoft.com/office/drawing/2014/main" id="{00000000-0008-0000-0500-00007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153</xdr:row>
          <xdr:rowOff>190500</xdr:rowOff>
        </xdr:from>
        <xdr:to>
          <xdr:col>9</xdr:col>
          <xdr:colOff>457200</xdr:colOff>
          <xdr:row>380</xdr:row>
          <xdr:rowOff>38100</xdr:rowOff>
        </xdr:to>
        <xdr:sp macro="" textlink="">
          <xdr:nvSpPr>
            <xdr:cNvPr id="7800" name="Check Box 632" hidden="1">
              <a:extLst>
                <a:ext uri="{63B3BB69-23CF-44E3-9099-C40C66FF867C}">
                  <a14:compatExt spid="_x0000_s7800"/>
                </a:ext>
                <a:ext uri="{FF2B5EF4-FFF2-40B4-BE49-F238E27FC236}">
                  <a16:creationId xmlns:a16="http://schemas.microsoft.com/office/drawing/2014/main" id="{00000000-0008-0000-0500-00007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154</xdr:row>
          <xdr:rowOff>200025</xdr:rowOff>
        </xdr:from>
        <xdr:to>
          <xdr:col>9</xdr:col>
          <xdr:colOff>447675</xdr:colOff>
          <xdr:row>380</xdr:row>
          <xdr:rowOff>28575</xdr:rowOff>
        </xdr:to>
        <xdr:sp macro="" textlink="">
          <xdr:nvSpPr>
            <xdr:cNvPr id="7801" name="Check Box 633" hidden="1">
              <a:extLst>
                <a:ext uri="{63B3BB69-23CF-44E3-9099-C40C66FF867C}">
                  <a14:compatExt spid="_x0000_s7801"/>
                </a:ext>
                <a:ext uri="{FF2B5EF4-FFF2-40B4-BE49-F238E27FC236}">
                  <a16:creationId xmlns:a16="http://schemas.microsoft.com/office/drawing/2014/main" id="{00000000-0008-0000-0500-00007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149</xdr:row>
          <xdr:rowOff>200025</xdr:rowOff>
        </xdr:from>
        <xdr:to>
          <xdr:col>9</xdr:col>
          <xdr:colOff>466725</xdr:colOff>
          <xdr:row>380</xdr:row>
          <xdr:rowOff>28575</xdr:rowOff>
        </xdr:to>
        <xdr:sp macro="" textlink="">
          <xdr:nvSpPr>
            <xdr:cNvPr id="7802" name="Check Box 634" hidden="1">
              <a:extLst>
                <a:ext uri="{63B3BB69-23CF-44E3-9099-C40C66FF867C}">
                  <a14:compatExt spid="_x0000_s7802"/>
                </a:ext>
                <a:ext uri="{FF2B5EF4-FFF2-40B4-BE49-F238E27FC236}">
                  <a16:creationId xmlns:a16="http://schemas.microsoft.com/office/drawing/2014/main" id="{00000000-0008-0000-0500-00007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150</xdr:row>
          <xdr:rowOff>190500</xdr:rowOff>
        </xdr:from>
        <xdr:to>
          <xdr:col>9</xdr:col>
          <xdr:colOff>466725</xdr:colOff>
          <xdr:row>380</xdr:row>
          <xdr:rowOff>38100</xdr:rowOff>
        </xdr:to>
        <xdr:sp macro="" textlink="">
          <xdr:nvSpPr>
            <xdr:cNvPr id="7803" name="Check Box 635" hidden="1">
              <a:extLst>
                <a:ext uri="{63B3BB69-23CF-44E3-9099-C40C66FF867C}">
                  <a14:compatExt spid="_x0000_s7803"/>
                </a:ext>
                <a:ext uri="{FF2B5EF4-FFF2-40B4-BE49-F238E27FC236}">
                  <a16:creationId xmlns:a16="http://schemas.microsoft.com/office/drawing/2014/main" id="{00000000-0008-0000-0500-00007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152</xdr:row>
          <xdr:rowOff>9525</xdr:rowOff>
        </xdr:from>
        <xdr:to>
          <xdr:col>10</xdr:col>
          <xdr:colOff>0</xdr:colOff>
          <xdr:row>380</xdr:row>
          <xdr:rowOff>28575</xdr:rowOff>
        </xdr:to>
        <xdr:sp macro="" textlink="">
          <xdr:nvSpPr>
            <xdr:cNvPr id="7804" name="Check Box 636" hidden="1">
              <a:extLst>
                <a:ext uri="{63B3BB69-23CF-44E3-9099-C40C66FF867C}">
                  <a14:compatExt spid="_x0000_s7804"/>
                </a:ext>
                <a:ext uri="{FF2B5EF4-FFF2-40B4-BE49-F238E27FC236}">
                  <a16:creationId xmlns:a16="http://schemas.microsoft.com/office/drawing/2014/main" id="{00000000-0008-0000-0500-00007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146</xdr:row>
          <xdr:rowOff>200025</xdr:rowOff>
        </xdr:from>
        <xdr:to>
          <xdr:col>9</xdr:col>
          <xdr:colOff>466725</xdr:colOff>
          <xdr:row>380</xdr:row>
          <xdr:rowOff>28575</xdr:rowOff>
        </xdr:to>
        <xdr:sp macro="" textlink="">
          <xdr:nvSpPr>
            <xdr:cNvPr id="7805" name="Check Box 637" hidden="1">
              <a:extLst>
                <a:ext uri="{63B3BB69-23CF-44E3-9099-C40C66FF867C}">
                  <a14:compatExt spid="_x0000_s7805"/>
                </a:ext>
                <a:ext uri="{FF2B5EF4-FFF2-40B4-BE49-F238E27FC236}">
                  <a16:creationId xmlns:a16="http://schemas.microsoft.com/office/drawing/2014/main" id="{00000000-0008-0000-0500-00007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147</xdr:row>
          <xdr:rowOff>190500</xdr:rowOff>
        </xdr:from>
        <xdr:to>
          <xdr:col>9</xdr:col>
          <xdr:colOff>466725</xdr:colOff>
          <xdr:row>380</xdr:row>
          <xdr:rowOff>38100</xdr:rowOff>
        </xdr:to>
        <xdr:sp macro="" textlink="">
          <xdr:nvSpPr>
            <xdr:cNvPr id="7806" name="Check Box 638" hidden="1">
              <a:extLst>
                <a:ext uri="{63B3BB69-23CF-44E3-9099-C40C66FF867C}">
                  <a14:compatExt spid="_x0000_s7806"/>
                </a:ext>
                <a:ext uri="{FF2B5EF4-FFF2-40B4-BE49-F238E27FC236}">
                  <a16:creationId xmlns:a16="http://schemas.microsoft.com/office/drawing/2014/main" id="{00000000-0008-0000-0500-00007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143</xdr:row>
          <xdr:rowOff>200025</xdr:rowOff>
        </xdr:from>
        <xdr:to>
          <xdr:col>9</xdr:col>
          <xdr:colOff>466725</xdr:colOff>
          <xdr:row>380</xdr:row>
          <xdr:rowOff>28575</xdr:rowOff>
        </xdr:to>
        <xdr:sp macro="" textlink="">
          <xdr:nvSpPr>
            <xdr:cNvPr id="7807" name="Check Box 639" hidden="1">
              <a:extLst>
                <a:ext uri="{63B3BB69-23CF-44E3-9099-C40C66FF867C}">
                  <a14:compatExt spid="_x0000_s7807"/>
                </a:ext>
                <a:ext uri="{FF2B5EF4-FFF2-40B4-BE49-F238E27FC236}">
                  <a16:creationId xmlns:a16="http://schemas.microsoft.com/office/drawing/2014/main" id="{00000000-0008-0000-0500-00007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144</xdr:row>
          <xdr:rowOff>190500</xdr:rowOff>
        </xdr:from>
        <xdr:to>
          <xdr:col>9</xdr:col>
          <xdr:colOff>466725</xdr:colOff>
          <xdr:row>380</xdr:row>
          <xdr:rowOff>38100</xdr:rowOff>
        </xdr:to>
        <xdr:sp macro="" textlink="">
          <xdr:nvSpPr>
            <xdr:cNvPr id="7808" name="Check Box 640" hidden="1">
              <a:extLst>
                <a:ext uri="{63B3BB69-23CF-44E3-9099-C40C66FF867C}">
                  <a14:compatExt spid="_x0000_s7808"/>
                </a:ext>
                <a:ext uri="{FF2B5EF4-FFF2-40B4-BE49-F238E27FC236}">
                  <a16:creationId xmlns:a16="http://schemas.microsoft.com/office/drawing/2014/main" id="{00000000-0008-0000-0500-00008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146</xdr:row>
          <xdr:rowOff>19050</xdr:rowOff>
        </xdr:from>
        <xdr:to>
          <xdr:col>10</xdr:col>
          <xdr:colOff>0</xdr:colOff>
          <xdr:row>380</xdr:row>
          <xdr:rowOff>28575</xdr:rowOff>
        </xdr:to>
        <xdr:sp macro="" textlink="">
          <xdr:nvSpPr>
            <xdr:cNvPr id="7809" name="Check Box 641" hidden="1">
              <a:extLst>
                <a:ext uri="{63B3BB69-23CF-44E3-9099-C40C66FF867C}">
                  <a14:compatExt spid="_x0000_s7809"/>
                </a:ext>
                <a:ext uri="{FF2B5EF4-FFF2-40B4-BE49-F238E27FC236}">
                  <a16:creationId xmlns:a16="http://schemas.microsoft.com/office/drawing/2014/main" id="{00000000-0008-0000-0500-00008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140</xdr:row>
          <xdr:rowOff>200025</xdr:rowOff>
        </xdr:from>
        <xdr:to>
          <xdr:col>9</xdr:col>
          <xdr:colOff>466725</xdr:colOff>
          <xdr:row>380</xdr:row>
          <xdr:rowOff>28575</xdr:rowOff>
        </xdr:to>
        <xdr:sp macro="" textlink="">
          <xdr:nvSpPr>
            <xdr:cNvPr id="7810" name="Check Box 642" hidden="1">
              <a:extLst>
                <a:ext uri="{63B3BB69-23CF-44E3-9099-C40C66FF867C}">
                  <a14:compatExt spid="_x0000_s7810"/>
                </a:ext>
                <a:ext uri="{FF2B5EF4-FFF2-40B4-BE49-F238E27FC236}">
                  <a16:creationId xmlns:a16="http://schemas.microsoft.com/office/drawing/2014/main" id="{00000000-0008-0000-0500-00008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141</xdr:row>
          <xdr:rowOff>190500</xdr:rowOff>
        </xdr:from>
        <xdr:to>
          <xdr:col>9</xdr:col>
          <xdr:colOff>466725</xdr:colOff>
          <xdr:row>380</xdr:row>
          <xdr:rowOff>38100</xdr:rowOff>
        </xdr:to>
        <xdr:sp macro="" textlink="">
          <xdr:nvSpPr>
            <xdr:cNvPr id="7811" name="Check Box 643" hidden="1">
              <a:extLst>
                <a:ext uri="{63B3BB69-23CF-44E3-9099-C40C66FF867C}">
                  <a14:compatExt spid="_x0000_s7811"/>
                </a:ext>
                <a:ext uri="{FF2B5EF4-FFF2-40B4-BE49-F238E27FC236}">
                  <a16:creationId xmlns:a16="http://schemas.microsoft.com/office/drawing/2014/main" id="{00000000-0008-0000-0500-00008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143</xdr:row>
          <xdr:rowOff>9525</xdr:rowOff>
        </xdr:from>
        <xdr:to>
          <xdr:col>10</xdr:col>
          <xdr:colOff>0</xdr:colOff>
          <xdr:row>380</xdr:row>
          <xdr:rowOff>28575</xdr:rowOff>
        </xdr:to>
        <xdr:sp macro="" textlink="">
          <xdr:nvSpPr>
            <xdr:cNvPr id="7812" name="Check Box 644" hidden="1">
              <a:extLst>
                <a:ext uri="{63B3BB69-23CF-44E3-9099-C40C66FF867C}">
                  <a14:compatExt spid="_x0000_s7812"/>
                </a:ext>
                <a:ext uri="{FF2B5EF4-FFF2-40B4-BE49-F238E27FC236}">
                  <a16:creationId xmlns:a16="http://schemas.microsoft.com/office/drawing/2014/main" id="{00000000-0008-0000-0500-00008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148</xdr:row>
          <xdr:rowOff>200025</xdr:rowOff>
        </xdr:from>
        <xdr:to>
          <xdr:col>9</xdr:col>
          <xdr:colOff>466725</xdr:colOff>
          <xdr:row>380</xdr:row>
          <xdr:rowOff>38100</xdr:rowOff>
        </xdr:to>
        <xdr:sp macro="" textlink="">
          <xdr:nvSpPr>
            <xdr:cNvPr id="7813" name="Check Box 645" hidden="1">
              <a:extLst>
                <a:ext uri="{63B3BB69-23CF-44E3-9099-C40C66FF867C}">
                  <a14:compatExt spid="_x0000_s7813"/>
                </a:ext>
                <a:ext uri="{FF2B5EF4-FFF2-40B4-BE49-F238E27FC236}">
                  <a16:creationId xmlns:a16="http://schemas.microsoft.com/office/drawing/2014/main" id="{00000000-0008-0000-0500-00008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157</xdr:row>
          <xdr:rowOff>190500</xdr:rowOff>
        </xdr:from>
        <xdr:to>
          <xdr:col>9</xdr:col>
          <xdr:colOff>466725</xdr:colOff>
          <xdr:row>380</xdr:row>
          <xdr:rowOff>38100</xdr:rowOff>
        </xdr:to>
        <xdr:sp macro="" textlink="">
          <xdr:nvSpPr>
            <xdr:cNvPr id="7814" name="Check Box 646" hidden="1">
              <a:extLst>
                <a:ext uri="{63B3BB69-23CF-44E3-9099-C40C66FF867C}">
                  <a14:compatExt spid="_x0000_s7814"/>
                </a:ext>
                <a:ext uri="{FF2B5EF4-FFF2-40B4-BE49-F238E27FC236}">
                  <a16:creationId xmlns:a16="http://schemas.microsoft.com/office/drawing/2014/main" id="{00000000-0008-0000-0500-00008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200</xdr:row>
          <xdr:rowOff>19050</xdr:rowOff>
        </xdr:from>
        <xdr:to>
          <xdr:col>9</xdr:col>
          <xdr:colOff>466725</xdr:colOff>
          <xdr:row>380</xdr:row>
          <xdr:rowOff>19050</xdr:rowOff>
        </xdr:to>
        <xdr:sp macro="" textlink="">
          <xdr:nvSpPr>
            <xdr:cNvPr id="7815" name="Check Box 647" hidden="1">
              <a:extLst>
                <a:ext uri="{63B3BB69-23CF-44E3-9099-C40C66FF867C}">
                  <a14:compatExt spid="_x0000_s7815"/>
                </a:ext>
                <a:ext uri="{FF2B5EF4-FFF2-40B4-BE49-F238E27FC236}">
                  <a16:creationId xmlns:a16="http://schemas.microsoft.com/office/drawing/2014/main" id="{00000000-0008-0000-0500-00008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257</xdr:row>
          <xdr:rowOff>200025</xdr:rowOff>
        </xdr:from>
        <xdr:to>
          <xdr:col>9</xdr:col>
          <xdr:colOff>466725</xdr:colOff>
          <xdr:row>380</xdr:row>
          <xdr:rowOff>28575</xdr:rowOff>
        </xdr:to>
        <xdr:sp macro="" textlink="">
          <xdr:nvSpPr>
            <xdr:cNvPr id="7816" name="Check Box 648" hidden="1">
              <a:extLst>
                <a:ext uri="{63B3BB69-23CF-44E3-9099-C40C66FF867C}">
                  <a14:compatExt spid="_x0000_s7816"/>
                </a:ext>
                <a:ext uri="{FF2B5EF4-FFF2-40B4-BE49-F238E27FC236}">
                  <a16:creationId xmlns:a16="http://schemas.microsoft.com/office/drawing/2014/main" id="{00000000-0008-0000-0500-00008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258</xdr:row>
          <xdr:rowOff>190500</xdr:rowOff>
        </xdr:from>
        <xdr:to>
          <xdr:col>9</xdr:col>
          <xdr:colOff>457200</xdr:colOff>
          <xdr:row>380</xdr:row>
          <xdr:rowOff>38100</xdr:rowOff>
        </xdr:to>
        <xdr:sp macro="" textlink="">
          <xdr:nvSpPr>
            <xdr:cNvPr id="7817" name="Check Box 649" hidden="1">
              <a:extLst>
                <a:ext uri="{63B3BB69-23CF-44E3-9099-C40C66FF867C}">
                  <a14:compatExt spid="_x0000_s7817"/>
                </a:ext>
                <a:ext uri="{FF2B5EF4-FFF2-40B4-BE49-F238E27FC236}">
                  <a16:creationId xmlns:a16="http://schemas.microsoft.com/office/drawing/2014/main" id="{00000000-0008-0000-0500-00008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259</xdr:row>
          <xdr:rowOff>200025</xdr:rowOff>
        </xdr:from>
        <xdr:to>
          <xdr:col>9</xdr:col>
          <xdr:colOff>447675</xdr:colOff>
          <xdr:row>380</xdr:row>
          <xdr:rowOff>28575</xdr:rowOff>
        </xdr:to>
        <xdr:sp macro="" textlink="">
          <xdr:nvSpPr>
            <xdr:cNvPr id="7818" name="Check Box 650" hidden="1">
              <a:extLst>
                <a:ext uri="{63B3BB69-23CF-44E3-9099-C40C66FF867C}">
                  <a14:compatExt spid="_x0000_s7818"/>
                </a:ext>
                <a:ext uri="{FF2B5EF4-FFF2-40B4-BE49-F238E27FC236}">
                  <a16:creationId xmlns:a16="http://schemas.microsoft.com/office/drawing/2014/main" id="{00000000-0008-0000-0500-00008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254</xdr:row>
          <xdr:rowOff>200025</xdr:rowOff>
        </xdr:from>
        <xdr:to>
          <xdr:col>9</xdr:col>
          <xdr:colOff>466725</xdr:colOff>
          <xdr:row>380</xdr:row>
          <xdr:rowOff>28575</xdr:rowOff>
        </xdr:to>
        <xdr:sp macro="" textlink="">
          <xdr:nvSpPr>
            <xdr:cNvPr id="7819" name="Check Box 651" hidden="1">
              <a:extLst>
                <a:ext uri="{63B3BB69-23CF-44E3-9099-C40C66FF867C}">
                  <a14:compatExt spid="_x0000_s7819"/>
                </a:ext>
                <a:ext uri="{FF2B5EF4-FFF2-40B4-BE49-F238E27FC236}">
                  <a16:creationId xmlns:a16="http://schemas.microsoft.com/office/drawing/2014/main" id="{00000000-0008-0000-0500-00008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255</xdr:row>
          <xdr:rowOff>190500</xdr:rowOff>
        </xdr:from>
        <xdr:to>
          <xdr:col>9</xdr:col>
          <xdr:colOff>466725</xdr:colOff>
          <xdr:row>380</xdr:row>
          <xdr:rowOff>38100</xdr:rowOff>
        </xdr:to>
        <xdr:sp macro="" textlink="">
          <xdr:nvSpPr>
            <xdr:cNvPr id="7820" name="Check Box 652" hidden="1">
              <a:extLst>
                <a:ext uri="{63B3BB69-23CF-44E3-9099-C40C66FF867C}">
                  <a14:compatExt spid="_x0000_s7820"/>
                </a:ext>
                <a:ext uri="{FF2B5EF4-FFF2-40B4-BE49-F238E27FC236}">
                  <a16:creationId xmlns:a16="http://schemas.microsoft.com/office/drawing/2014/main" id="{00000000-0008-0000-0500-00008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257</xdr:row>
          <xdr:rowOff>9525</xdr:rowOff>
        </xdr:from>
        <xdr:to>
          <xdr:col>10</xdr:col>
          <xdr:colOff>0</xdr:colOff>
          <xdr:row>380</xdr:row>
          <xdr:rowOff>28575</xdr:rowOff>
        </xdr:to>
        <xdr:sp macro="" textlink="">
          <xdr:nvSpPr>
            <xdr:cNvPr id="7821" name="Check Box 653" hidden="1">
              <a:extLst>
                <a:ext uri="{63B3BB69-23CF-44E3-9099-C40C66FF867C}">
                  <a14:compatExt spid="_x0000_s7821"/>
                </a:ext>
                <a:ext uri="{FF2B5EF4-FFF2-40B4-BE49-F238E27FC236}">
                  <a16:creationId xmlns:a16="http://schemas.microsoft.com/office/drawing/2014/main" id="{00000000-0008-0000-0500-00008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251</xdr:row>
          <xdr:rowOff>200025</xdr:rowOff>
        </xdr:from>
        <xdr:to>
          <xdr:col>9</xdr:col>
          <xdr:colOff>466725</xdr:colOff>
          <xdr:row>380</xdr:row>
          <xdr:rowOff>28575</xdr:rowOff>
        </xdr:to>
        <xdr:sp macro="" textlink="">
          <xdr:nvSpPr>
            <xdr:cNvPr id="7822" name="Check Box 654" hidden="1">
              <a:extLst>
                <a:ext uri="{63B3BB69-23CF-44E3-9099-C40C66FF867C}">
                  <a14:compatExt spid="_x0000_s7822"/>
                </a:ext>
                <a:ext uri="{FF2B5EF4-FFF2-40B4-BE49-F238E27FC236}">
                  <a16:creationId xmlns:a16="http://schemas.microsoft.com/office/drawing/2014/main" id="{00000000-0008-0000-0500-00008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252</xdr:row>
          <xdr:rowOff>190500</xdr:rowOff>
        </xdr:from>
        <xdr:to>
          <xdr:col>9</xdr:col>
          <xdr:colOff>457200</xdr:colOff>
          <xdr:row>380</xdr:row>
          <xdr:rowOff>38100</xdr:rowOff>
        </xdr:to>
        <xdr:sp macro="" textlink="">
          <xdr:nvSpPr>
            <xdr:cNvPr id="7823" name="Check Box 655" hidden="1">
              <a:extLst>
                <a:ext uri="{63B3BB69-23CF-44E3-9099-C40C66FF867C}">
                  <a14:compatExt spid="_x0000_s7823"/>
                </a:ext>
                <a:ext uri="{FF2B5EF4-FFF2-40B4-BE49-F238E27FC236}">
                  <a16:creationId xmlns:a16="http://schemas.microsoft.com/office/drawing/2014/main" id="{00000000-0008-0000-0500-00008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253</xdr:row>
          <xdr:rowOff>200025</xdr:rowOff>
        </xdr:from>
        <xdr:to>
          <xdr:col>9</xdr:col>
          <xdr:colOff>447675</xdr:colOff>
          <xdr:row>380</xdr:row>
          <xdr:rowOff>28575</xdr:rowOff>
        </xdr:to>
        <xdr:sp macro="" textlink="">
          <xdr:nvSpPr>
            <xdr:cNvPr id="7824" name="Check Box 656" hidden="1">
              <a:extLst>
                <a:ext uri="{63B3BB69-23CF-44E3-9099-C40C66FF867C}">
                  <a14:compatExt spid="_x0000_s7824"/>
                </a:ext>
                <a:ext uri="{FF2B5EF4-FFF2-40B4-BE49-F238E27FC236}">
                  <a16:creationId xmlns:a16="http://schemas.microsoft.com/office/drawing/2014/main" id="{00000000-0008-0000-0500-00009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248</xdr:row>
          <xdr:rowOff>200025</xdr:rowOff>
        </xdr:from>
        <xdr:to>
          <xdr:col>9</xdr:col>
          <xdr:colOff>466725</xdr:colOff>
          <xdr:row>380</xdr:row>
          <xdr:rowOff>28575</xdr:rowOff>
        </xdr:to>
        <xdr:sp macro="" textlink="">
          <xdr:nvSpPr>
            <xdr:cNvPr id="7825" name="Check Box 657" hidden="1">
              <a:extLst>
                <a:ext uri="{63B3BB69-23CF-44E3-9099-C40C66FF867C}">
                  <a14:compatExt spid="_x0000_s7825"/>
                </a:ext>
                <a:ext uri="{FF2B5EF4-FFF2-40B4-BE49-F238E27FC236}">
                  <a16:creationId xmlns:a16="http://schemas.microsoft.com/office/drawing/2014/main" id="{00000000-0008-0000-0500-00009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249</xdr:row>
          <xdr:rowOff>190500</xdr:rowOff>
        </xdr:from>
        <xdr:to>
          <xdr:col>9</xdr:col>
          <xdr:colOff>466725</xdr:colOff>
          <xdr:row>380</xdr:row>
          <xdr:rowOff>38100</xdr:rowOff>
        </xdr:to>
        <xdr:sp macro="" textlink="">
          <xdr:nvSpPr>
            <xdr:cNvPr id="7826" name="Check Box 658" hidden="1">
              <a:extLst>
                <a:ext uri="{63B3BB69-23CF-44E3-9099-C40C66FF867C}">
                  <a14:compatExt spid="_x0000_s7826"/>
                </a:ext>
                <a:ext uri="{FF2B5EF4-FFF2-40B4-BE49-F238E27FC236}">
                  <a16:creationId xmlns:a16="http://schemas.microsoft.com/office/drawing/2014/main" id="{00000000-0008-0000-0500-00009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251</xdr:row>
          <xdr:rowOff>9525</xdr:rowOff>
        </xdr:from>
        <xdr:to>
          <xdr:col>10</xdr:col>
          <xdr:colOff>0</xdr:colOff>
          <xdr:row>380</xdr:row>
          <xdr:rowOff>28575</xdr:rowOff>
        </xdr:to>
        <xdr:sp macro="" textlink="">
          <xdr:nvSpPr>
            <xdr:cNvPr id="7827" name="Check Box 659" hidden="1">
              <a:extLst>
                <a:ext uri="{63B3BB69-23CF-44E3-9099-C40C66FF867C}">
                  <a14:compatExt spid="_x0000_s7827"/>
                </a:ext>
                <a:ext uri="{FF2B5EF4-FFF2-40B4-BE49-F238E27FC236}">
                  <a16:creationId xmlns:a16="http://schemas.microsoft.com/office/drawing/2014/main" id="{00000000-0008-0000-0500-00009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245</xdr:row>
          <xdr:rowOff>200025</xdr:rowOff>
        </xdr:from>
        <xdr:to>
          <xdr:col>9</xdr:col>
          <xdr:colOff>466725</xdr:colOff>
          <xdr:row>380</xdr:row>
          <xdr:rowOff>28575</xdr:rowOff>
        </xdr:to>
        <xdr:sp macro="" textlink="">
          <xdr:nvSpPr>
            <xdr:cNvPr id="7828" name="Check Box 660" hidden="1">
              <a:extLst>
                <a:ext uri="{63B3BB69-23CF-44E3-9099-C40C66FF867C}">
                  <a14:compatExt spid="_x0000_s7828"/>
                </a:ext>
                <a:ext uri="{FF2B5EF4-FFF2-40B4-BE49-F238E27FC236}">
                  <a16:creationId xmlns:a16="http://schemas.microsoft.com/office/drawing/2014/main" id="{00000000-0008-0000-0500-00009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246</xdr:row>
          <xdr:rowOff>190500</xdr:rowOff>
        </xdr:from>
        <xdr:to>
          <xdr:col>9</xdr:col>
          <xdr:colOff>466725</xdr:colOff>
          <xdr:row>380</xdr:row>
          <xdr:rowOff>38100</xdr:rowOff>
        </xdr:to>
        <xdr:sp macro="" textlink="">
          <xdr:nvSpPr>
            <xdr:cNvPr id="7829" name="Check Box 661" hidden="1">
              <a:extLst>
                <a:ext uri="{63B3BB69-23CF-44E3-9099-C40C66FF867C}">
                  <a14:compatExt spid="_x0000_s7829"/>
                </a:ext>
                <a:ext uri="{FF2B5EF4-FFF2-40B4-BE49-F238E27FC236}">
                  <a16:creationId xmlns:a16="http://schemas.microsoft.com/office/drawing/2014/main" id="{00000000-0008-0000-0500-00009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242</xdr:row>
          <xdr:rowOff>200025</xdr:rowOff>
        </xdr:from>
        <xdr:to>
          <xdr:col>9</xdr:col>
          <xdr:colOff>466725</xdr:colOff>
          <xdr:row>380</xdr:row>
          <xdr:rowOff>28575</xdr:rowOff>
        </xdr:to>
        <xdr:sp macro="" textlink="">
          <xdr:nvSpPr>
            <xdr:cNvPr id="7830" name="Check Box 662" hidden="1">
              <a:extLst>
                <a:ext uri="{63B3BB69-23CF-44E3-9099-C40C66FF867C}">
                  <a14:compatExt spid="_x0000_s7830"/>
                </a:ext>
                <a:ext uri="{FF2B5EF4-FFF2-40B4-BE49-F238E27FC236}">
                  <a16:creationId xmlns:a16="http://schemas.microsoft.com/office/drawing/2014/main" id="{00000000-0008-0000-0500-00009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243</xdr:row>
          <xdr:rowOff>190500</xdr:rowOff>
        </xdr:from>
        <xdr:to>
          <xdr:col>9</xdr:col>
          <xdr:colOff>457200</xdr:colOff>
          <xdr:row>380</xdr:row>
          <xdr:rowOff>38100</xdr:rowOff>
        </xdr:to>
        <xdr:sp macro="" textlink="">
          <xdr:nvSpPr>
            <xdr:cNvPr id="7831" name="Check Box 663" hidden="1">
              <a:extLst>
                <a:ext uri="{63B3BB69-23CF-44E3-9099-C40C66FF867C}">
                  <a14:compatExt spid="_x0000_s7831"/>
                </a:ext>
                <a:ext uri="{FF2B5EF4-FFF2-40B4-BE49-F238E27FC236}">
                  <a16:creationId xmlns:a16="http://schemas.microsoft.com/office/drawing/2014/main" id="{00000000-0008-0000-0500-00009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244</xdr:row>
          <xdr:rowOff>200025</xdr:rowOff>
        </xdr:from>
        <xdr:to>
          <xdr:col>9</xdr:col>
          <xdr:colOff>447675</xdr:colOff>
          <xdr:row>380</xdr:row>
          <xdr:rowOff>28575</xdr:rowOff>
        </xdr:to>
        <xdr:sp macro="" textlink="">
          <xdr:nvSpPr>
            <xdr:cNvPr id="7832" name="Check Box 664" hidden="1">
              <a:extLst>
                <a:ext uri="{63B3BB69-23CF-44E3-9099-C40C66FF867C}">
                  <a14:compatExt spid="_x0000_s7832"/>
                </a:ext>
                <a:ext uri="{FF2B5EF4-FFF2-40B4-BE49-F238E27FC236}">
                  <a16:creationId xmlns:a16="http://schemas.microsoft.com/office/drawing/2014/main" id="{00000000-0008-0000-0500-00009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239</xdr:row>
          <xdr:rowOff>200025</xdr:rowOff>
        </xdr:from>
        <xdr:to>
          <xdr:col>9</xdr:col>
          <xdr:colOff>466725</xdr:colOff>
          <xdr:row>380</xdr:row>
          <xdr:rowOff>28575</xdr:rowOff>
        </xdr:to>
        <xdr:sp macro="" textlink="">
          <xdr:nvSpPr>
            <xdr:cNvPr id="7833" name="Check Box 665" hidden="1">
              <a:extLst>
                <a:ext uri="{63B3BB69-23CF-44E3-9099-C40C66FF867C}">
                  <a14:compatExt spid="_x0000_s7833"/>
                </a:ext>
                <a:ext uri="{FF2B5EF4-FFF2-40B4-BE49-F238E27FC236}">
                  <a16:creationId xmlns:a16="http://schemas.microsoft.com/office/drawing/2014/main" id="{00000000-0008-0000-0500-00009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240</xdr:row>
          <xdr:rowOff>190500</xdr:rowOff>
        </xdr:from>
        <xdr:to>
          <xdr:col>9</xdr:col>
          <xdr:colOff>466725</xdr:colOff>
          <xdr:row>380</xdr:row>
          <xdr:rowOff>38100</xdr:rowOff>
        </xdr:to>
        <xdr:sp macro="" textlink="">
          <xdr:nvSpPr>
            <xdr:cNvPr id="7834" name="Check Box 666" hidden="1">
              <a:extLst>
                <a:ext uri="{63B3BB69-23CF-44E3-9099-C40C66FF867C}">
                  <a14:compatExt spid="_x0000_s7834"/>
                </a:ext>
                <a:ext uri="{FF2B5EF4-FFF2-40B4-BE49-F238E27FC236}">
                  <a16:creationId xmlns:a16="http://schemas.microsoft.com/office/drawing/2014/main" id="{00000000-0008-0000-0500-00009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242</xdr:row>
          <xdr:rowOff>9525</xdr:rowOff>
        </xdr:from>
        <xdr:to>
          <xdr:col>10</xdr:col>
          <xdr:colOff>0</xdr:colOff>
          <xdr:row>380</xdr:row>
          <xdr:rowOff>28575</xdr:rowOff>
        </xdr:to>
        <xdr:sp macro="" textlink="">
          <xdr:nvSpPr>
            <xdr:cNvPr id="7835" name="Check Box 667" hidden="1">
              <a:extLst>
                <a:ext uri="{63B3BB69-23CF-44E3-9099-C40C66FF867C}">
                  <a14:compatExt spid="_x0000_s7835"/>
                </a:ext>
                <a:ext uri="{FF2B5EF4-FFF2-40B4-BE49-F238E27FC236}">
                  <a16:creationId xmlns:a16="http://schemas.microsoft.com/office/drawing/2014/main" id="{00000000-0008-0000-0500-00009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236</xdr:row>
          <xdr:rowOff>200025</xdr:rowOff>
        </xdr:from>
        <xdr:to>
          <xdr:col>9</xdr:col>
          <xdr:colOff>466725</xdr:colOff>
          <xdr:row>380</xdr:row>
          <xdr:rowOff>28575</xdr:rowOff>
        </xdr:to>
        <xdr:sp macro="" textlink="">
          <xdr:nvSpPr>
            <xdr:cNvPr id="7836" name="Check Box 668" hidden="1">
              <a:extLst>
                <a:ext uri="{63B3BB69-23CF-44E3-9099-C40C66FF867C}">
                  <a14:compatExt spid="_x0000_s7836"/>
                </a:ext>
                <a:ext uri="{FF2B5EF4-FFF2-40B4-BE49-F238E27FC236}">
                  <a16:creationId xmlns:a16="http://schemas.microsoft.com/office/drawing/2014/main" id="{00000000-0008-0000-0500-00009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237</xdr:row>
          <xdr:rowOff>190500</xdr:rowOff>
        </xdr:from>
        <xdr:to>
          <xdr:col>9</xdr:col>
          <xdr:colOff>466725</xdr:colOff>
          <xdr:row>380</xdr:row>
          <xdr:rowOff>38100</xdr:rowOff>
        </xdr:to>
        <xdr:sp macro="" textlink="">
          <xdr:nvSpPr>
            <xdr:cNvPr id="7837" name="Check Box 669" hidden="1">
              <a:extLst>
                <a:ext uri="{63B3BB69-23CF-44E3-9099-C40C66FF867C}">
                  <a14:compatExt spid="_x0000_s7837"/>
                </a:ext>
                <a:ext uri="{FF2B5EF4-FFF2-40B4-BE49-F238E27FC236}">
                  <a16:creationId xmlns:a16="http://schemas.microsoft.com/office/drawing/2014/main" id="{00000000-0008-0000-0500-00009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233</xdr:row>
          <xdr:rowOff>200025</xdr:rowOff>
        </xdr:from>
        <xdr:to>
          <xdr:col>9</xdr:col>
          <xdr:colOff>466725</xdr:colOff>
          <xdr:row>380</xdr:row>
          <xdr:rowOff>28575</xdr:rowOff>
        </xdr:to>
        <xdr:sp macro="" textlink="">
          <xdr:nvSpPr>
            <xdr:cNvPr id="7838" name="Check Box 670" hidden="1">
              <a:extLst>
                <a:ext uri="{63B3BB69-23CF-44E3-9099-C40C66FF867C}">
                  <a14:compatExt spid="_x0000_s7838"/>
                </a:ext>
                <a:ext uri="{FF2B5EF4-FFF2-40B4-BE49-F238E27FC236}">
                  <a16:creationId xmlns:a16="http://schemas.microsoft.com/office/drawing/2014/main" id="{00000000-0008-0000-0500-00009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234</xdr:row>
          <xdr:rowOff>190500</xdr:rowOff>
        </xdr:from>
        <xdr:to>
          <xdr:col>9</xdr:col>
          <xdr:colOff>466725</xdr:colOff>
          <xdr:row>380</xdr:row>
          <xdr:rowOff>38100</xdr:rowOff>
        </xdr:to>
        <xdr:sp macro="" textlink="">
          <xdr:nvSpPr>
            <xdr:cNvPr id="7839" name="Check Box 671" hidden="1">
              <a:extLst>
                <a:ext uri="{63B3BB69-23CF-44E3-9099-C40C66FF867C}">
                  <a14:compatExt spid="_x0000_s7839"/>
                </a:ext>
                <a:ext uri="{FF2B5EF4-FFF2-40B4-BE49-F238E27FC236}">
                  <a16:creationId xmlns:a16="http://schemas.microsoft.com/office/drawing/2014/main" id="{00000000-0008-0000-0500-00009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236</xdr:row>
          <xdr:rowOff>19050</xdr:rowOff>
        </xdr:from>
        <xdr:to>
          <xdr:col>10</xdr:col>
          <xdr:colOff>0</xdr:colOff>
          <xdr:row>380</xdr:row>
          <xdr:rowOff>28575</xdr:rowOff>
        </xdr:to>
        <xdr:sp macro="" textlink="">
          <xdr:nvSpPr>
            <xdr:cNvPr id="7840" name="Check Box 672" hidden="1">
              <a:extLst>
                <a:ext uri="{63B3BB69-23CF-44E3-9099-C40C66FF867C}">
                  <a14:compatExt spid="_x0000_s7840"/>
                </a:ext>
                <a:ext uri="{FF2B5EF4-FFF2-40B4-BE49-F238E27FC236}">
                  <a16:creationId xmlns:a16="http://schemas.microsoft.com/office/drawing/2014/main" id="{00000000-0008-0000-0500-0000A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230</xdr:row>
          <xdr:rowOff>200025</xdr:rowOff>
        </xdr:from>
        <xdr:to>
          <xdr:col>9</xdr:col>
          <xdr:colOff>466725</xdr:colOff>
          <xdr:row>380</xdr:row>
          <xdr:rowOff>28575</xdr:rowOff>
        </xdr:to>
        <xdr:sp macro="" textlink="">
          <xdr:nvSpPr>
            <xdr:cNvPr id="7841" name="Check Box 673" hidden="1">
              <a:extLst>
                <a:ext uri="{63B3BB69-23CF-44E3-9099-C40C66FF867C}">
                  <a14:compatExt spid="_x0000_s7841"/>
                </a:ext>
                <a:ext uri="{FF2B5EF4-FFF2-40B4-BE49-F238E27FC236}">
                  <a16:creationId xmlns:a16="http://schemas.microsoft.com/office/drawing/2014/main" id="{00000000-0008-0000-0500-0000A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231</xdr:row>
          <xdr:rowOff>190500</xdr:rowOff>
        </xdr:from>
        <xdr:to>
          <xdr:col>9</xdr:col>
          <xdr:colOff>466725</xdr:colOff>
          <xdr:row>380</xdr:row>
          <xdr:rowOff>38100</xdr:rowOff>
        </xdr:to>
        <xdr:sp macro="" textlink="">
          <xdr:nvSpPr>
            <xdr:cNvPr id="7842" name="Check Box 674" hidden="1">
              <a:extLst>
                <a:ext uri="{63B3BB69-23CF-44E3-9099-C40C66FF867C}">
                  <a14:compatExt spid="_x0000_s7842"/>
                </a:ext>
                <a:ext uri="{FF2B5EF4-FFF2-40B4-BE49-F238E27FC236}">
                  <a16:creationId xmlns:a16="http://schemas.microsoft.com/office/drawing/2014/main" id="{00000000-0008-0000-0500-0000A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233</xdr:row>
          <xdr:rowOff>9525</xdr:rowOff>
        </xdr:from>
        <xdr:to>
          <xdr:col>10</xdr:col>
          <xdr:colOff>0</xdr:colOff>
          <xdr:row>380</xdr:row>
          <xdr:rowOff>28575</xdr:rowOff>
        </xdr:to>
        <xdr:sp macro="" textlink="">
          <xdr:nvSpPr>
            <xdr:cNvPr id="7843" name="Check Box 675" hidden="1">
              <a:extLst>
                <a:ext uri="{63B3BB69-23CF-44E3-9099-C40C66FF867C}">
                  <a14:compatExt spid="_x0000_s7843"/>
                </a:ext>
                <a:ext uri="{FF2B5EF4-FFF2-40B4-BE49-F238E27FC236}">
                  <a16:creationId xmlns:a16="http://schemas.microsoft.com/office/drawing/2014/main" id="{00000000-0008-0000-0500-0000A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238</xdr:row>
          <xdr:rowOff>200025</xdr:rowOff>
        </xdr:from>
        <xdr:to>
          <xdr:col>9</xdr:col>
          <xdr:colOff>466725</xdr:colOff>
          <xdr:row>380</xdr:row>
          <xdr:rowOff>38100</xdr:rowOff>
        </xdr:to>
        <xdr:sp macro="" textlink="">
          <xdr:nvSpPr>
            <xdr:cNvPr id="7844" name="Check Box 676" hidden="1">
              <a:extLst>
                <a:ext uri="{63B3BB69-23CF-44E3-9099-C40C66FF867C}">
                  <a14:compatExt spid="_x0000_s7844"/>
                </a:ext>
                <a:ext uri="{FF2B5EF4-FFF2-40B4-BE49-F238E27FC236}">
                  <a16:creationId xmlns:a16="http://schemas.microsoft.com/office/drawing/2014/main" id="{00000000-0008-0000-0500-0000A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248</xdr:row>
          <xdr:rowOff>19050</xdr:rowOff>
        </xdr:from>
        <xdr:to>
          <xdr:col>9</xdr:col>
          <xdr:colOff>466725</xdr:colOff>
          <xdr:row>380</xdr:row>
          <xdr:rowOff>38100</xdr:rowOff>
        </xdr:to>
        <xdr:sp macro="" textlink="">
          <xdr:nvSpPr>
            <xdr:cNvPr id="7845" name="Check Box 677" hidden="1">
              <a:extLst>
                <a:ext uri="{63B3BB69-23CF-44E3-9099-C40C66FF867C}">
                  <a14:compatExt spid="_x0000_s7845"/>
                </a:ext>
                <a:ext uri="{FF2B5EF4-FFF2-40B4-BE49-F238E27FC236}">
                  <a16:creationId xmlns:a16="http://schemas.microsoft.com/office/drawing/2014/main" id="{00000000-0008-0000-0500-0000A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227</xdr:row>
          <xdr:rowOff>200025</xdr:rowOff>
        </xdr:from>
        <xdr:to>
          <xdr:col>9</xdr:col>
          <xdr:colOff>466725</xdr:colOff>
          <xdr:row>380</xdr:row>
          <xdr:rowOff>28575</xdr:rowOff>
        </xdr:to>
        <xdr:sp macro="" textlink="">
          <xdr:nvSpPr>
            <xdr:cNvPr id="7846" name="Check Box 678" hidden="1">
              <a:extLst>
                <a:ext uri="{63B3BB69-23CF-44E3-9099-C40C66FF867C}">
                  <a14:compatExt spid="_x0000_s7846"/>
                </a:ext>
                <a:ext uri="{FF2B5EF4-FFF2-40B4-BE49-F238E27FC236}">
                  <a16:creationId xmlns:a16="http://schemas.microsoft.com/office/drawing/2014/main" id="{00000000-0008-0000-0500-0000A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228</xdr:row>
          <xdr:rowOff>190500</xdr:rowOff>
        </xdr:from>
        <xdr:to>
          <xdr:col>9</xdr:col>
          <xdr:colOff>457200</xdr:colOff>
          <xdr:row>380</xdr:row>
          <xdr:rowOff>38100</xdr:rowOff>
        </xdr:to>
        <xdr:sp macro="" textlink="">
          <xdr:nvSpPr>
            <xdr:cNvPr id="7847" name="Check Box 679" hidden="1">
              <a:extLst>
                <a:ext uri="{63B3BB69-23CF-44E3-9099-C40C66FF867C}">
                  <a14:compatExt spid="_x0000_s7847"/>
                </a:ext>
                <a:ext uri="{FF2B5EF4-FFF2-40B4-BE49-F238E27FC236}">
                  <a16:creationId xmlns:a16="http://schemas.microsoft.com/office/drawing/2014/main" id="{00000000-0008-0000-0500-0000A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229</xdr:row>
          <xdr:rowOff>200025</xdr:rowOff>
        </xdr:from>
        <xdr:to>
          <xdr:col>9</xdr:col>
          <xdr:colOff>447675</xdr:colOff>
          <xdr:row>380</xdr:row>
          <xdr:rowOff>28575</xdr:rowOff>
        </xdr:to>
        <xdr:sp macro="" textlink="">
          <xdr:nvSpPr>
            <xdr:cNvPr id="7848" name="Check Box 680" hidden="1">
              <a:extLst>
                <a:ext uri="{63B3BB69-23CF-44E3-9099-C40C66FF867C}">
                  <a14:compatExt spid="_x0000_s7848"/>
                </a:ext>
                <a:ext uri="{FF2B5EF4-FFF2-40B4-BE49-F238E27FC236}">
                  <a16:creationId xmlns:a16="http://schemas.microsoft.com/office/drawing/2014/main" id="{00000000-0008-0000-0500-0000A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224</xdr:row>
          <xdr:rowOff>200025</xdr:rowOff>
        </xdr:from>
        <xdr:to>
          <xdr:col>9</xdr:col>
          <xdr:colOff>466725</xdr:colOff>
          <xdr:row>380</xdr:row>
          <xdr:rowOff>28575</xdr:rowOff>
        </xdr:to>
        <xdr:sp macro="" textlink="">
          <xdr:nvSpPr>
            <xdr:cNvPr id="7849" name="Check Box 681" hidden="1">
              <a:extLst>
                <a:ext uri="{63B3BB69-23CF-44E3-9099-C40C66FF867C}">
                  <a14:compatExt spid="_x0000_s7849"/>
                </a:ext>
                <a:ext uri="{FF2B5EF4-FFF2-40B4-BE49-F238E27FC236}">
                  <a16:creationId xmlns:a16="http://schemas.microsoft.com/office/drawing/2014/main" id="{00000000-0008-0000-0500-0000A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225</xdr:row>
          <xdr:rowOff>190500</xdr:rowOff>
        </xdr:from>
        <xdr:to>
          <xdr:col>9</xdr:col>
          <xdr:colOff>466725</xdr:colOff>
          <xdr:row>380</xdr:row>
          <xdr:rowOff>38100</xdr:rowOff>
        </xdr:to>
        <xdr:sp macro="" textlink="">
          <xdr:nvSpPr>
            <xdr:cNvPr id="7850" name="Check Box 682" hidden="1">
              <a:extLst>
                <a:ext uri="{63B3BB69-23CF-44E3-9099-C40C66FF867C}">
                  <a14:compatExt spid="_x0000_s7850"/>
                </a:ext>
                <a:ext uri="{FF2B5EF4-FFF2-40B4-BE49-F238E27FC236}">
                  <a16:creationId xmlns:a16="http://schemas.microsoft.com/office/drawing/2014/main" id="{00000000-0008-0000-0500-0000A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227</xdr:row>
          <xdr:rowOff>9525</xdr:rowOff>
        </xdr:from>
        <xdr:to>
          <xdr:col>10</xdr:col>
          <xdr:colOff>0</xdr:colOff>
          <xdr:row>380</xdr:row>
          <xdr:rowOff>28575</xdr:rowOff>
        </xdr:to>
        <xdr:sp macro="" textlink="">
          <xdr:nvSpPr>
            <xdr:cNvPr id="7851" name="Check Box 683" hidden="1">
              <a:extLst>
                <a:ext uri="{63B3BB69-23CF-44E3-9099-C40C66FF867C}">
                  <a14:compatExt spid="_x0000_s7851"/>
                </a:ext>
                <a:ext uri="{FF2B5EF4-FFF2-40B4-BE49-F238E27FC236}">
                  <a16:creationId xmlns:a16="http://schemas.microsoft.com/office/drawing/2014/main" id="{00000000-0008-0000-0500-0000A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221</xdr:row>
          <xdr:rowOff>200025</xdr:rowOff>
        </xdr:from>
        <xdr:to>
          <xdr:col>9</xdr:col>
          <xdr:colOff>466725</xdr:colOff>
          <xdr:row>380</xdr:row>
          <xdr:rowOff>28575</xdr:rowOff>
        </xdr:to>
        <xdr:sp macro="" textlink="">
          <xdr:nvSpPr>
            <xdr:cNvPr id="7852" name="Check Box 684" hidden="1">
              <a:extLst>
                <a:ext uri="{63B3BB69-23CF-44E3-9099-C40C66FF867C}">
                  <a14:compatExt spid="_x0000_s7852"/>
                </a:ext>
                <a:ext uri="{FF2B5EF4-FFF2-40B4-BE49-F238E27FC236}">
                  <a16:creationId xmlns:a16="http://schemas.microsoft.com/office/drawing/2014/main" id="{00000000-0008-0000-0500-0000A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222</xdr:row>
          <xdr:rowOff>190500</xdr:rowOff>
        </xdr:from>
        <xdr:to>
          <xdr:col>9</xdr:col>
          <xdr:colOff>457200</xdr:colOff>
          <xdr:row>380</xdr:row>
          <xdr:rowOff>38100</xdr:rowOff>
        </xdr:to>
        <xdr:sp macro="" textlink="">
          <xdr:nvSpPr>
            <xdr:cNvPr id="7853" name="Check Box 685" hidden="1">
              <a:extLst>
                <a:ext uri="{63B3BB69-23CF-44E3-9099-C40C66FF867C}">
                  <a14:compatExt spid="_x0000_s7853"/>
                </a:ext>
                <a:ext uri="{FF2B5EF4-FFF2-40B4-BE49-F238E27FC236}">
                  <a16:creationId xmlns:a16="http://schemas.microsoft.com/office/drawing/2014/main" id="{00000000-0008-0000-0500-0000A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223</xdr:row>
          <xdr:rowOff>200025</xdr:rowOff>
        </xdr:from>
        <xdr:to>
          <xdr:col>9</xdr:col>
          <xdr:colOff>447675</xdr:colOff>
          <xdr:row>380</xdr:row>
          <xdr:rowOff>28575</xdr:rowOff>
        </xdr:to>
        <xdr:sp macro="" textlink="">
          <xdr:nvSpPr>
            <xdr:cNvPr id="7854" name="Check Box 686" hidden="1">
              <a:extLst>
                <a:ext uri="{63B3BB69-23CF-44E3-9099-C40C66FF867C}">
                  <a14:compatExt spid="_x0000_s7854"/>
                </a:ext>
                <a:ext uri="{FF2B5EF4-FFF2-40B4-BE49-F238E27FC236}">
                  <a16:creationId xmlns:a16="http://schemas.microsoft.com/office/drawing/2014/main" id="{00000000-0008-0000-0500-0000A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218</xdr:row>
          <xdr:rowOff>200025</xdr:rowOff>
        </xdr:from>
        <xdr:to>
          <xdr:col>9</xdr:col>
          <xdr:colOff>466725</xdr:colOff>
          <xdr:row>380</xdr:row>
          <xdr:rowOff>28575</xdr:rowOff>
        </xdr:to>
        <xdr:sp macro="" textlink="">
          <xdr:nvSpPr>
            <xdr:cNvPr id="7855" name="Check Box 687" hidden="1">
              <a:extLst>
                <a:ext uri="{63B3BB69-23CF-44E3-9099-C40C66FF867C}">
                  <a14:compatExt spid="_x0000_s7855"/>
                </a:ext>
                <a:ext uri="{FF2B5EF4-FFF2-40B4-BE49-F238E27FC236}">
                  <a16:creationId xmlns:a16="http://schemas.microsoft.com/office/drawing/2014/main" id="{00000000-0008-0000-0500-0000A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219</xdr:row>
          <xdr:rowOff>190500</xdr:rowOff>
        </xdr:from>
        <xdr:to>
          <xdr:col>9</xdr:col>
          <xdr:colOff>466725</xdr:colOff>
          <xdr:row>380</xdr:row>
          <xdr:rowOff>38100</xdr:rowOff>
        </xdr:to>
        <xdr:sp macro="" textlink="">
          <xdr:nvSpPr>
            <xdr:cNvPr id="7856" name="Check Box 688" hidden="1">
              <a:extLst>
                <a:ext uri="{63B3BB69-23CF-44E3-9099-C40C66FF867C}">
                  <a14:compatExt spid="_x0000_s7856"/>
                </a:ext>
                <a:ext uri="{FF2B5EF4-FFF2-40B4-BE49-F238E27FC236}">
                  <a16:creationId xmlns:a16="http://schemas.microsoft.com/office/drawing/2014/main" id="{00000000-0008-0000-0500-0000B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221</xdr:row>
          <xdr:rowOff>9525</xdr:rowOff>
        </xdr:from>
        <xdr:to>
          <xdr:col>10</xdr:col>
          <xdr:colOff>0</xdr:colOff>
          <xdr:row>380</xdr:row>
          <xdr:rowOff>28575</xdr:rowOff>
        </xdr:to>
        <xdr:sp macro="" textlink="">
          <xdr:nvSpPr>
            <xdr:cNvPr id="7857" name="Check Box 689" hidden="1">
              <a:extLst>
                <a:ext uri="{63B3BB69-23CF-44E3-9099-C40C66FF867C}">
                  <a14:compatExt spid="_x0000_s7857"/>
                </a:ext>
                <a:ext uri="{FF2B5EF4-FFF2-40B4-BE49-F238E27FC236}">
                  <a16:creationId xmlns:a16="http://schemas.microsoft.com/office/drawing/2014/main" id="{00000000-0008-0000-0500-0000B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215</xdr:row>
          <xdr:rowOff>200025</xdr:rowOff>
        </xdr:from>
        <xdr:to>
          <xdr:col>9</xdr:col>
          <xdr:colOff>466725</xdr:colOff>
          <xdr:row>380</xdr:row>
          <xdr:rowOff>28575</xdr:rowOff>
        </xdr:to>
        <xdr:sp macro="" textlink="">
          <xdr:nvSpPr>
            <xdr:cNvPr id="7858" name="Check Box 690" hidden="1">
              <a:extLst>
                <a:ext uri="{63B3BB69-23CF-44E3-9099-C40C66FF867C}">
                  <a14:compatExt spid="_x0000_s7858"/>
                </a:ext>
                <a:ext uri="{FF2B5EF4-FFF2-40B4-BE49-F238E27FC236}">
                  <a16:creationId xmlns:a16="http://schemas.microsoft.com/office/drawing/2014/main" id="{00000000-0008-0000-0500-0000B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216</xdr:row>
          <xdr:rowOff>190500</xdr:rowOff>
        </xdr:from>
        <xdr:to>
          <xdr:col>9</xdr:col>
          <xdr:colOff>466725</xdr:colOff>
          <xdr:row>380</xdr:row>
          <xdr:rowOff>38100</xdr:rowOff>
        </xdr:to>
        <xdr:sp macro="" textlink="">
          <xdr:nvSpPr>
            <xdr:cNvPr id="7859" name="Check Box 691" hidden="1">
              <a:extLst>
                <a:ext uri="{63B3BB69-23CF-44E3-9099-C40C66FF867C}">
                  <a14:compatExt spid="_x0000_s7859"/>
                </a:ext>
                <a:ext uri="{FF2B5EF4-FFF2-40B4-BE49-F238E27FC236}">
                  <a16:creationId xmlns:a16="http://schemas.microsoft.com/office/drawing/2014/main" id="{00000000-0008-0000-0500-0000B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212</xdr:row>
          <xdr:rowOff>200025</xdr:rowOff>
        </xdr:from>
        <xdr:to>
          <xdr:col>9</xdr:col>
          <xdr:colOff>466725</xdr:colOff>
          <xdr:row>380</xdr:row>
          <xdr:rowOff>28575</xdr:rowOff>
        </xdr:to>
        <xdr:sp macro="" textlink="">
          <xdr:nvSpPr>
            <xdr:cNvPr id="7860" name="Check Box 692" hidden="1">
              <a:extLst>
                <a:ext uri="{63B3BB69-23CF-44E3-9099-C40C66FF867C}">
                  <a14:compatExt spid="_x0000_s7860"/>
                </a:ext>
                <a:ext uri="{FF2B5EF4-FFF2-40B4-BE49-F238E27FC236}">
                  <a16:creationId xmlns:a16="http://schemas.microsoft.com/office/drawing/2014/main" id="{00000000-0008-0000-0500-0000B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213</xdr:row>
          <xdr:rowOff>190500</xdr:rowOff>
        </xdr:from>
        <xdr:to>
          <xdr:col>9</xdr:col>
          <xdr:colOff>457200</xdr:colOff>
          <xdr:row>380</xdr:row>
          <xdr:rowOff>38100</xdr:rowOff>
        </xdr:to>
        <xdr:sp macro="" textlink="">
          <xdr:nvSpPr>
            <xdr:cNvPr id="7861" name="Check Box 693" hidden="1">
              <a:extLst>
                <a:ext uri="{63B3BB69-23CF-44E3-9099-C40C66FF867C}">
                  <a14:compatExt spid="_x0000_s7861"/>
                </a:ext>
                <a:ext uri="{FF2B5EF4-FFF2-40B4-BE49-F238E27FC236}">
                  <a16:creationId xmlns:a16="http://schemas.microsoft.com/office/drawing/2014/main" id="{00000000-0008-0000-0500-0000B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214</xdr:row>
          <xdr:rowOff>200025</xdr:rowOff>
        </xdr:from>
        <xdr:to>
          <xdr:col>9</xdr:col>
          <xdr:colOff>447675</xdr:colOff>
          <xdr:row>380</xdr:row>
          <xdr:rowOff>28575</xdr:rowOff>
        </xdr:to>
        <xdr:sp macro="" textlink="">
          <xdr:nvSpPr>
            <xdr:cNvPr id="7862" name="Check Box 694" hidden="1">
              <a:extLst>
                <a:ext uri="{63B3BB69-23CF-44E3-9099-C40C66FF867C}">
                  <a14:compatExt spid="_x0000_s7862"/>
                </a:ext>
                <a:ext uri="{FF2B5EF4-FFF2-40B4-BE49-F238E27FC236}">
                  <a16:creationId xmlns:a16="http://schemas.microsoft.com/office/drawing/2014/main" id="{00000000-0008-0000-0500-0000B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209</xdr:row>
          <xdr:rowOff>200025</xdr:rowOff>
        </xdr:from>
        <xdr:to>
          <xdr:col>9</xdr:col>
          <xdr:colOff>466725</xdr:colOff>
          <xdr:row>380</xdr:row>
          <xdr:rowOff>28575</xdr:rowOff>
        </xdr:to>
        <xdr:sp macro="" textlink="">
          <xdr:nvSpPr>
            <xdr:cNvPr id="7863" name="Check Box 695" hidden="1">
              <a:extLst>
                <a:ext uri="{63B3BB69-23CF-44E3-9099-C40C66FF867C}">
                  <a14:compatExt spid="_x0000_s7863"/>
                </a:ext>
                <a:ext uri="{FF2B5EF4-FFF2-40B4-BE49-F238E27FC236}">
                  <a16:creationId xmlns:a16="http://schemas.microsoft.com/office/drawing/2014/main" id="{00000000-0008-0000-0500-0000B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210</xdr:row>
          <xdr:rowOff>190500</xdr:rowOff>
        </xdr:from>
        <xdr:to>
          <xdr:col>9</xdr:col>
          <xdr:colOff>466725</xdr:colOff>
          <xdr:row>380</xdr:row>
          <xdr:rowOff>38100</xdr:rowOff>
        </xdr:to>
        <xdr:sp macro="" textlink="">
          <xdr:nvSpPr>
            <xdr:cNvPr id="7864" name="Check Box 696" hidden="1">
              <a:extLst>
                <a:ext uri="{63B3BB69-23CF-44E3-9099-C40C66FF867C}">
                  <a14:compatExt spid="_x0000_s7864"/>
                </a:ext>
                <a:ext uri="{FF2B5EF4-FFF2-40B4-BE49-F238E27FC236}">
                  <a16:creationId xmlns:a16="http://schemas.microsoft.com/office/drawing/2014/main" id="{00000000-0008-0000-0500-0000B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212</xdr:row>
          <xdr:rowOff>9525</xdr:rowOff>
        </xdr:from>
        <xdr:to>
          <xdr:col>10</xdr:col>
          <xdr:colOff>0</xdr:colOff>
          <xdr:row>380</xdr:row>
          <xdr:rowOff>28575</xdr:rowOff>
        </xdr:to>
        <xdr:sp macro="" textlink="">
          <xdr:nvSpPr>
            <xdr:cNvPr id="7865" name="Check Box 697" hidden="1">
              <a:extLst>
                <a:ext uri="{63B3BB69-23CF-44E3-9099-C40C66FF867C}">
                  <a14:compatExt spid="_x0000_s7865"/>
                </a:ext>
                <a:ext uri="{FF2B5EF4-FFF2-40B4-BE49-F238E27FC236}">
                  <a16:creationId xmlns:a16="http://schemas.microsoft.com/office/drawing/2014/main" id="{00000000-0008-0000-0500-0000B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206</xdr:row>
          <xdr:rowOff>200025</xdr:rowOff>
        </xdr:from>
        <xdr:to>
          <xdr:col>9</xdr:col>
          <xdr:colOff>466725</xdr:colOff>
          <xdr:row>380</xdr:row>
          <xdr:rowOff>28575</xdr:rowOff>
        </xdr:to>
        <xdr:sp macro="" textlink="">
          <xdr:nvSpPr>
            <xdr:cNvPr id="7866" name="Check Box 698" hidden="1">
              <a:extLst>
                <a:ext uri="{63B3BB69-23CF-44E3-9099-C40C66FF867C}">
                  <a14:compatExt spid="_x0000_s7866"/>
                </a:ext>
                <a:ext uri="{FF2B5EF4-FFF2-40B4-BE49-F238E27FC236}">
                  <a16:creationId xmlns:a16="http://schemas.microsoft.com/office/drawing/2014/main" id="{00000000-0008-0000-0500-0000B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207</xdr:row>
          <xdr:rowOff>190500</xdr:rowOff>
        </xdr:from>
        <xdr:to>
          <xdr:col>9</xdr:col>
          <xdr:colOff>466725</xdr:colOff>
          <xdr:row>380</xdr:row>
          <xdr:rowOff>38100</xdr:rowOff>
        </xdr:to>
        <xdr:sp macro="" textlink="">
          <xdr:nvSpPr>
            <xdr:cNvPr id="7867" name="Check Box 699" hidden="1">
              <a:extLst>
                <a:ext uri="{63B3BB69-23CF-44E3-9099-C40C66FF867C}">
                  <a14:compatExt spid="_x0000_s7867"/>
                </a:ext>
                <a:ext uri="{FF2B5EF4-FFF2-40B4-BE49-F238E27FC236}">
                  <a16:creationId xmlns:a16="http://schemas.microsoft.com/office/drawing/2014/main" id="{00000000-0008-0000-0500-0000B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203</xdr:row>
          <xdr:rowOff>200025</xdr:rowOff>
        </xdr:from>
        <xdr:to>
          <xdr:col>9</xdr:col>
          <xdr:colOff>466725</xdr:colOff>
          <xdr:row>380</xdr:row>
          <xdr:rowOff>28575</xdr:rowOff>
        </xdr:to>
        <xdr:sp macro="" textlink="">
          <xdr:nvSpPr>
            <xdr:cNvPr id="7868" name="Check Box 700" hidden="1">
              <a:extLst>
                <a:ext uri="{63B3BB69-23CF-44E3-9099-C40C66FF867C}">
                  <a14:compatExt spid="_x0000_s7868"/>
                </a:ext>
                <a:ext uri="{FF2B5EF4-FFF2-40B4-BE49-F238E27FC236}">
                  <a16:creationId xmlns:a16="http://schemas.microsoft.com/office/drawing/2014/main" id="{00000000-0008-0000-0500-0000B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204</xdr:row>
          <xdr:rowOff>190500</xdr:rowOff>
        </xdr:from>
        <xdr:to>
          <xdr:col>9</xdr:col>
          <xdr:colOff>466725</xdr:colOff>
          <xdr:row>380</xdr:row>
          <xdr:rowOff>38100</xdr:rowOff>
        </xdr:to>
        <xdr:sp macro="" textlink="">
          <xdr:nvSpPr>
            <xdr:cNvPr id="7869" name="Check Box 701" hidden="1">
              <a:extLst>
                <a:ext uri="{63B3BB69-23CF-44E3-9099-C40C66FF867C}">
                  <a14:compatExt spid="_x0000_s7869"/>
                </a:ext>
                <a:ext uri="{FF2B5EF4-FFF2-40B4-BE49-F238E27FC236}">
                  <a16:creationId xmlns:a16="http://schemas.microsoft.com/office/drawing/2014/main" id="{00000000-0008-0000-0500-0000B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206</xdr:row>
          <xdr:rowOff>19050</xdr:rowOff>
        </xdr:from>
        <xdr:to>
          <xdr:col>10</xdr:col>
          <xdr:colOff>0</xdr:colOff>
          <xdr:row>380</xdr:row>
          <xdr:rowOff>28575</xdr:rowOff>
        </xdr:to>
        <xdr:sp macro="" textlink="">
          <xdr:nvSpPr>
            <xdr:cNvPr id="7870" name="Check Box 702" hidden="1">
              <a:extLst>
                <a:ext uri="{63B3BB69-23CF-44E3-9099-C40C66FF867C}">
                  <a14:compatExt spid="_x0000_s7870"/>
                </a:ext>
                <a:ext uri="{FF2B5EF4-FFF2-40B4-BE49-F238E27FC236}">
                  <a16:creationId xmlns:a16="http://schemas.microsoft.com/office/drawing/2014/main" id="{00000000-0008-0000-0500-0000B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200</xdr:row>
          <xdr:rowOff>200025</xdr:rowOff>
        </xdr:from>
        <xdr:to>
          <xdr:col>9</xdr:col>
          <xdr:colOff>466725</xdr:colOff>
          <xdr:row>380</xdr:row>
          <xdr:rowOff>28575</xdr:rowOff>
        </xdr:to>
        <xdr:sp macro="" textlink="">
          <xdr:nvSpPr>
            <xdr:cNvPr id="7871" name="Check Box 703" hidden="1">
              <a:extLst>
                <a:ext uri="{63B3BB69-23CF-44E3-9099-C40C66FF867C}">
                  <a14:compatExt spid="_x0000_s7871"/>
                </a:ext>
                <a:ext uri="{FF2B5EF4-FFF2-40B4-BE49-F238E27FC236}">
                  <a16:creationId xmlns:a16="http://schemas.microsoft.com/office/drawing/2014/main" id="{00000000-0008-0000-0500-0000B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201</xdr:row>
          <xdr:rowOff>190500</xdr:rowOff>
        </xdr:from>
        <xdr:to>
          <xdr:col>9</xdr:col>
          <xdr:colOff>466725</xdr:colOff>
          <xdr:row>380</xdr:row>
          <xdr:rowOff>38100</xdr:rowOff>
        </xdr:to>
        <xdr:sp macro="" textlink="">
          <xdr:nvSpPr>
            <xdr:cNvPr id="7872" name="Check Box 704" hidden="1">
              <a:extLst>
                <a:ext uri="{63B3BB69-23CF-44E3-9099-C40C66FF867C}">
                  <a14:compatExt spid="_x0000_s7872"/>
                </a:ext>
                <a:ext uri="{FF2B5EF4-FFF2-40B4-BE49-F238E27FC236}">
                  <a16:creationId xmlns:a16="http://schemas.microsoft.com/office/drawing/2014/main" id="{00000000-0008-0000-0500-0000C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203</xdr:row>
          <xdr:rowOff>9525</xdr:rowOff>
        </xdr:from>
        <xdr:to>
          <xdr:col>10</xdr:col>
          <xdr:colOff>0</xdr:colOff>
          <xdr:row>380</xdr:row>
          <xdr:rowOff>28575</xdr:rowOff>
        </xdr:to>
        <xdr:sp macro="" textlink="">
          <xdr:nvSpPr>
            <xdr:cNvPr id="7873" name="Check Box 705" hidden="1">
              <a:extLst>
                <a:ext uri="{63B3BB69-23CF-44E3-9099-C40C66FF867C}">
                  <a14:compatExt spid="_x0000_s7873"/>
                </a:ext>
                <a:ext uri="{FF2B5EF4-FFF2-40B4-BE49-F238E27FC236}">
                  <a16:creationId xmlns:a16="http://schemas.microsoft.com/office/drawing/2014/main" id="{00000000-0008-0000-0500-0000C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208</xdr:row>
          <xdr:rowOff>200025</xdr:rowOff>
        </xdr:from>
        <xdr:to>
          <xdr:col>9</xdr:col>
          <xdr:colOff>466725</xdr:colOff>
          <xdr:row>380</xdr:row>
          <xdr:rowOff>38100</xdr:rowOff>
        </xdr:to>
        <xdr:sp macro="" textlink="">
          <xdr:nvSpPr>
            <xdr:cNvPr id="7874" name="Check Box 706" hidden="1">
              <a:extLst>
                <a:ext uri="{63B3BB69-23CF-44E3-9099-C40C66FF867C}">
                  <a14:compatExt spid="_x0000_s7874"/>
                </a:ext>
                <a:ext uri="{FF2B5EF4-FFF2-40B4-BE49-F238E27FC236}">
                  <a16:creationId xmlns:a16="http://schemas.microsoft.com/office/drawing/2014/main" id="{00000000-0008-0000-0500-0000C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218</xdr:row>
          <xdr:rowOff>19050</xdr:rowOff>
        </xdr:from>
        <xdr:to>
          <xdr:col>9</xdr:col>
          <xdr:colOff>466725</xdr:colOff>
          <xdr:row>380</xdr:row>
          <xdr:rowOff>38100</xdr:rowOff>
        </xdr:to>
        <xdr:sp macro="" textlink="">
          <xdr:nvSpPr>
            <xdr:cNvPr id="7875" name="Check Box 707" hidden="1">
              <a:extLst>
                <a:ext uri="{63B3BB69-23CF-44E3-9099-C40C66FF867C}">
                  <a14:compatExt spid="_x0000_s7875"/>
                </a:ext>
                <a:ext uri="{FF2B5EF4-FFF2-40B4-BE49-F238E27FC236}">
                  <a16:creationId xmlns:a16="http://schemas.microsoft.com/office/drawing/2014/main" id="{00000000-0008-0000-0500-0000C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305</xdr:row>
          <xdr:rowOff>200025</xdr:rowOff>
        </xdr:from>
        <xdr:to>
          <xdr:col>9</xdr:col>
          <xdr:colOff>466725</xdr:colOff>
          <xdr:row>380</xdr:row>
          <xdr:rowOff>28575</xdr:rowOff>
        </xdr:to>
        <xdr:sp macro="" textlink="">
          <xdr:nvSpPr>
            <xdr:cNvPr id="7876" name="Check Box 708" hidden="1">
              <a:extLst>
                <a:ext uri="{63B3BB69-23CF-44E3-9099-C40C66FF867C}">
                  <a14:compatExt spid="_x0000_s7876"/>
                </a:ext>
                <a:ext uri="{FF2B5EF4-FFF2-40B4-BE49-F238E27FC236}">
                  <a16:creationId xmlns:a16="http://schemas.microsoft.com/office/drawing/2014/main" id="{00000000-0008-0000-0500-0000C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306</xdr:row>
          <xdr:rowOff>190500</xdr:rowOff>
        </xdr:from>
        <xdr:to>
          <xdr:col>9</xdr:col>
          <xdr:colOff>457200</xdr:colOff>
          <xdr:row>380</xdr:row>
          <xdr:rowOff>38100</xdr:rowOff>
        </xdr:to>
        <xdr:sp macro="" textlink="">
          <xdr:nvSpPr>
            <xdr:cNvPr id="7877" name="Check Box 709" hidden="1">
              <a:extLst>
                <a:ext uri="{63B3BB69-23CF-44E3-9099-C40C66FF867C}">
                  <a14:compatExt spid="_x0000_s7877"/>
                </a:ext>
                <a:ext uri="{FF2B5EF4-FFF2-40B4-BE49-F238E27FC236}">
                  <a16:creationId xmlns:a16="http://schemas.microsoft.com/office/drawing/2014/main" id="{00000000-0008-0000-0500-0000C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302</xdr:row>
          <xdr:rowOff>200025</xdr:rowOff>
        </xdr:from>
        <xdr:to>
          <xdr:col>9</xdr:col>
          <xdr:colOff>466725</xdr:colOff>
          <xdr:row>380</xdr:row>
          <xdr:rowOff>28575</xdr:rowOff>
        </xdr:to>
        <xdr:sp macro="" textlink="">
          <xdr:nvSpPr>
            <xdr:cNvPr id="7878" name="Check Box 710" hidden="1">
              <a:extLst>
                <a:ext uri="{63B3BB69-23CF-44E3-9099-C40C66FF867C}">
                  <a14:compatExt spid="_x0000_s7878"/>
                </a:ext>
                <a:ext uri="{FF2B5EF4-FFF2-40B4-BE49-F238E27FC236}">
                  <a16:creationId xmlns:a16="http://schemas.microsoft.com/office/drawing/2014/main" id="{00000000-0008-0000-0500-0000C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303</xdr:row>
          <xdr:rowOff>190500</xdr:rowOff>
        </xdr:from>
        <xdr:to>
          <xdr:col>9</xdr:col>
          <xdr:colOff>466725</xdr:colOff>
          <xdr:row>380</xdr:row>
          <xdr:rowOff>38100</xdr:rowOff>
        </xdr:to>
        <xdr:sp macro="" textlink="">
          <xdr:nvSpPr>
            <xdr:cNvPr id="7879" name="Check Box 711" hidden="1">
              <a:extLst>
                <a:ext uri="{63B3BB69-23CF-44E3-9099-C40C66FF867C}">
                  <a14:compatExt spid="_x0000_s7879"/>
                </a:ext>
                <a:ext uri="{FF2B5EF4-FFF2-40B4-BE49-F238E27FC236}">
                  <a16:creationId xmlns:a16="http://schemas.microsoft.com/office/drawing/2014/main" id="{00000000-0008-0000-0500-0000C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305</xdr:row>
          <xdr:rowOff>9525</xdr:rowOff>
        </xdr:from>
        <xdr:to>
          <xdr:col>10</xdr:col>
          <xdr:colOff>0</xdr:colOff>
          <xdr:row>380</xdr:row>
          <xdr:rowOff>28575</xdr:rowOff>
        </xdr:to>
        <xdr:sp macro="" textlink="">
          <xdr:nvSpPr>
            <xdr:cNvPr id="7880" name="Check Box 712" hidden="1">
              <a:extLst>
                <a:ext uri="{63B3BB69-23CF-44E3-9099-C40C66FF867C}">
                  <a14:compatExt spid="_x0000_s7880"/>
                </a:ext>
                <a:ext uri="{FF2B5EF4-FFF2-40B4-BE49-F238E27FC236}">
                  <a16:creationId xmlns:a16="http://schemas.microsoft.com/office/drawing/2014/main" id="{00000000-0008-0000-0500-0000C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299</xdr:row>
          <xdr:rowOff>200025</xdr:rowOff>
        </xdr:from>
        <xdr:to>
          <xdr:col>9</xdr:col>
          <xdr:colOff>466725</xdr:colOff>
          <xdr:row>380</xdr:row>
          <xdr:rowOff>28575</xdr:rowOff>
        </xdr:to>
        <xdr:sp macro="" textlink="">
          <xdr:nvSpPr>
            <xdr:cNvPr id="7881" name="Check Box 713" hidden="1">
              <a:extLst>
                <a:ext uri="{63B3BB69-23CF-44E3-9099-C40C66FF867C}">
                  <a14:compatExt spid="_x0000_s7881"/>
                </a:ext>
                <a:ext uri="{FF2B5EF4-FFF2-40B4-BE49-F238E27FC236}">
                  <a16:creationId xmlns:a16="http://schemas.microsoft.com/office/drawing/2014/main" id="{00000000-0008-0000-0500-0000C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300</xdr:row>
          <xdr:rowOff>190500</xdr:rowOff>
        </xdr:from>
        <xdr:to>
          <xdr:col>9</xdr:col>
          <xdr:colOff>466725</xdr:colOff>
          <xdr:row>380</xdr:row>
          <xdr:rowOff>38100</xdr:rowOff>
        </xdr:to>
        <xdr:sp macro="" textlink="">
          <xdr:nvSpPr>
            <xdr:cNvPr id="7882" name="Check Box 714" hidden="1">
              <a:extLst>
                <a:ext uri="{63B3BB69-23CF-44E3-9099-C40C66FF867C}">
                  <a14:compatExt spid="_x0000_s7882"/>
                </a:ext>
                <a:ext uri="{FF2B5EF4-FFF2-40B4-BE49-F238E27FC236}">
                  <a16:creationId xmlns:a16="http://schemas.microsoft.com/office/drawing/2014/main" id="{00000000-0008-0000-0500-0000C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296</xdr:row>
          <xdr:rowOff>200025</xdr:rowOff>
        </xdr:from>
        <xdr:to>
          <xdr:col>9</xdr:col>
          <xdr:colOff>466725</xdr:colOff>
          <xdr:row>380</xdr:row>
          <xdr:rowOff>28575</xdr:rowOff>
        </xdr:to>
        <xdr:sp macro="" textlink="">
          <xdr:nvSpPr>
            <xdr:cNvPr id="7883" name="Check Box 715" hidden="1">
              <a:extLst>
                <a:ext uri="{63B3BB69-23CF-44E3-9099-C40C66FF867C}">
                  <a14:compatExt spid="_x0000_s7883"/>
                </a:ext>
                <a:ext uri="{FF2B5EF4-FFF2-40B4-BE49-F238E27FC236}">
                  <a16:creationId xmlns:a16="http://schemas.microsoft.com/office/drawing/2014/main" id="{00000000-0008-0000-0500-0000C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297</xdr:row>
          <xdr:rowOff>190500</xdr:rowOff>
        </xdr:from>
        <xdr:to>
          <xdr:col>9</xdr:col>
          <xdr:colOff>457200</xdr:colOff>
          <xdr:row>380</xdr:row>
          <xdr:rowOff>38100</xdr:rowOff>
        </xdr:to>
        <xdr:sp macro="" textlink="">
          <xdr:nvSpPr>
            <xdr:cNvPr id="7884" name="Check Box 716" hidden="1">
              <a:extLst>
                <a:ext uri="{63B3BB69-23CF-44E3-9099-C40C66FF867C}">
                  <a14:compatExt spid="_x0000_s7884"/>
                </a:ext>
                <a:ext uri="{FF2B5EF4-FFF2-40B4-BE49-F238E27FC236}">
                  <a16:creationId xmlns:a16="http://schemas.microsoft.com/office/drawing/2014/main" id="{00000000-0008-0000-0500-0000C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298</xdr:row>
          <xdr:rowOff>200025</xdr:rowOff>
        </xdr:from>
        <xdr:to>
          <xdr:col>9</xdr:col>
          <xdr:colOff>447675</xdr:colOff>
          <xdr:row>380</xdr:row>
          <xdr:rowOff>28575</xdr:rowOff>
        </xdr:to>
        <xdr:sp macro="" textlink="">
          <xdr:nvSpPr>
            <xdr:cNvPr id="7885" name="Check Box 717" hidden="1">
              <a:extLst>
                <a:ext uri="{63B3BB69-23CF-44E3-9099-C40C66FF867C}">
                  <a14:compatExt spid="_x0000_s7885"/>
                </a:ext>
                <a:ext uri="{FF2B5EF4-FFF2-40B4-BE49-F238E27FC236}">
                  <a16:creationId xmlns:a16="http://schemas.microsoft.com/office/drawing/2014/main" id="{00000000-0008-0000-0500-0000C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293</xdr:row>
          <xdr:rowOff>200025</xdr:rowOff>
        </xdr:from>
        <xdr:to>
          <xdr:col>9</xdr:col>
          <xdr:colOff>466725</xdr:colOff>
          <xdr:row>380</xdr:row>
          <xdr:rowOff>28575</xdr:rowOff>
        </xdr:to>
        <xdr:sp macro="" textlink="">
          <xdr:nvSpPr>
            <xdr:cNvPr id="7886" name="Check Box 718" hidden="1">
              <a:extLst>
                <a:ext uri="{63B3BB69-23CF-44E3-9099-C40C66FF867C}">
                  <a14:compatExt spid="_x0000_s7886"/>
                </a:ext>
                <a:ext uri="{FF2B5EF4-FFF2-40B4-BE49-F238E27FC236}">
                  <a16:creationId xmlns:a16="http://schemas.microsoft.com/office/drawing/2014/main" id="{00000000-0008-0000-0500-0000C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294</xdr:row>
          <xdr:rowOff>190500</xdr:rowOff>
        </xdr:from>
        <xdr:to>
          <xdr:col>9</xdr:col>
          <xdr:colOff>466725</xdr:colOff>
          <xdr:row>380</xdr:row>
          <xdr:rowOff>38100</xdr:rowOff>
        </xdr:to>
        <xdr:sp macro="" textlink="">
          <xdr:nvSpPr>
            <xdr:cNvPr id="7887" name="Check Box 719" hidden="1">
              <a:extLst>
                <a:ext uri="{63B3BB69-23CF-44E3-9099-C40C66FF867C}">
                  <a14:compatExt spid="_x0000_s7887"/>
                </a:ext>
                <a:ext uri="{FF2B5EF4-FFF2-40B4-BE49-F238E27FC236}">
                  <a16:creationId xmlns:a16="http://schemas.microsoft.com/office/drawing/2014/main" id="{00000000-0008-0000-0500-0000C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296</xdr:row>
          <xdr:rowOff>9525</xdr:rowOff>
        </xdr:from>
        <xdr:to>
          <xdr:col>10</xdr:col>
          <xdr:colOff>0</xdr:colOff>
          <xdr:row>380</xdr:row>
          <xdr:rowOff>28575</xdr:rowOff>
        </xdr:to>
        <xdr:sp macro="" textlink="">
          <xdr:nvSpPr>
            <xdr:cNvPr id="7888" name="Check Box 720" hidden="1">
              <a:extLst>
                <a:ext uri="{63B3BB69-23CF-44E3-9099-C40C66FF867C}">
                  <a14:compatExt spid="_x0000_s7888"/>
                </a:ext>
                <a:ext uri="{FF2B5EF4-FFF2-40B4-BE49-F238E27FC236}">
                  <a16:creationId xmlns:a16="http://schemas.microsoft.com/office/drawing/2014/main" id="{00000000-0008-0000-0500-0000D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292</xdr:row>
          <xdr:rowOff>200025</xdr:rowOff>
        </xdr:from>
        <xdr:to>
          <xdr:col>9</xdr:col>
          <xdr:colOff>466725</xdr:colOff>
          <xdr:row>380</xdr:row>
          <xdr:rowOff>38100</xdr:rowOff>
        </xdr:to>
        <xdr:sp macro="" textlink="">
          <xdr:nvSpPr>
            <xdr:cNvPr id="7889" name="Check Box 721" hidden="1">
              <a:extLst>
                <a:ext uri="{63B3BB69-23CF-44E3-9099-C40C66FF867C}">
                  <a14:compatExt spid="_x0000_s7889"/>
                </a:ext>
                <a:ext uri="{FF2B5EF4-FFF2-40B4-BE49-F238E27FC236}">
                  <a16:creationId xmlns:a16="http://schemas.microsoft.com/office/drawing/2014/main" id="{00000000-0008-0000-0500-0000D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302</xdr:row>
          <xdr:rowOff>19050</xdr:rowOff>
        </xdr:from>
        <xdr:to>
          <xdr:col>9</xdr:col>
          <xdr:colOff>466725</xdr:colOff>
          <xdr:row>380</xdr:row>
          <xdr:rowOff>38100</xdr:rowOff>
        </xdr:to>
        <xdr:sp macro="" textlink="">
          <xdr:nvSpPr>
            <xdr:cNvPr id="7890" name="Check Box 722" hidden="1">
              <a:extLst>
                <a:ext uri="{63B3BB69-23CF-44E3-9099-C40C66FF867C}">
                  <a14:compatExt spid="_x0000_s7890"/>
                </a:ext>
                <a:ext uri="{FF2B5EF4-FFF2-40B4-BE49-F238E27FC236}">
                  <a16:creationId xmlns:a16="http://schemas.microsoft.com/office/drawing/2014/main" id="{00000000-0008-0000-0500-0000D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editAs="oneCell">
    <xdr:from>
      <xdr:col>0</xdr:col>
      <xdr:colOff>200160</xdr:colOff>
      <xdr:row>0</xdr:row>
      <xdr:rowOff>96419</xdr:rowOff>
    </xdr:from>
    <xdr:to>
      <xdr:col>1</xdr:col>
      <xdr:colOff>1536665</xdr:colOff>
      <xdr:row>3</xdr:row>
      <xdr:rowOff>160213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98939038" y="96419"/>
          <a:ext cx="1921896" cy="62934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152400</xdr:colOff>
          <xdr:row>384</xdr:row>
          <xdr:rowOff>171450</xdr:rowOff>
        </xdr:from>
        <xdr:to>
          <xdr:col>9</xdr:col>
          <xdr:colOff>447675</xdr:colOff>
          <xdr:row>386</xdr:row>
          <xdr:rowOff>19050</xdr:rowOff>
        </xdr:to>
        <xdr:sp macro="" textlink="">
          <xdr:nvSpPr>
            <xdr:cNvPr id="7216" name="Check Box 48" hidden="1">
              <a:extLst>
                <a:ext uri="{63B3BB69-23CF-44E3-9099-C40C66FF867C}">
                  <a14:compatExt spid="_x0000_s7216"/>
                </a:ext>
                <a:ext uri="{FF2B5EF4-FFF2-40B4-BE49-F238E27FC236}">
                  <a16:creationId xmlns:a16="http://schemas.microsoft.com/office/drawing/2014/main" id="{00000000-0008-0000-0500-00003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385</xdr:row>
          <xdr:rowOff>171450</xdr:rowOff>
        </xdr:from>
        <xdr:to>
          <xdr:col>9</xdr:col>
          <xdr:colOff>438150</xdr:colOff>
          <xdr:row>387</xdr:row>
          <xdr:rowOff>9525</xdr:rowOff>
        </xdr:to>
        <xdr:sp macro="" textlink="">
          <xdr:nvSpPr>
            <xdr:cNvPr id="7217" name="Check Box 49" hidden="1">
              <a:extLst>
                <a:ext uri="{63B3BB69-23CF-44E3-9099-C40C66FF867C}">
                  <a14:compatExt spid="_x0000_s7217"/>
                </a:ext>
                <a:ext uri="{FF2B5EF4-FFF2-40B4-BE49-F238E27FC236}">
                  <a16:creationId xmlns:a16="http://schemas.microsoft.com/office/drawing/2014/main" id="{00000000-0008-0000-0500-00003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386</xdr:row>
          <xdr:rowOff>171450</xdr:rowOff>
        </xdr:from>
        <xdr:to>
          <xdr:col>9</xdr:col>
          <xdr:colOff>428625</xdr:colOff>
          <xdr:row>388</xdr:row>
          <xdr:rowOff>0</xdr:rowOff>
        </xdr:to>
        <xdr:sp macro="" textlink="">
          <xdr:nvSpPr>
            <xdr:cNvPr id="7218" name="Check Box 50" hidden="1">
              <a:extLst>
                <a:ext uri="{63B3BB69-23CF-44E3-9099-C40C66FF867C}">
                  <a14:compatExt spid="_x0000_s7218"/>
                </a:ext>
                <a:ext uri="{FF2B5EF4-FFF2-40B4-BE49-F238E27FC236}">
                  <a16:creationId xmlns:a16="http://schemas.microsoft.com/office/drawing/2014/main" id="{00000000-0008-0000-0500-00003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450</xdr:row>
          <xdr:rowOff>171450</xdr:rowOff>
        </xdr:from>
        <xdr:to>
          <xdr:col>9</xdr:col>
          <xdr:colOff>428625</xdr:colOff>
          <xdr:row>452</xdr:row>
          <xdr:rowOff>0</xdr:rowOff>
        </xdr:to>
        <xdr:sp macro="" textlink="">
          <xdr:nvSpPr>
            <xdr:cNvPr id="7219" name="Check Box 51" hidden="1">
              <a:extLst>
                <a:ext uri="{63B3BB69-23CF-44E3-9099-C40C66FF867C}">
                  <a14:compatExt spid="_x0000_s7219"/>
                </a:ext>
                <a:ext uri="{FF2B5EF4-FFF2-40B4-BE49-F238E27FC236}">
                  <a16:creationId xmlns:a16="http://schemas.microsoft.com/office/drawing/2014/main" id="{00000000-0008-0000-0500-00003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451</xdr:row>
          <xdr:rowOff>161925</xdr:rowOff>
        </xdr:from>
        <xdr:to>
          <xdr:col>9</xdr:col>
          <xdr:colOff>428625</xdr:colOff>
          <xdr:row>453</xdr:row>
          <xdr:rowOff>0</xdr:rowOff>
        </xdr:to>
        <xdr:sp macro="" textlink="">
          <xdr:nvSpPr>
            <xdr:cNvPr id="7220" name="Check Box 52" hidden="1">
              <a:extLst>
                <a:ext uri="{63B3BB69-23CF-44E3-9099-C40C66FF867C}">
                  <a14:compatExt spid="_x0000_s7220"/>
                </a:ext>
                <a:ext uri="{FF2B5EF4-FFF2-40B4-BE49-F238E27FC236}">
                  <a16:creationId xmlns:a16="http://schemas.microsoft.com/office/drawing/2014/main" id="{00000000-0008-0000-0500-00003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452</xdr:row>
          <xdr:rowOff>180975</xdr:rowOff>
        </xdr:from>
        <xdr:to>
          <xdr:col>9</xdr:col>
          <xdr:colOff>428625</xdr:colOff>
          <xdr:row>454</xdr:row>
          <xdr:rowOff>9525</xdr:rowOff>
        </xdr:to>
        <xdr:sp macro="" textlink="">
          <xdr:nvSpPr>
            <xdr:cNvPr id="7221" name="Check Box 53" hidden="1">
              <a:extLst>
                <a:ext uri="{63B3BB69-23CF-44E3-9099-C40C66FF867C}">
                  <a14:compatExt spid="_x0000_s7221"/>
                </a:ext>
                <a:ext uri="{FF2B5EF4-FFF2-40B4-BE49-F238E27FC236}">
                  <a16:creationId xmlns:a16="http://schemas.microsoft.com/office/drawing/2014/main" id="{00000000-0008-0000-0500-00003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468</xdr:row>
          <xdr:rowOff>171450</xdr:rowOff>
        </xdr:from>
        <xdr:to>
          <xdr:col>9</xdr:col>
          <xdr:colOff>428625</xdr:colOff>
          <xdr:row>470</xdr:row>
          <xdr:rowOff>0</xdr:rowOff>
        </xdr:to>
        <xdr:sp macro="" textlink="">
          <xdr:nvSpPr>
            <xdr:cNvPr id="7222" name="Check Box 54" hidden="1">
              <a:extLst>
                <a:ext uri="{63B3BB69-23CF-44E3-9099-C40C66FF867C}">
                  <a14:compatExt spid="_x0000_s7222"/>
                </a:ext>
                <a:ext uri="{FF2B5EF4-FFF2-40B4-BE49-F238E27FC236}">
                  <a16:creationId xmlns:a16="http://schemas.microsoft.com/office/drawing/2014/main" id="{00000000-0008-0000-0500-00003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469</xdr:row>
          <xdr:rowOff>161925</xdr:rowOff>
        </xdr:from>
        <xdr:to>
          <xdr:col>9</xdr:col>
          <xdr:colOff>419100</xdr:colOff>
          <xdr:row>471</xdr:row>
          <xdr:rowOff>0</xdr:rowOff>
        </xdr:to>
        <xdr:sp macro="" textlink="">
          <xdr:nvSpPr>
            <xdr:cNvPr id="7223" name="Check Box 55" hidden="1">
              <a:extLst>
                <a:ext uri="{63B3BB69-23CF-44E3-9099-C40C66FF867C}">
                  <a14:compatExt spid="_x0000_s7223"/>
                </a:ext>
                <a:ext uri="{FF2B5EF4-FFF2-40B4-BE49-F238E27FC236}">
                  <a16:creationId xmlns:a16="http://schemas.microsoft.com/office/drawing/2014/main" id="{00000000-0008-0000-0500-00003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470</xdr:row>
          <xdr:rowOff>180975</xdr:rowOff>
        </xdr:from>
        <xdr:to>
          <xdr:col>9</xdr:col>
          <xdr:colOff>409575</xdr:colOff>
          <xdr:row>472</xdr:row>
          <xdr:rowOff>0</xdr:rowOff>
        </xdr:to>
        <xdr:sp macro="" textlink="">
          <xdr:nvSpPr>
            <xdr:cNvPr id="7224" name="Check Box 56" hidden="1">
              <a:extLst>
                <a:ext uri="{63B3BB69-23CF-44E3-9099-C40C66FF867C}">
                  <a14:compatExt spid="_x0000_s7224"/>
                </a:ext>
                <a:ext uri="{FF2B5EF4-FFF2-40B4-BE49-F238E27FC236}">
                  <a16:creationId xmlns:a16="http://schemas.microsoft.com/office/drawing/2014/main" id="{00000000-0008-0000-0500-00003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471</xdr:row>
          <xdr:rowOff>161925</xdr:rowOff>
        </xdr:from>
        <xdr:to>
          <xdr:col>9</xdr:col>
          <xdr:colOff>409575</xdr:colOff>
          <xdr:row>472</xdr:row>
          <xdr:rowOff>180975</xdr:rowOff>
        </xdr:to>
        <xdr:sp macro="" textlink="">
          <xdr:nvSpPr>
            <xdr:cNvPr id="7225" name="Check Box 57" hidden="1">
              <a:extLst>
                <a:ext uri="{63B3BB69-23CF-44E3-9099-C40C66FF867C}">
                  <a14:compatExt spid="_x0000_s7225"/>
                </a:ext>
                <a:ext uri="{FF2B5EF4-FFF2-40B4-BE49-F238E27FC236}">
                  <a16:creationId xmlns:a16="http://schemas.microsoft.com/office/drawing/2014/main" id="{00000000-0008-0000-0500-00003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95250</xdr:colOff>
          <xdr:row>472</xdr:row>
          <xdr:rowOff>152400</xdr:rowOff>
        </xdr:from>
        <xdr:to>
          <xdr:col>9</xdr:col>
          <xdr:colOff>400050</xdr:colOff>
          <xdr:row>473</xdr:row>
          <xdr:rowOff>180975</xdr:rowOff>
        </xdr:to>
        <xdr:sp macro="" textlink="">
          <xdr:nvSpPr>
            <xdr:cNvPr id="7226" name="Check Box 58" hidden="1">
              <a:extLst>
                <a:ext uri="{63B3BB69-23CF-44E3-9099-C40C66FF867C}">
                  <a14:compatExt spid="_x0000_s7226"/>
                </a:ext>
                <a:ext uri="{FF2B5EF4-FFF2-40B4-BE49-F238E27FC236}">
                  <a16:creationId xmlns:a16="http://schemas.microsoft.com/office/drawing/2014/main" id="{00000000-0008-0000-0500-00003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383</xdr:row>
          <xdr:rowOff>581025</xdr:rowOff>
        </xdr:from>
        <xdr:to>
          <xdr:col>9</xdr:col>
          <xdr:colOff>447675</xdr:colOff>
          <xdr:row>385</xdr:row>
          <xdr:rowOff>28575</xdr:rowOff>
        </xdr:to>
        <xdr:sp macro="" textlink="">
          <xdr:nvSpPr>
            <xdr:cNvPr id="7229" name="Check Box 61" hidden="1">
              <a:extLst>
                <a:ext uri="{63B3BB69-23CF-44E3-9099-C40C66FF867C}">
                  <a14:compatExt spid="_x0000_s7229"/>
                </a:ext>
                <a:ext uri="{FF2B5EF4-FFF2-40B4-BE49-F238E27FC236}">
                  <a16:creationId xmlns:a16="http://schemas.microsoft.com/office/drawing/2014/main" id="{00000000-0008-0000-0500-00003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399</xdr:row>
          <xdr:rowOff>171450</xdr:rowOff>
        </xdr:from>
        <xdr:to>
          <xdr:col>9</xdr:col>
          <xdr:colOff>428625</xdr:colOff>
          <xdr:row>401</xdr:row>
          <xdr:rowOff>0</xdr:rowOff>
        </xdr:to>
        <xdr:sp macro="" textlink="">
          <xdr:nvSpPr>
            <xdr:cNvPr id="7257" name="Check Box 89" hidden="1">
              <a:extLst>
                <a:ext uri="{63B3BB69-23CF-44E3-9099-C40C66FF867C}">
                  <a14:compatExt spid="_x0000_s7257"/>
                </a:ext>
                <a:ext uri="{FF2B5EF4-FFF2-40B4-BE49-F238E27FC236}">
                  <a16:creationId xmlns:a16="http://schemas.microsoft.com/office/drawing/2014/main" id="{00000000-0008-0000-0500-00005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400</xdr:row>
          <xdr:rowOff>161925</xdr:rowOff>
        </xdr:from>
        <xdr:to>
          <xdr:col>9</xdr:col>
          <xdr:colOff>428625</xdr:colOff>
          <xdr:row>402</xdr:row>
          <xdr:rowOff>0</xdr:rowOff>
        </xdr:to>
        <xdr:sp macro="" textlink="">
          <xdr:nvSpPr>
            <xdr:cNvPr id="7258" name="Check Box 90" hidden="1">
              <a:extLst>
                <a:ext uri="{63B3BB69-23CF-44E3-9099-C40C66FF867C}">
                  <a14:compatExt spid="_x0000_s7258"/>
                </a:ext>
                <a:ext uri="{FF2B5EF4-FFF2-40B4-BE49-F238E27FC236}">
                  <a16:creationId xmlns:a16="http://schemas.microsoft.com/office/drawing/2014/main" id="{00000000-0008-0000-0500-00005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401</xdr:row>
          <xdr:rowOff>180975</xdr:rowOff>
        </xdr:from>
        <xdr:to>
          <xdr:col>9</xdr:col>
          <xdr:colOff>428625</xdr:colOff>
          <xdr:row>403</xdr:row>
          <xdr:rowOff>9525</xdr:rowOff>
        </xdr:to>
        <xdr:sp macro="" textlink="">
          <xdr:nvSpPr>
            <xdr:cNvPr id="7259" name="Check Box 91" hidden="1">
              <a:extLst>
                <a:ext uri="{63B3BB69-23CF-44E3-9099-C40C66FF867C}">
                  <a14:compatExt spid="_x0000_s7259"/>
                </a:ext>
                <a:ext uri="{FF2B5EF4-FFF2-40B4-BE49-F238E27FC236}">
                  <a16:creationId xmlns:a16="http://schemas.microsoft.com/office/drawing/2014/main" id="{00000000-0008-0000-0500-00005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447</xdr:row>
          <xdr:rowOff>171450</xdr:rowOff>
        </xdr:from>
        <xdr:to>
          <xdr:col>9</xdr:col>
          <xdr:colOff>428625</xdr:colOff>
          <xdr:row>449</xdr:row>
          <xdr:rowOff>0</xdr:rowOff>
        </xdr:to>
        <xdr:sp macro="" textlink="">
          <xdr:nvSpPr>
            <xdr:cNvPr id="7260" name="Check Box 92" hidden="1">
              <a:extLst>
                <a:ext uri="{63B3BB69-23CF-44E3-9099-C40C66FF867C}">
                  <a14:compatExt spid="_x0000_s7260"/>
                </a:ext>
                <a:ext uri="{FF2B5EF4-FFF2-40B4-BE49-F238E27FC236}">
                  <a16:creationId xmlns:a16="http://schemas.microsoft.com/office/drawing/2014/main" id="{00000000-0008-0000-0500-00005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448</xdr:row>
          <xdr:rowOff>161925</xdr:rowOff>
        </xdr:from>
        <xdr:to>
          <xdr:col>9</xdr:col>
          <xdr:colOff>419100</xdr:colOff>
          <xdr:row>450</xdr:row>
          <xdr:rowOff>0</xdr:rowOff>
        </xdr:to>
        <xdr:sp macro="" textlink="">
          <xdr:nvSpPr>
            <xdr:cNvPr id="7261" name="Check Box 93" hidden="1">
              <a:extLst>
                <a:ext uri="{63B3BB69-23CF-44E3-9099-C40C66FF867C}">
                  <a14:compatExt spid="_x0000_s7261"/>
                </a:ext>
                <a:ext uri="{FF2B5EF4-FFF2-40B4-BE49-F238E27FC236}">
                  <a16:creationId xmlns:a16="http://schemas.microsoft.com/office/drawing/2014/main" id="{00000000-0008-0000-0500-00005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449</xdr:row>
          <xdr:rowOff>180975</xdr:rowOff>
        </xdr:from>
        <xdr:to>
          <xdr:col>9</xdr:col>
          <xdr:colOff>409575</xdr:colOff>
          <xdr:row>451</xdr:row>
          <xdr:rowOff>0</xdr:rowOff>
        </xdr:to>
        <xdr:sp macro="" textlink="">
          <xdr:nvSpPr>
            <xdr:cNvPr id="7262" name="Check Box 94" hidden="1">
              <a:extLst>
                <a:ext uri="{63B3BB69-23CF-44E3-9099-C40C66FF867C}">
                  <a14:compatExt spid="_x0000_s7262"/>
                </a:ext>
                <a:ext uri="{FF2B5EF4-FFF2-40B4-BE49-F238E27FC236}">
                  <a16:creationId xmlns:a16="http://schemas.microsoft.com/office/drawing/2014/main" id="{00000000-0008-0000-0500-00005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227</xdr:row>
          <xdr:rowOff>171450</xdr:rowOff>
        </xdr:from>
        <xdr:to>
          <xdr:col>9</xdr:col>
          <xdr:colOff>466725</xdr:colOff>
          <xdr:row>380</xdr:row>
          <xdr:rowOff>28575</xdr:rowOff>
        </xdr:to>
        <xdr:sp macro="" textlink="">
          <xdr:nvSpPr>
            <xdr:cNvPr id="7572" name="Check Box 404" hidden="1">
              <a:extLst>
                <a:ext uri="{63B3BB69-23CF-44E3-9099-C40C66FF867C}">
                  <a14:compatExt spid="_x0000_s7572"/>
                </a:ext>
                <a:ext uri="{FF2B5EF4-FFF2-40B4-BE49-F238E27FC236}">
                  <a16:creationId xmlns:a16="http://schemas.microsoft.com/office/drawing/2014/main" id="{00000000-0008-0000-0500-000094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228</xdr:row>
          <xdr:rowOff>161925</xdr:rowOff>
        </xdr:from>
        <xdr:to>
          <xdr:col>9</xdr:col>
          <xdr:colOff>457200</xdr:colOff>
          <xdr:row>380</xdr:row>
          <xdr:rowOff>38100</xdr:rowOff>
        </xdr:to>
        <xdr:sp macro="" textlink="">
          <xdr:nvSpPr>
            <xdr:cNvPr id="7573" name="Check Box 405" hidden="1">
              <a:extLst>
                <a:ext uri="{63B3BB69-23CF-44E3-9099-C40C66FF867C}">
                  <a14:compatExt spid="_x0000_s7573"/>
                </a:ext>
                <a:ext uri="{FF2B5EF4-FFF2-40B4-BE49-F238E27FC236}">
                  <a16:creationId xmlns:a16="http://schemas.microsoft.com/office/drawing/2014/main" id="{00000000-0008-0000-0500-000095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226</xdr:row>
          <xdr:rowOff>180975</xdr:rowOff>
        </xdr:from>
        <xdr:to>
          <xdr:col>10</xdr:col>
          <xdr:colOff>0</xdr:colOff>
          <xdr:row>380</xdr:row>
          <xdr:rowOff>28575</xdr:rowOff>
        </xdr:to>
        <xdr:sp macro="" textlink="">
          <xdr:nvSpPr>
            <xdr:cNvPr id="7577" name="Check Box 409" hidden="1">
              <a:extLst>
                <a:ext uri="{63B3BB69-23CF-44E3-9099-C40C66FF867C}">
                  <a14:compatExt spid="_x0000_s7577"/>
                </a:ext>
                <a:ext uri="{FF2B5EF4-FFF2-40B4-BE49-F238E27FC236}">
                  <a16:creationId xmlns:a16="http://schemas.microsoft.com/office/drawing/2014/main" id="{00000000-0008-0000-0500-000099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0</xdr:col>
      <xdr:colOff>228389</xdr:colOff>
      <xdr:row>379</xdr:row>
      <xdr:rowOff>165365</xdr:rowOff>
    </xdr:from>
    <xdr:to>
      <xdr:col>0</xdr:col>
      <xdr:colOff>502709</xdr:colOff>
      <xdr:row>379</xdr:row>
      <xdr:rowOff>165365</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a:off x="9982543958" y="75598073"/>
          <a:ext cx="274320" cy="0"/>
        </a:xfrm>
        <a:prstGeom prst="straightConnector1">
          <a:avLst/>
        </a:prstGeom>
        <a:ln w="28575">
          <a:solidFill>
            <a:schemeClr val="bg1"/>
          </a:solidFill>
          <a:headEnd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9</xdr:col>
          <xdr:colOff>152400</xdr:colOff>
          <xdr:row>375</xdr:row>
          <xdr:rowOff>161925</xdr:rowOff>
        </xdr:from>
        <xdr:to>
          <xdr:col>9</xdr:col>
          <xdr:colOff>447675</xdr:colOff>
          <xdr:row>380</xdr:row>
          <xdr:rowOff>28575</xdr:rowOff>
        </xdr:to>
        <xdr:sp macro="" textlink="">
          <xdr:nvSpPr>
            <xdr:cNvPr id="7214" name="Check Box 46" hidden="1">
              <a:extLst>
                <a:ext uri="{63B3BB69-23CF-44E3-9099-C40C66FF867C}">
                  <a14:compatExt spid="_x0000_s7214"/>
                </a:ext>
                <a:ext uri="{FF2B5EF4-FFF2-40B4-BE49-F238E27FC236}">
                  <a16:creationId xmlns:a16="http://schemas.microsoft.com/office/drawing/2014/main" id="{00000000-0008-0000-0500-00002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374</xdr:row>
          <xdr:rowOff>171450</xdr:rowOff>
        </xdr:from>
        <xdr:to>
          <xdr:col>9</xdr:col>
          <xdr:colOff>447675</xdr:colOff>
          <xdr:row>380</xdr:row>
          <xdr:rowOff>28575</xdr:rowOff>
        </xdr:to>
        <xdr:sp macro="" textlink="">
          <xdr:nvSpPr>
            <xdr:cNvPr id="7213" name="Check Box 45" hidden="1">
              <a:extLst>
                <a:ext uri="{63B3BB69-23CF-44E3-9099-C40C66FF867C}">
                  <a14:compatExt spid="_x0000_s7213"/>
                </a:ext>
                <a:ext uri="{FF2B5EF4-FFF2-40B4-BE49-F238E27FC236}">
                  <a16:creationId xmlns:a16="http://schemas.microsoft.com/office/drawing/2014/main" id="{00000000-0008-0000-0500-00002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371</xdr:row>
          <xdr:rowOff>171450</xdr:rowOff>
        </xdr:from>
        <xdr:to>
          <xdr:col>9</xdr:col>
          <xdr:colOff>466725</xdr:colOff>
          <xdr:row>380</xdr:row>
          <xdr:rowOff>28575</xdr:rowOff>
        </xdr:to>
        <xdr:sp macro="" textlink="">
          <xdr:nvSpPr>
            <xdr:cNvPr id="7418" name="Check Box 250" hidden="1">
              <a:extLst>
                <a:ext uri="{63B3BB69-23CF-44E3-9099-C40C66FF867C}">
                  <a14:compatExt spid="_x0000_s7418"/>
                </a:ext>
                <a:ext uri="{FF2B5EF4-FFF2-40B4-BE49-F238E27FC236}">
                  <a16:creationId xmlns:a16="http://schemas.microsoft.com/office/drawing/2014/main" id="{00000000-0008-0000-0500-0000F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372</xdr:row>
          <xdr:rowOff>161925</xdr:rowOff>
        </xdr:from>
        <xdr:to>
          <xdr:col>9</xdr:col>
          <xdr:colOff>457200</xdr:colOff>
          <xdr:row>380</xdr:row>
          <xdr:rowOff>38100</xdr:rowOff>
        </xdr:to>
        <xdr:sp macro="" textlink="">
          <xdr:nvSpPr>
            <xdr:cNvPr id="7419" name="Check Box 251" hidden="1">
              <a:extLst>
                <a:ext uri="{63B3BB69-23CF-44E3-9099-C40C66FF867C}">
                  <a14:compatExt spid="_x0000_s7419"/>
                </a:ext>
                <a:ext uri="{FF2B5EF4-FFF2-40B4-BE49-F238E27FC236}">
                  <a16:creationId xmlns:a16="http://schemas.microsoft.com/office/drawing/2014/main" id="{00000000-0008-0000-0500-0000F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373</xdr:row>
          <xdr:rowOff>171450</xdr:rowOff>
        </xdr:from>
        <xdr:to>
          <xdr:col>9</xdr:col>
          <xdr:colOff>447675</xdr:colOff>
          <xdr:row>380</xdr:row>
          <xdr:rowOff>28575</xdr:rowOff>
        </xdr:to>
        <xdr:sp macro="" textlink="">
          <xdr:nvSpPr>
            <xdr:cNvPr id="7420" name="Check Box 252" hidden="1">
              <a:extLst>
                <a:ext uri="{63B3BB69-23CF-44E3-9099-C40C66FF867C}">
                  <a14:compatExt spid="_x0000_s7420"/>
                </a:ext>
                <a:ext uri="{FF2B5EF4-FFF2-40B4-BE49-F238E27FC236}">
                  <a16:creationId xmlns:a16="http://schemas.microsoft.com/office/drawing/2014/main" id="{00000000-0008-0000-0500-0000F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368</xdr:row>
          <xdr:rowOff>171450</xdr:rowOff>
        </xdr:from>
        <xdr:to>
          <xdr:col>9</xdr:col>
          <xdr:colOff>466725</xdr:colOff>
          <xdr:row>380</xdr:row>
          <xdr:rowOff>28575</xdr:rowOff>
        </xdr:to>
        <xdr:sp macro="" textlink="">
          <xdr:nvSpPr>
            <xdr:cNvPr id="7421" name="Check Box 253" hidden="1">
              <a:extLst>
                <a:ext uri="{63B3BB69-23CF-44E3-9099-C40C66FF867C}">
                  <a14:compatExt spid="_x0000_s7421"/>
                </a:ext>
                <a:ext uri="{FF2B5EF4-FFF2-40B4-BE49-F238E27FC236}">
                  <a16:creationId xmlns:a16="http://schemas.microsoft.com/office/drawing/2014/main" id="{00000000-0008-0000-0500-0000F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369</xdr:row>
          <xdr:rowOff>161925</xdr:rowOff>
        </xdr:from>
        <xdr:to>
          <xdr:col>9</xdr:col>
          <xdr:colOff>466725</xdr:colOff>
          <xdr:row>380</xdr:row>
          <xdr:rowOff>38100</xdr:rowOff>
        </xdr:to>
        <xdr:sp macro="" textlink="">
          <xdr:nvSpPr>
            <xdr:cNvPr id="7422" name="Check Box 254" hidden="1">
              <a:extLst>
                <a:ext uri="{63B3BB69-23CF-44E3-9099-C40C66FF867C}">
                  <a14:compatExt spid="_x0000_s7422"/>
                </a:ext>
                <a:ext uri="{FF2B5EF4-FFF2-40B4-BE49-F238E27FC236}">
                  <a16:creationId xmlns:a16="http://schemas.microsoft.com/office/drawing/2014/main" id="{00000000-0008-0000-0500-0000F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370</xdr:row>
          <xdr:rowOff>180975</xdr:rowOff>
        </xdr:from>
        <xdr:to>
          <xdr:col>10</xdr:col>
          <xdr:colOff>0</xdr:colOff>
          <xdr:row>380</xdr:row>
          <xdr:rowOff>28575</xdr:rowOff>
        </xdr:to>
        <xdr:sp macro="" textlink="">
          <xdr:nvSpPr>
            <xdr:cNvPr id="7423" name="Check Box 255" hidden="1">
              <a:extLst>
                <a:ext uri="{63B3BB69-23CF-44E3-9099-C40C66FF867C}">
                  <a14:compatExt spid="_x0000_s7423"/>
                </a:ext>
                <a:ext uri="{FF2B5EF4-FFF2-40B4-BE49-F238E27FC236}">
                  <a16:creationId xmlns:a16="http://schemas.microsoft.com/office/drawing/2014/main" id="{00000000-0008-0000-0500-0000F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365</xdr:row>
          <xdr:rowOff>171450</xdr:rowOff>
        </xdr:from>
        <xdr:to>
          <xdr:col>9</xdr:col>
          <xdr:colOff>466725</xdr:colOff>
          <xdr:row>380</xdr:row>
          <xdr:rowOff>28575</xdr:rowOff>
        </xdr:to>
        <xdr:sp macro="" textlink="">
          <xdr:nvSpPr>
            <xdr:cNvPr id="7424" name="Check Box 256" hidden="1">
              <a:extLst>
                <a:ext uri="{63B3BB69-23CF-44E3-9099-C40C66FF867C}">
                  <a14:compatExt spid="_x0000_s7424"/>
                </a:ext>
                <a:ext uri="{FF2B5EF4-FFF2-40B4-BE49-F238E27FC236}">
                  <a16:creationId xmlns:a16="http://schemas.microsoft.com/office/drawing/2014/main" id="{00000000-0008-0000-0500-000000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366</xdr:row>
          <xdr:rowOff>161925</xdr:rowOff>
        </xdr:from>
        <xdr:to>
          <xdr:col>9</xdr:col>
          <xdr:colOff>457200</xdr:colOff>
          <xdr:row>380</xdr:row>
          <xdr:rowOff>38100</xdr:rowOff>
        </xdr:to>
        <xdr:sp macro="" textlink="">
          <xdr:nvSpPr>
            <xdr:cNvPr id="7425" name="Check Box 257" hidden="1">
              <a:extLst>
                <a:ext uri="{63B3BB69-23CF-44E3-9099-C40C66FF867C}">
                  <a14:compatExt spid="_x0000_s7425"/>
                </a:ext>
                <a:ext uri="{FF2B5EF4-FFF2-40B4-BE49-F238E27FC236}">
                  <a16:creationId xmlns:a16="http://schemas.microsoft.com/office/drawing/2014/main" id="{00000000-0008-0000-0500-000001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367</xdr:row>
          <xdr:rowOff>171450</xdr:rowOff>
        </xdr:from>
        <xdr:to>
          <xdr:col>9</xdr:col>
          <xdr:colOff>447675</xdr:colOff>
          <xdr:row>380</xdr:row>
          <xdr:rowOff>28575</xdr:rowOff>
        </xdr:to>
        <xdr:sp macro="" textlink="">
          <xdr:nvSpPr>
            <xdr:cNvPr id="7426" name="Check Box 258" hidden="1">
              <a:extLst>
                <a:ext uri="{63B3BB69-23CF-44E3-9099-C40C66FF867C}">
                  <a14:compatExt spid="_x0000_s7426"/>
                </a:ext>
                <a:ext uri="{FF2B5EF4-FFF2-40B4-BE49-F238E27FC236}">
                  <a16:creationId xmlns:a16="http://schemas.microsoft.com/office/drawing/2014/main" id="{00000000-0008-0000-0500-000002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362</xdr:row>
          <xdr:rowOff>171450</xdr:rowOff>
        </xdr:from>
        <xdr:to>
          <xdr:col>9</xdr:col>
          <xdr:colOff>466725</xdr:colOff>
          <xdr:row>380</xdr:row>
          <xdr:rowOff>28575</xdr:rowOff>
        </xdr:to>
        <xdr:sp macro="" textlink="">
          <xdr:nvSpPr>
            <xdr:cNvPr id="7427" name="Check Box 259" hidden="1">
              <a:extLst>
                <a:ext uri="{63B3BB69-23CF-44E3-9099-C40C66FF867C}">
                  <a14:compatExt spid="_x0000_s7427"/>
                </a:ext>
                <a:ext uri="{FF2B5EF4-FFF2-40B4-BE49-F238E27FC236}">
                  <a16:creationId xmlns:a16="http://schemas.microsoft.com/office/drawing/2014/main" id="{00000000-0008-0000-0500-000003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363</xdr:row>
          <xdr:rowOff>161925</xdr:rowOff>
        </xdr:from>
        <xdr:to>
          <xdr:col>9</xdr:col>
          <xdr:colOff>466725</xdr:colOff>
          <xdr:row>380</xdr:row>
          <xdr:rowOff>38100</xdr:rowOff>
        </xdr:to>
        <xdr:sp macro="" textlink="">
          <xdr:nvSpPr>
            <xdr:cNvPr id="7428" name="Check Box 260" hidden="1">
              <a:extLst>
                <a:ext uri="{63B3BB69-23CF-44E3-9099-C40C66FF867C}">
                  <a14:compatExt spid="_x0000_s7428"/>
                </a:ext>
                <a:ext uri="{FF2B5EF4-FFF2-40B4-BE49-F238E27FC236}">
                  <a16:creationId xmlns:a16="http://schemas.microsoft.com/office/drawing/2014/main" id="{00000000-0008-0000-0500-000004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364</xdr:row>
          <xdr:rowOff>180975</xdr:rowOff>
        </xdr:from>
        <xdr:to>
          <xdr:col>10</xdr:col>
          <xdr:colOff>0</xdr:colOff>
          <xdr:row>380</xdr:row>
          <xdr:rowOff>28575</xdr:rowOff>
        </xdr:to>
        <xdr:sp macro="" textlink="">
          <xdr:nvSpPr>
            <xdr:cNvPr id="7429" name="Check Box 261" hidden="1">
              <a:extLst>
                <a:ext uri="{63B3BB69-23CF-44E3-9099-C40C66FF867C}">
                  <a14:compatExt spid="_x0000_s7429"/>
                </a:ext>
                <a:ext uri="{FF2B5EF4-FFF2-40B4-BE49-F238E27FC236}">
                  <a16:creationId xmlns:a16="http://schemas.microsoft.com/office/drawing/2014/main" id="{00000000-0008-0000-0500-000005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359</xdr:row>
          <xdr:rowOff>171450</xdr:rowOff>
        </xdr:from>
        <xdr:to>
          <xdr:col>9</xdr:col>
          <xdr:colOff>466725</xdr:colOff>
          <xdr:row>380</xdr:row>
          <xdr:rowOff>28575</xdr:rowOff>
        </xdr:to>
        <xdr:sp macro="" textlink="">
          <xdr:nvSpPr>
            <xdr:cNvPr id="7430" name="Check Box 262" hidden="1">
              <a:extLst>
                <a:ext uri="{63B3BB69-23CF-44E3-9099-C40C66FF867C}">
                  <a14:compatExt spid="_x0000_s7430"/>
                </a:ext>
                <a:ext uri="{FF2B5EF4-FFF2-40B4-BE49-F238E27FC236}">
                  <a16:creationId xmlns:a16="http://schemas.microsoft.com/office/drawing/2014/main" id="{00000000-0008-0000-0500-000006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360</xdr:row>
          <xdr:rowOff>161925</xdr:rowOff>
        </xdr:from>
        <xdr:to>
          <xdr:col>9</xdr:col>
          <xdr:colOff>466725</xdr:colOff>
          <xdr:row>380</xdr:row>
          <xdr:rowOff>38100</xdr:rowOff>
        </xdr:to>
        <xdr:sp macro="" textlink="">
          <xdr:nvSpPr>
            <xdr:cNvPr id="7431" name="Check Box 263" hidden="1">
              <a:extLst>
                <a:ext uri="{63B3BB69-23CF-44E3-9099-C40C66FF867C}">
                  <a14:compatExt spid="_x0000_s7431"/>
                </a:ext>
                <a:ext uri="{FF2B5EF4-FFF2-40B4-BE49-F238E27FC236}">
                  <a16:creationId xmlns:a16="http://schemas.microsoft.com/office/drawing/2014/main" id="{00000000-0008-0000-0500-000007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356</xdr:row>
          <xdr:rowOff>171450</xdr:rowOff>
        </xdr:from>
        <xdr:to>
          <xdr:col>9</xdr:col>
          <xdr:colOff>466725</xdr:colOff>
          <xdr:row>380</xdr:row>
          <xdr:rowOff>28575</xdr:rowOff>
        </xdr:to>
        <xdr:sp macro="" textlink="">
          <xdr:nvSpPr>
            <xdr:cNvPr id="7432" name="Check Box 264" hidden="1">
              <a:extLst>
                <a:ext uri="{63B3BB69-23CF-44E3-9099-C40C66FF867C}">
                  <a14:compatExt spid="_x0000_s7432"/>
                </a:ext>
                <a:ext uri="{FF2B5EF4-FFF2-40B4-BE49-F238E27FC236}">
                  <a16:creationId xmlns:a16="http://schemas.microsoft.com/office/drawing/2014/main" id="{00000000-0008-0000-0500-000008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357</xdr:row>
          <xdr:rowOff>161925</xdr:rowOff>
        </xdr:from>
        <xdr:to>
          <xdr:col>9</xdr:col>
          <xdr:colOff>457200</xdr:colOff>
          <xdr:row>380</xdr:row>
          <xdr:rowOff>38100</xdr:rowOff>
        </xdr:to>
        <xdr:sp macro="" textlink="">
          <xdr:nvSpPr>
            <xdr:cNvPr id="7433" name="Check Box 265" hidden="1">
              <a:extLst>
                <a:ext uri="{63B3BB69-23CF-44E3-9099-C40C66FF867C}">
                  <a14:compatExt spid="_x0000_s7433"/>
                </a:ext>
                <a:ext uri="{FF2B5EF4-FFF2-40B4-BE49-F238E27FC236}">
                  <a16:creationId xmlns:a16="http://schemas.microsoft.com/office/drawing/2014/main" id="{00000000-0008-0000-0500-000009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358</xdr:row>
          <xdr:rowOff>171450</xdr:rowOff>
        </xdr:from>
        <xdr:to>
          <xdr:col>9</xdr:col>
          <xdr:colOff>447675</xdr:colOff>
          <xdr:row>380</xdr:row>
          <xdr:rowOff>28575</xdr:rowOff>
        </xdr:to>
        <xdr:sp macro="" textlink="">
          <xdr:nvSpPr>
            <xdr:cNvPr id="7434" name="Check Box 266" hidden="1">
              <a:extLst>
                <a:ext uri="{63B3BB69-23CF-44E3-9099-C40C66FF867C}">
                  <a14:compatExt spid="_x0000_s7434"/>
                </a:ext>
                <a:ext uri="{FF2B5EF4-FFF2-40B4-BE49-F238E27FC236}">
                  <a16:creationId xmlns:a16="http://schemas.microsoft.com/office/drawing/2014/main" id="{00000000-0008-0000-0500-00000A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353</xdr:row>
          <xdr:rowOff>171450</xdr:rowOff>
        </xdr:from>
        <xdr:to>
          <xdr:col>9</xdr:col>
          <xdr:colOff>466725</xdr:colOff>
          <xdr:row>380</xdr:row>
          <xdr:rowOff>28575</xdr:rowOff>
        </xdr:to>
        <xdr:sp macro="" textlink="">
          <xdr:nvSpPr>
            <xdr:cNvPr id="7435" name="Check Box 267" hidden="1">
              <a:extLst>
                <a:ext uri="{63B3BB69-23CF-44E3-9099-C40C66FF867C}">
                  <a14:compatExt spid="_x0000_s7435"/>
                </a:ext>
                <a:ext uri="{FF2B5EF4-FFF2-40B4-BE49-F238E27FC236}">
                  <a16:creationId xmlns:a16="http://schemas.microsoft.com/office/drawing/2014/main" id="{00000000-0008-0000-0500-00000B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354</xdr:row>
          <xdr:rowOff>161925</xdr:rowOff>
        </xdr:from>
        <xdr:to>
          <xdr:col>9</xdr:col>
          <xdr:colOff>466725</xdr:colOff>
          <xdr:row>380</xdr:row>
          <xdr:rowOff>38100</xdr:rowOff>
        </xdr:to>
        <xdr:sp macro="" textlink="">
          <xdr:nvSpPr>
            <xdr:cNvPr id="7436" name="Check Box 268" hidden="1">
              <a:extLst>
                <a:ext uri="{63B3BB69-23CF-44E3-9099-C40C66FF867C}">
                  <a14:compatExt spid="_x0000_s7436"/>
                </a:ext>
                <a:ext uri="{FF2B5EF4-FFF2-40B4-BE49-F238E27FC236}">
                  <a16:creationId xmlns:a16="http://schemas.microsoft.com/office/drawing/2014/main" id="{00000000-0008-0000-0500-00000C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355</xdr:row>
          <xdr:rowOff>180975</xdr:rowOff>
        </xdr:from>
        <xdr:to>
          <xdr:col>10</xdr:col>
          <xdr:colOff>0</xdr:colOff>
          <xdr:row>380</xdr:row>
          <xdr:rowOff>28575</xdr:rowOff>
        </xdr:to>
        <xdr:sp macro="" textlink="">
          <xdr:nvSpPr>
            <xdr:cNvPr id="7437" name="Check Box 269" hidden="1">
              <a:extLst>
                <a:ext uri="{63B3BB69-23CF-44E3-9099-C40C66FF867C}">
                  <a14:compatExt spid="_x0000_s7437"/>
                </a:ext>
                <a:ext uri="{FF2B5EF4-FFF2-40B4-BE49-F238E27FC236}">
                  <a16:creationId xmlns:a16="http://schemas.microsoft.com/office/drawing/2014/main" id="{00000000-0008-0000-0500-00000D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350</xdr:row>
          <xdr:rowOff>171450</xdr:rowOff>
        </xdr:from>
        <xdr:to>
          <xdr:col>9</xdr:col>
          <xdr:colOff>466725</xdr:colOff>
          <xdr:row>380</xdr:row>
          <xdr:rowOff>28575</xdr:rowOff>
        </xdr:to>
        <xdr:sp macro="" textlink="">
          <xdr:nvSpPr>
            <xdr:cNvPr id="7438" name="Check Box 270" hidden="1">
              <a:extLst>
                <a:ext uri="{63B3BB69-23CF-44E3-9099-C40C66FF867C}">
                  <a14:compatExt spid="_x0000_s7438"/>
                </a:ext>
                <a:ext uri="{FF2B5EF4-FFF2-40B4-BE49-F238E27FC236}">
                  <a16:creationId xmlns:a16="http://schemas.microsoft.com/office/drawing/2014/main" id="{00000000-0008-0000-0500-00000E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351</xdr:row>
          <xdr:rowOff>161925</xdr:rowOff>
        </xdr:from>
        <xdr:to>
          <xdr:col>9</xdr:col>
          <xdr:colOff>466725</xdr:colOff>
          <xdr:row>380</xdr:row>
          <xdr:rowOff>38100</xdr:rowOff>
        </xdr:to>
        <xdr:sp macro="" textlink="">
          <xdr:nvSpPr>
            <xdr:cNvPr id="7439" name="Check Box 271" hidden="1">
              <a:extLst>
                <a:ext uri="{63B3BB69-23CF-44E3-9099-C40C66FF867C}">
                  <a14:compatExt spid="_x0000_s7439"/>
                </a:ext>
                <a:ext uri="{FF2B5EF4-FFF2-40B4-BE49-F238E27FC236}">
                  <a16:creationId xmlns:a16="http://schemas.microsoft.com/office/drawing/2014/main" id="{00000000-0008-0000-0500-00000F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347</xdr:row>
          <xdr:rowOff>171450</xdr:rowOff>
        </xdr:from>
        <xdr:to>
          <xdr:col>9</xdr:col>
          <xdr:colOff>466725</xdr:colOff>
          <xdr:row>380</xdr:row>
          <xdr:rowOff>28575</xdr:rowOff>
        </xdr:to>
        <xdr:sp macro="" textlink="">
          <xdr:nvSpPr>
            <xdr:cNvPr id="7440" name="Check Box 272" hidden="1">
              <a:extLst>
                <a:ext uri="{63B3BB69-23CF-44E3-9099-C40C66FF867C}">
                  <a14:compatExt spid="_x0000_s7440"/>
                </a:ext>
                <a:ext uri="{FF2B5EF4-FFF2-40B4-BE49-F238E27FC236}">
                  <a16:creationId xmlns:a16="http://schemas.microsoft.com/office/drawing/2014/main" id="{00000000-0008-0000-0500-000010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348</xdr:row>
          <xdr:rowOff>161925</xdr:rowOff>
        </xdr:from>
        <xdr:to>
          <xdr:col>9</xdr:col>
          <xdr:colOff>466725</xdr:colOff>
          <xdr:row>380</xdr:row>
          <xdr:rowOff>38100</xdr:rowOff>
        </xdr:to>
        <xdr:sp macro="" textlink="">
          <xdr:nvSpPr>
            <xdr:cNvPr id="7441" name="Check Box 273" hidden="1">
              <a:extLst>
                <a:ext uri="{63B3BB69-23CF-44E3-9099-C40C66FF867C}">
                  <a14:compatExt spid="_x0000_s7441"/>
                </a:ext>
                <a:ext uri="{FF2B5EF4-FFF2-40B4-BE49-F238E27FC236}">
                  <a16:creationId xmlns:a16="http://schemas.microsoft.com/office/drawing/2014/main" id="{00000000-0008-0000-0500-000011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349</xdr:row>
          <xdr:rowOff>190500</xdr:rowOff>
        </xdr:from>
        <xdr:to>
          <xdr:col>10</xdr:col>
          <xdr:colOff>0</xdr:colOff>
          <xdr:row>380</xdr:row>
          <xdr:rowOff>28575</xdr:rowOff>
        </xdr:to>
        <xdr:sp macro="" textlink="">
          <xdr:nvSpPr>
            <xdr:cNvPr id="7442" name="Check Box 274" hidden="1">
              <a:extLst>
                <a:ext uri="{63B3BB69-23CF-44E3-9099-C40C66FF867C}">
                  <a14:compatExt spid="_x0000_s7442"/>
                </a:ext>
                <a:ext uri="{FF2B5EF4-FFF2-40B4-BE49-F238E27FC236}">
                  <a16:creationId xmlns:a16="http://schemas.microsoft.com/office/drawing/2014/main" id="{00000000-0008-0000-0500-000012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352</xdr:row>
          <xdr:rowOff>171450</xdr:rowOff>
        </xdr:from>
        <xdr:to>
          <xdr:col>9</xdr:col>
          <xdr:colOff>466725</xdr:colOff>
          <xdr:row>380</xdr:row>
          <xdr:rowOff>38100</xdr:rowOff>
        </xdr:to>
        <xdr:sp macro="" textlink="">
          <xdr:nvSpPr>
            <xdr:cNvPr id="7446" name="Check Box 278" hidden="1">
              <a:extLst>
                <a:ext uri="{63B3BB69-23CF-44E3-9099-C40C66FF867C}">
                  <a14:compatExt spid="_x0000_s7446"/>
                </a:ext>
                <a:ext uri="{FF2B5EF4-FFF2-40B4-BE49-F238E27FC236}">
                  <a16:creationId xmlns:a16="http://schemas.microsoft.com/office/drawing/2014/main" id="{00000000-0008-0000-0500-000016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361</xdr:row>
          <xdr:rowOff>190500</xdr:rowOff>
        </xdr:from>
        <xdr:to>
          <xdr:col>9</xdr:col>
          <xdr:colOff>466725</xdr:colOff>
          <xdr:row>380</xdr:row>
          <xdr:rowOff>38100</xdr:rowOff>
        </xdr:to>
        <xdr:sp macro="" textlink="">
          <xdr:nvSpPr>
            <xdr:cNvPr id="7447" name="Check Box 279" hidden="1">
              <a:extLst>
                <a:ext uri="{63B3BB69-23CF-44E3-9099-C40C66FF867C}">
                  <a14:compatExt spid="_x0000_s7447"/>
                </a:ext>
                <a:ext uri="{FF2B5EF4-FFF2-40B4-BE49-F238E27FC236}">
                  <a16:creationId xmlns:a16="http://schemas.microsoft.com/office/drawing/2014/main" id="{00000000-0008-0000-0500-000017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344</xdr:row>
          <xdr:rowOff>171450</xdr:rowOff>
        </xdr:from>
        <xdr:to>
          <xdr:col>9</xdr:col>
          <xdr:colOff>466725</xdr:colOff>
          <xdr:row>380</xdr:row>
          <xdr:rowOff>28575</xdr:rowOff>
        </xdr:to>
        <xdr:sp macro="" textlink="">
          <xdr:nvSpPr>
            <xdr:cNvPr id="7602" name="Check Box 434" hidden="1">
              <a:extLst>
                <a:ext uri="{63B3BB69-23CF-44E3-9099-C40C66FF867C}">
                  <a14:compatExt spid="_x0000_s7602"/>
                </a:ext>
                <a:ext uri="{FF2B5EF4-FFF2-40B4-BE49-F238E27FC236}">
                  <a16:creationId xmlns:a16="http://schemas.microsoft.com/office/drawing/2014/main" id="{00000000-0008-0000-0500-0000B2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345</xdr:row>
          <xdr:rowOff>161925</xdr:rowOff>
        </xdr:from>
        <xdr:to>
          <xdr:col>9</xdr:col>
          <xdr:colOff>466725</xdr:colOff>
          <xdr:row>380</xdr:row>
          <xdr:rowOff>38100</xdr:rowOff>
        </xdr:to>
        <xdr:sp macro="" textlink="">
          <xdr:nvSpPr>
            <xdr:cNvPr id="7603" name="Check Box 435" hidden="1">
              <a:extLst>
                <a:ext uri="{63B3BB69-23CF-44E3-9099-C40C66FF867C}">
                  <a14:compatExt spid="_x0000_s7603"/>
                </a:ext>
                <a:ext uri="{FF2B5EF4-FFF2-40B4-BE49-F238E27FC236}">
                  <a16:creationId xmlns:a16="http://schemas.microsoft.com/office/drawing/2014/main" id="{00000000-0008-0000-0500-0000B3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341</xdr:row>
          <xdr:rowOff>171450</xdr:rowOff>
        </xdr:from>
        <xdr:to>
          <xdr:col>9</xdr:col>
          <xdr:colOff>466725</xdr:colOff>
          <xdr:row>380</xdr:row>
          <xdr:rowOff>28575</xdr:rowOff>
        </xdr:to>
        <xdr:sp macro="" textlink="">
          <xdr:nvSpPr>
            <xdr:cNvPr id="7604" name="Check Box 436" hidden="1">
              <a:extLst>
                <a:ext uri="{63B3BB69-23CF-44E3-9099-C40C66FF867C}">
                  <a14:compatExt spid="_x0000_s7604"/>
                </a:ext>
                <a:ext uri="{FF2B5EF4-FFF2-40B4-BE49-F238E27FC236}">
                  <a16:creationId xmlns:a16="http://schemas.microsoft.com/office/drawing/2014/main" id="{00000000-0008-0000-0500-0000B4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342</xdr:row>
          <xdr:rowOff>161925</xdr:rowOff>
        </xdr:from>
        <xdr:to>
          <xdr:col>9</xdr:col>
          <xdr:colOff>457200</xdr:colOff>
          <xdr:row>380</xdr:row>
          <xdr:rowOff>38100</xdr:rowOff>
        </xdr:to>
        <xdr:sp macro="" textlink="">
          <xdr:nvSpPr>
            <xdr:cNvPr id="7605" name="Check Box 437" hidden="1">
              <a:extLst>
                <a:ext uri="{63B3BB69-23CF-44E3-9099-C40C66FF867C}">
                  <a14:compatExt spid="_x0000_s7605"/>
                </a:ext>
                <a:ext uri="{FF2B5EF4-FFF2-40B4-BE49-F238E27FC236}">
                  <a16:creationId xmlns:a16="http://schemas.microsoft.com/office/drawing/2014/main" id="{00000000-0008-0000-0500-0000B5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343</xdr:row>
          <xdr:rowOff>171450</xdr:rowOff>
        </xdr:from>
        <xdr:to>
          <xdr:col>9</xdr:col>
          <xdr:colOff>447675</xdr:colOff>
          <xdr:row>380</xdr:row>
          <xdr:rowOff>28575</xdr:rowOff>
        </xdr:to>
        <xdr:sp macro="" textlink="">
          <xdr:nvSpPr>
            <xdr:cNvPr id="7606" name="Check Box 438" hidden="1">
              <a:extLst>
                <a:ext uri="{63B3BB69-23CF-44E3-9099-C40C66FF867C}">
                  <a14:compatExt spid="_x0000_s7606"/>
                </a:ext>
                <a:ext uri="{FF2B5EF4-FFF2-40B4-BE49-F238E27FC236}">
                  <a16:creationId xmlns:a16="http://schemas.microsoft.com/office/drawing/2014/main" id="{00000000-0008-0000-0500-0000B6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338</xdr:row>
          <xdr:rowOff>171450</xdr:rowOff>
        </xdr:from>
        <xdr:to>
          <xdr:col>9</xdr:col>
          <xdr:colOff>466725</xdr:colOff>
          <xdr:row>380</xdr:row>
          <xdr:rowOff>28575</xdr:rowOff>
        </xdr:to>
        <xdr:sp macro="" textlink="">
          <xdr:nvSpPr>
            <xdr:cNvPr id="7607" name="Check Box 439" hidden="1">
              <a:extLst>
                <a:ext uri="{63B3BB69-23CF-44E3-9099-C40C66FF867C}">
                  <a14:compatExt spid="_x0000_s7607"/>
                </a:ext>
                <a:ext uri="{FF2B5EF4-FFF2-40B4-BE49-F238E27FC236}">
                  <a16:creationId xmlns:a16="http://schemas.microsoft.com/office/drawing/2014/main" id="{00000000-0008-0000-0500-0000B7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339</xdr:row>
          <xdr:rowOff>161925</xdr:rowOff>
        </xdr:from>
        <xdr:to>
          <xdr:col>9</xdr:col>
          <xdr:colOff>466725</xdr:colOff>
          <xdr:row>380</xdr:row>
          <xdr:rowOff>38100</xdr:rowOff>
        </xdr:to>
        <xdr:sp macro="" textlink="">
          <xdr:nvSpPr>
            <xdr:cNvPr id="7608" name="Check Box 440" hidden="1">
              <a:extLst>
                <a:ext uri="{63B3BB69-23CF-44E3-9099-C40C66FF867C}">
                  <a14:compatExt spid="_x0000_s7608"/>
                </a:ext>
                <a:ext uri="{FF2B5EF4-FFF2-40B4-BE49-F238E27FC236}">
                  <a16:creationId xmlns:a16="http://schemas.microsoft.com/office/drawing/2014/main" id="{00000000-0008-0000-0500-0000B8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340</xdr:row>
          <xdr:rowOff>180975</xdr:rowOff>
        </xdr:from>
        <xdr:to>
          <xdr:col>10</xdr:col>
          <xdr:colOff>0</xdr:colOff>
          <xdr:row>380</xdr:row>
          <xdr:rowOff>28575</xdr:rowOff>
        </xdr:to>
        <xdr:sp macro="" textlink="">
          <xdr:nvSpPr>
            <xdr:cNvPr id="7609" name="Check Box 441" hidden="1">
              <a:extLst>
                <a:ext uri="{63B3BB69-23CF-44E3-9099-C40C66FF867C}">
                  <a14:compatExt spid="_x0000_s7609"/>
                </a:ext>
                <a:ext uri="{FF2B5EF4-FFF2-40B4-BE49-F238E27FC236}">
                  <a16:creationId xmlns:a16="http://schemas.microsoft.com/office/drawing/2014/main" id="{00000000-0008-0000-0500-0000B9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335</xdr:row>
          <xdr:rowOff>171450</xdr:rowOff>
        </xdr:from>
        <xdr:to>
          <xdr:col>9</xdr:col>
          <xdr:colOff>466725</xdr:colOff>
          <xdr:row>380</xdr:row>
          <xdr:rowOff>28575</xdr:rowOff>
        </xdr:to>
        <xdr:sp macro="" textlink="">
          <xdr:nvSpPr>
            <xdr:cNvPr id="7610" name="Check Box 442" hidden="1">
              <a:extLst>
                <a:ext uri="{63B3BB69-23CF-44E3-9099-C40C66FF867C}">
                  <a14:compatExt spid="_x0000_s7610"/>
                </a:ext>
                <a:ext uri="{FF2B5EF4-FFF2-40B4-BE49-F238E27FC236}">
                  <a16:creationId xmlns:a16="http://schemas.microsoft.com/office/drawing/2014/main" id="{00000000-0008-0000-0500-0000BA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336</xdr:row>
          <xdr:rowOff>161925</xdr:rowOff>
        </xdr:from>
        <xdr:to>
          <xdr:col>9</xdr:col>
          <xdr:colOff>457200</xdr:colOff>
          <xdr:row>380</xdr:row>
          <xdr:rowOff>38100</xdr:rowOff>
        </xdr:to>
        <xdr:sp macro="" textlink="">
          <xdr:nvSpPr>
            <xdr:cNvPr id="7611" name="Check Box 443" hidden="1">
              <a:extLst>
                <a:ext uri="{63B3BB69-23CF-44E3-9099-C40C66FF867C}">
                  <a14:compatExt spid="_x0000_s7611"/>
                </a:ext>
                <a:ext uri="{FF2B5EF4-FFF2-40B4-BE49-F238E27FC236}">
                  <a16:creationId xmlns:a16="http://schemas.microsoft.com/office/drawing/2014/main" id="{00000000-0008-0000-0500-0000BB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337</xdr:row>
          <xdr:rowOff>171450</xdr:rowOff>
        </xdr:from>
        <xdr:to>
          <xdr:col>9</xdr:col>
          <xdr:colOff>447675</xdr:colOff>
          <xdr:row>380</xdr:row>
          <xdr:rowOff>28575</xdr:rowOff>
        </xdr:to>
        <xdr:sp macro="" textlink="">
          <xdr:nvSpPr>
            <xdr:cNvPr id="7612" name="Check Box 444" hidden="1">
              <a:extLst>
                <a:ext uri="{63B3BB69-23CF-44E3-9099-C40C66FF867C}">
                  <a14:compatExt spid="_x0000_s7612"/>
                </a:ext>
                <a:ext uri="{FF2B5EF4-FFF2-40B4-BE49-F238E27FC236}">
                  <a16:creationId xmlns:a16="http://schemas.microsoft.com/office/drawing/2014/main" id="{00000000-0008-0000-0500-0000BC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332</xdr:row>
          <xdr:rowOff>171450</xdr:rowOff>
        </xdr:from>
        <xdr:to>
          <xdr:col>9</xdr:col>
          <xdr:colOff>466725</xdr:colOff>
          <xdr:row>380</xdr:row>
          <xdr:rowOff>28575</xdr:rowOff>
        </xdr:to>
        <xdr:sp macro="" textlink="">
          <xdr:nvSpPr>
            <xdr:cNvPr id="7613" name="Check Box 445" hidden="1">
              <a:extLst>
                <a:ext uri="{63B3BB69-23CF-44E3-9099-C40C66FF867C}">
                  <a14:compatExt spid="_x0000_s7613"/>
                </a:ext>
                <a:ext uri="{FF2B5EF4-FFF2-40B4-BE49-F238E27FC236}">
                  <a16:creationId xmlns:a16="http://schemas.microsoft.com/office/drawing/2014/main" id="{00000000-0008-0000-0500-0000BD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333</xdr:row>
          <xdr:rowOff>161925</xdr:rowOff>
        </xdr:from>
        <xdr:to>
          <xdr:col>9</xdr:col>
          <xdr:colOff>466725</xdr:colOff>
          <xdr:row>380</xdr:row>
          <xdr:rowOff>38100</xdr:rowOff>
        </xdr:to>
        <xdr:sp macro="" textlink="">
          <xdr:nvSpPr>
            <xdr:cNvPr id="7614" name="Check Box 446" hidden="1">
              <a:extLst>
                <a:ext uri="{63B3BB69-23CF-44E3-9099-C40C66FF867C}">
                  <a14:compatExt spid="_x0000_s7614"/>
                </a:ext>
                <a:ext uri="{FF2B5EF4-FFF2-40B4-BE49-F238E27FC236}">
                  <a16:creationId xmlns:a16="http://schemas.microsoft.com/office/drawing/2014/main" id="{00000000-0008-0000-0500-0000BE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334</xdr:row>
          <xdr:rowOff>180975</xdr:rowOff>
        </xdr:from>
        <xdr:to>
          <xdr:col>10</xdr:col>
          <xdr:colOff>0</xdr:colOff>
          <xdr:row>380</xdr:row>
          <xdr:rowOff>28575</xdr:rowOff>
        </xdr:to>
        <xdr:sp macro="" textlink="">
          <xdr:nvSpPr>
            <xdr:cNvPr id="7615" name="Check Box 447" hidden="1">
              <a:extLst>
                <a:ext uri="{63B3BB69-23CF-44E3-9099-C40C66FF867C}">
                  <a14:compatExt spid="_x0000_s7615"/>
                </a:ext>
                <a:ext uri="{FF2B5EF4-FFF2-40B4-BE49-F238E27FC236}">
                  <a16:creationId xmlns:a16="http://schemas.microsoft.com/office/drawing/2014/main" id="{00000000-0008-0000-0500-0000BF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329</xdr:row>
          <xdr:rowOff>171450</xdr:rowOff>
        </xdr:from>
        <xdr:to>
          <xdr:col>9</xdr:col>
          <xdr:colOff>466725</xdr:colOff>
          <xdr:row>380</xdr:row>
          <xdr:rowOff>28575</xdr:rowOff>
        </xdr:to>
        <xdr:sp macro="" textlink="">
          <xdr:nvSpPr>
            <xdr:cNvPr id="7616" name="Check Box 448" hidden="1">
              <a:extLst>
                <a:ext uri="{63B3BB69-23CF-44E3-9099-C40C66FF867C}">
                  <a14:compatExt spid="_x0000_s7616"/>
                </a:ext>
                <a:ext uri="{FF2B5EF4-FFF2-40B4-BE49-F238E27FC236}">
                  <a16:creationId xmlns:a16="http://schemas.microsoft.com/office/drawing/2014/main" id="{00000000-0008-0000-0500-0000C0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330</xdr:row>
          <xdr:rowOff>161925</xdr:rowOff>
        </xdr:from>
        <xdr:to>
          <xdr:col>9</xdr:col>
          <xdr:colOff>466725</xdr:colOff>
          <xdr:row>380</xdr:row>
          <xdr:rowOff>38100</xdr:rowOff>
        </xdr:to>
        <xdr:sp macro="" textlink="">
          <xdr:nvSpPr>
            <xdr:cNvPr id="7617" name="Check Box 449" hidden="1">
              <a:extLst>
                <a:ext uri="{63B3BB69-23CF-44E3-9099-C40C66FF867C}">
                  <a14:compatExt spid="_x0000_s7617"/>
                </a:ext>
                <a:ext uri="{FF2B5EF4-FFF2-40B4-BE49-F238E27FC236}">
                  <a16:creationId xmlns:a16="http://schemas.microsoft.com/office/drawing/2014/main" id="{00000000-0008-0000-0500-0000C1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326</xdr:row>
          <xdr:rowOff>171450</xdr:rowOff>
        </xdr:from>
        <xdr:to>
          <xdr:col>9</xdr:col>
          <xdr:colOff>466725</xdr:colOff>
          <xdr:row>380</xdr:row>
          <xdr:rowOff>28575</xdr:rowOff>
        </xdr:to>
        <xdr:sp macro="" textlink="">
          <xdr:nvSpPr>
            <xdr:cNvPr id="7618" name="Check Box 450" hidden="1">
              <a:extLst>
                <a:ext uri="{63B3BB69-23CF-44E3-9099-C40C66FF867C}">
                  <a14:compatExt spid="_x0000_s7618"/>
                </a:ext>
                <a:ext uri="{FF2B5EF4-FFF2-40B4-BE49-F238E27FC236}">
                  <a16:creationId xmlns:a16="http://schemas.microsoft.com/office/drawing/2014/main" id="{00000000-0008-0000-0500-0000C2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327</xdr:row>
          <xdr:rowOff>161925</xdr:rowOff>
        </xdr:from>
        <xdr:to>
          <xdr:col>9</xdr:col>
          <xdr:colOff>457200</xdr:colOff>
          <xdr:row>380</xdr:row>
          <xdr:rowOff>38100</xdr:rowOff>
        </xdr:to>
        <xdr:sp macro="" textlink="">
          <xdr:nvSpPr>
            <xdr:cNvPr id="7619" name="Check Box 451" hidden="1">
              <a:extLst>
                <a:ext uri="{63B3BB69-23CF-44E3-9099-C40C66FF867C}">
                  <a14:compatExt spid="_x0000_s7619"/>
                </a:ext>
                <a:ext uri="{FF2B5EF4-FFF2-40B4-BE49-F238E27FC236}">
                  <a16:creationId xmlns:a16="http://schemas.microsoft.com/office/drawing/2014/main" id="{00000000-0008-0000-0500-0000C3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328</xdr:row>
          <xdr:rowOff>171450</xdr:rowOff>
        </xdr:from>
        <xdr:to>
          <xdr:col>9</xdr:col>
          <xdr:colOff>447675</xdr:colOff>
          <xdr:row>380</xdr:row>
          <xdr:rowOff>28575</xdr:rowOff>
        </xdr:to>
        <xdr:sp macro="" textlink="">
          <xdr:nvSpPr>
            <xdr:cNvPr id="7620" name="Check Box 452" hidden="1">
              <a:extLst>
                <a:ext uri="{63B3BB69-23CF-44E3-9099-C40C66FF867C}">
                  <a14:compatExt spid="_x0000_s7620"/>
                </a:ext>
                <a:ext uri="{FF2B5EF4-FFF2-40B4-BE49-F238E27FC236}">
                  <a16:creationId xmlns:a16="http://schemas.microsoft.com/office/drawing/2014/main" id="{00000000-0008-0000-0500-0000C4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323</xdr:row>
          <xdr:rowOff>171450</xdr:rowOff>
        </xdr:from>
        <xdr:to>
          <xdr:col>9</xdr:col>
          <xdr:colOff>466725</xdr:colOff>
          <xdr:row>380</xdr:row>
          <xdr:rowOff>28575</xdr:rowOff>
        </xdr:to>
        <xdr:sp macro="" textlink="">
          <xdr:nvSpPr>
            <xdr:cNvPr id="7621" name="Check Box 453" hidden="1">
              <a:extLst>
                <a:ext uri="{63B3BB69-23CF-44E3-9099-C40C66FF867C}">
                  <a14:compatExt spid="_x0000_s7621"/>
                </a:ext>
                <a:ext uri="{FF2B5EF4-FFF2-40B4-BE49-F238E27FC236}">
                  <a16:creationId xmlns:a16="http://schemas.microsoft.com/office/drawing/2014/main" id="{00000000-0008-0000-0500-0000C5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324</xdr:row>
          <xdr:rowOff>161925</xdr:rowOff>
        </xdr:from>
        <xdr:to>
          <xdr:col>9</xdr:col>
          <xdr:colOff>466725</xdr:colOff>
          <xdr:row>380</xdr:row>
          <xdr:rowOff>38100</xdr:rowOff>
        </xdr:to>
        <xdr:sp macro="" textlink="">
          <xdr:nvSpPr>
            <xdr:cNvPr id="7622" name="Check Box 454" hidden="1">
              <a:extLst>
                <a:ext uri="{63B3BB69-23CF-44E3-9099-C40C66FF867C}">
                  <a14:compatExt spid="_x0000_s7622"/>
                </a:ext>
                <a:ext uri="{FF2B5EF4-FFF2-40B4-BE49-F238E27FC236}">
                  <a16:creationId xmlns:a16="http://schemas.microsoft.com/office/drawing/2014/main" id="{00000000-0008-0000-0500-0000C6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325</xdr:row>
          <xdr:rowOff>180975</xdr:rowOff>
        </xdr:from>
        <xdr:to>
          <xdr:col>10</xdr:col>
          <xdr:colOff>0</xdr:colOff>
          <xdr:row>380</xdr:row>
          <xdr:rowOff>28575</xdr:rowOff>
        </xdr:to>
        <xdr:sp macro="" textlink="">
          <xdr:nvSpPr>
            <xdr:cNvPr id="7623" name="Check Box 455" hidden="1">
              <a:extLst>
                <a:ext uri="{63B3BB69-23CF-44E3-9099-C40C66FF867C}">
                  <a14:compatExt spid="_x0000_s7623"/>
                </a:ext>
                <a:ext uri="{FF2B5EF4-FFF2-40B4-BE49-F238E27FC236}">
                  <a16:creationId xmlns:a16="http://schemas.microsoft.com/office/drawing/2014/main" id="{00000000-0008-0000-0500-0000C7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320</xdr:row>
          <xdr:rowOff>171450</xdr:rowOff>
        </xdr:from>
        <xdr:to>
          <xdr:col>9</xdr:col>
          <xdr:colOff>466725</xdr:colOff>
          <xdr:row>380</xdr:row>
          <xdr:rowOff>28575</xdr:rowOff>
        </xdr:to>
        <xdr:sp macro="" textlink="">
          <xdr:nvSpPr>
            <xdr:cNvPr id="7624" name="Check Box 456" hidden="1">
              <a:extLst>
                <a:ext uri="{63B3BB69-23CF-44E3-9099-C40C66FF867C}">
                  <a14:compatExt spid="_x0000_s7624"/>
                </a:ext>
                <a:ext uri="{FF2B5EF4-FFF2-40B4-BE49-F238E27FC236}">
                  <a16:creationId xmlns:a16="http://schemas.microsoft.com/office/drawing/2014/main" id="{00000000-0008-0000-0500-0000C8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321</xdr:row>
          <xdr:rowOff>161925</xdr:rowOff>
        </xdr:from>
        <xdr:to>
          <xdr:col>9</xdr:col>
          <xdr:colOff>466725</xdr:colOff>
          <xdr:row>380</xdr:row>
          <xdr:rowOff>38100</xdr:rowOff>
        </xdr:to>
        <xdr:sp macro="" textlink="">
          <xdr:nvSpPr>
            <xdr:cNvPr id="7625" name="Check Box 457" hidden="1">
              <a:extLst>
                <a:ext uri="{63B3BB69-23CF-44E3-9099-C40C66FF867C}">
                  <a14:compatExt spid="_x0000_s7625"/>
                </a:ext>
                <a:ext uri="{FF2B5EF4-FFF2-40B4-BE49-F238E27FC236}">
                  <a16:creationId xmlns:a16="http://schemas.microsoft.com/office/drawing/2014/main" id="{00000000-0008-0000-0500-0000C9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317</xdr:row>
          <xdr:rowOff>171450</xdr:rowOff>
        </xdr:from>
        <xdr:to>
          <xdr:col>9</xdr:col>
          <xdr:colOff>466725</xdr:colOff>
          <xdr:row>380</xdr:row>
          <xdr:rowOff>28575</xdr:rowOff>
        </xdr:to>
        <xdr:sp macro="" textlink="">
          <xdr:nvSpPr>
            <xdr:cNvPr id="7626" name="Check Box 458" hidden="1">
              <a:extLst>
                <a:ext uri="{63B3BB69-23CF-44E3-9099-C40C66FF867C}">
                  <a14:compatExt spid="_x0000_s7626"/>
                </a:ext>
                <a:ext uri="{FF2B5EF4-FFF2-40B4-BE49-F238E27FC236}">
                  <a16:creationId xmlns:a16="http://schemas.microsoft.com/office/drawing/2014/main" id="{00000000-0008-0000-0500-0000CA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318</xdr:row>
          <xdr:rowOff>161925</xdr:rowOff>
        </xdr:from>
        <xdr:to>
          <xdr:col>9</xdr:col>
          <xdr:colOff>466725</xdr:colOff>
          <xdr:row>380</xdr:row>
          <xdr:rowOff>38100</xdr:rowOff>
        </xdr:to>
        <xdr:sp macro="" textlink="">
          <xdr:nvSpPr>
            <xdr:cNvPr id="7627" name="Check Box 459" hidden="1">
              <a:extLst>
                <a:ext uri="{63B3BB69-23CF-44E3-9099-C40C66FF867C}">
                  <a14:compatExt spid="_x0000_s7627"/>
                </a:ext>
                <a:ext uri="{FF2B5EF4-FFF2-40B4-BE49-F238E27FC236}">
                  <a16:creationId xmlns:a16="http://schemas.microsoft.com/office/drawing/2014/main" id="{00000000-0008-0000-0500-0000CB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319</xdr:row>
          <xdr:rowOff>190500</xdr:rowOff>
        </xdr:from>
        <xdr:to>
          <xdr:col>10</xdr:col>
          <xdr:colOff>0</xdr:colOff>
          <xdr:row>380</xdr:row>
          <xdr:rowOff>28575</xdr:rowOff>
        </xdr:to>
        <xdr:sp macro="" textlink="">
          <xdr:nvSpPr>
            <xdr:cNvPr id="7628" name="Check Box 460" hidden="1">
              <a:extLst>
                <a:ext uri="{63B3BB69-23CF-44E3-9099-C40C66FF867C}">
                  <a14:compatExt spid="_x0000_s7628"/>
                </a:ext>
                <a:ext uri="{FF2B5EF4-FFF2-40B4-BE49-F238E27FC236}">
                  <a16:creationId xmlns:a16="http://schemas.microsoft.com/office/drawing/2014/main" id="{00000000-0008-0000-0500-0000CC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314</xdr:row>
          <xdr:rowOff>171450</xdr:rowOff>
        </xdr:from>
        <xdr:to>
          <xdr:col>9</xdr:col>
          <xdr:colOff>466725</xdr:colOff>
          <xdr:row>380</xdr:row>
          <xdr:rowOff>28575</xdr:rowOff>
        </xdr:to>
        <xdr:sp macro="" textlink="">
          <xdr:nvSpPr>
            <xdr:cNvPr id="7629" name="Check Box 461" hidden="1">
              <a:extLst>
                <a:ext uri="{63B3BB69-23CF-44E3-9099-C40C66FF867C}">
                  <a14:compatExt spid="_x0000_s7629"/>
                </a:ext>
                <a:ext uri="{FF2B5EF4-FFF2-40B4-BE49-F238E27FC236}">
                  <a16:creationId xmlns:a16="http://schemas.microsoft.com/office/drawing/2014/main" id="{00000000-0008-0000-0500-0000CD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315</xdr:row>
          <xdr:rowOff>161925</xdr:rowOff>
        </xdr:from>
        <xdr:to>
          <xdr:col>9</xdr:col>
          <xdr:colOff>466725</xdr:colOff>
          <xdr:row>380</xdr:row>
          <xdr:rowOff>38100</xdr:rowOff>
        </xdr:to>
        <xdr:sp macro="" textlink="">
          <xdr:nvSpPr>
            <xdr:cNvPr id="7630" name="Check Box 462" hidden="1">
              <a:extLst>
                <a:ext uri="{63B3BB69-23CF-44E3-9099-C40C66FF867C}">
                  <a14:compatExt spid="_x0000_s7630"/>
                </a:ext>
                <a:ext uri="{FF2B5EF4-FFF2-40B4-BE49-F238E27FC236}">
                  <a16:creationId xmlns:a16="http://schemas.microsoft.com/office/drawing/2014/main" id="{00000000-0008-0000-0500-0000CE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316</xdr:row>
          <xdr:rowOff>180975</xdr:rowOff>
        </xdr:from>
        <xdr:to>
          <xdr:col>10</xdr:col>
          <xdr:colOff>0</xdr:colOff>
          <xdr:row>380</xdr:row>
          <xdr:rowOff>28575</xdr:rowOff>
        </xdr:to>
        <xdr:sp macro="" textlink="">
          <xdr:nvSpPr>
            <xdr:cNvPr id="7631" name="Check Box 463" hidden="1">
              <a:extLst>
                <a:ext uri="{63B3BB69-23CF-44E3-9099-C40C66FF867C}">
                  <a14:compatExt spid="_x0000_s7631"/>
                </a:ext>
                <a:ext uri="{FF2B5EF4-FFF2-40B4-BE49-F238E27FC236}">
                  <a16:creationId xmlns:a16="http://schemas.microsoft.com/office/drawing/2014/main" id="{00000000-0008-0000-0500-0000CF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322</xdr:row>
          <xdr:rowOff>171450</xdr:rowOff>
        </xdr:from>
        <xdr:to>
          <xdr:col>9</xdr:col>
          <xdr:colOff>466725</xdr:colOff>
          <xdr:row>380</xdr:row>
          <xdr:rowOff>38100</xdr:rowOff>
        </xdr:to>
        <xdr:sp macro="" textlink="">
          <xdr:nvSpPr>
            <xdr:cNvPr id="7632" name="Check Box 464" hidden="1">
              <a:extLst>
                <a:ext uri="{63B3BB69-23CF-44E3-9099-C40C66FF867C}">
                  <a14:compatExt spid="_x0000_s7632"/>
                </a:ext>
                <a:ext uri="{FF2B5EF4-FFF2-40B4-BE49-F238E27FC236}">
                  <a16:creationId xmlns:a16="http://schemas.microsoft.com/office/drawing/2014/main" id="{00000000-0008-0000-0500-0000D0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331</xdr:row>
          <xdr:rowOff>190500</xdr:rowOff>
        </xdr:from>
        <xdr:to>
          <xdr:col>9</xdr:col>
          <xdr:colOff>466725</xdr:colOff>
          <xdr:row>380</xdr:row>
          <xdr:rowOff>38100</xdr:rowOff>
        </xdr:to>
        <xdr:sp macro="" textlink="">
          <xdr:nvSpPr>
            <xdr:cNvPr id="7633" name="Check Box 465" hidden="1">
              <a:extLst>
                <a:ext uri="{63B3BB69-23CF-44E3-9099-C40C66FF867C}">
                  <a14:compatExt spid="_x0000_s7633"/>
                </a:ext>
                <a:ext uri="{FF2B5EF4-FFF2-40B4-BE49-F238E27FC236}">
                  <a16:creationId xmlns:a16="http://schemas.microsoft.com/office/drawing/2014/main" id="{00000000-0008-0000-0500-0000D1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311</xdr:row>
          <xdr:rowOff>171450</xdr:rowOff>
        </xdr:from>
        <xdr:to>
          <xdr:col>9</xdr:col>
          <xdr:colOff>466725</xdr:colOff>
          <xdr:row>380</xdr:row>
          <xdr:rowOff>28575</xdr:rowOff>
        </xdr:to>
        <xdr:sp macro="" textlink="">
          <xdr:nvSpPr>
            <xdr:cNvPr id="7634" name="Check Box 466" hidden="1">
              <a:extLst>
                <a:ext uri="{63B3BB69-23CF-44E3-9099-C40C66FF867C}">
                  <a14:compatExt spid="_x0000_s7634"/>
                </a:ext>
                <a:ext uri="{FF2B5EF4-FFF2-40B4-BE49-F238E27FC236}">
                  <a16:creationId xmlns:a16="http://schemas.microsoft.com/office/drawing/2014/main" id="{00000000-0008-0000-0500-0000D2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312</xdr:row>
          <xdr:rowOff>161925</xdr:rowOff>
        </xdr:from>
        <xdr:to>
          <xdr:col>9</xdr:col>
          <xdr:colOff>457200</xdr:colOff>
          <xdr:row>380</xdr:row>
          <xdr:rowOff>38100</xdr:rowOff>
        </xdr:to>
        <xdr:sp macro="" textlink="">
          <xdr:nvSpPr>
            <xdr:cNvPr id="7635" name="Check Box 467" hidden="1">
              <a:extLst>
                <a:ext uri="{63B3BB69-23CF-44E3-9099-C40C66FF867C}">
                  <a14:compatExt spid="_x0000_s7635"/>
                </a:ext>
                <a:ext uri="{FF2B5EF4-FFF2-40B4-BE49-F238E27FC236}">
                  <a16:creationId xmlns:a16="http://schemas.microsoft.com/office/drawing/2014/main" id="{00000000-0008-0000-0500-0000D3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313</xdr:row>
          <xdr:rowOff>171450</xdr:rowOff>
        </xdr:from>
        <xdr:to>
          <xdr:col>9</xdr:col>
          <xdr:colOff>447675</xdr:colOff>
          <xdr:row>380</xdr:row>
          <xdr:rowOff>28575</xdr:rowOff>
        </xdr:to>
        <xdr:sp macro="" textlink="">
          <xdr:nvSpPr>
            <xdr:cNvPr id="7636" name="Check Box 468" hidden="1">
              <a:extLst>
                <a:ext uri="{63B3BB69-23CF-44E3-9099-C40C66FF867C}">
                  <a14:compatExt spid="_x0000_s7636"/>
                </a:ext>
                <a:ext uri="{FF2B5EF4-FFF2-40B4-BE49-F238E27FC236}">
                  <a16:creationId xmlns:a16="http://schemas.microsoft.com/office/drawing/2014/main" id="{00000000-0008-0000-0500-0000D4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308</xdr:row>
          <xdr:rowOff>171450</xdr:rowOff>
        </xdr:from>
        <xdr:to>
          <xdr:col>9</xdr:col>
          <xdr:colOff>466725</xdr:colOff>
          <xdr:row>380</xdr:row>
          <xdr:rowOff>28575</xdr:rowOff>
        </xdr:to>
        <xdr:sp macro="" textlink="">
          <xdr:nvSpPr>
            <xdr:cNvPr id="7637" name="Check Box 469" hidden="1">
              <a:extLst>
                <a:ext uri="{63B3BB69-23CF-44E3-9099-C40C66FF867C}">
                  <a14:compatExt spid="_x0000_s7637"/>
                </a:ext>
                <a:ext uri="{FF2B5EF4-FFF2-40B4-BE49-F238E27FC236}">
                  <a16:creationId xmlns:a16="http://schemas.microsoft.com/office/drawing/2014/main" id="{00000000-0008-0000-0500-0000D5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309</xdr:row>
          <xdr:rowOff>161925</xdr:rowOff>
        </xdr:from>
        <xdr:to>
          <xdr:col>9</xdr:col>
          <xdr:colOff>466725</xdr:colOff>
          <xdr:row>380</xdr:row>
          <xdr:rowOff>38100</xdr:rowOff>
        </xdr:to>
        <xdr:sp macro="" textlink="">
          <xdr:nvSpPr>
            <xdr:cNvPr id="7638" name="Check Box 470" hidden="1">
              <a:extLst>
                <a:ext uri="{63B3BB69-23CF-44E3-9099-C40C66FF867C}">
                  <a14:compatExt spid="_x0000_s7638"/>
                </a:ext>
                <a:ext uri="{FF2B5EF4-FFF2-40B4-BE49-F238E27FC236}">
                  <a16:creationId xmlns:a16="http://schemas.microsoft.com/office/drawing/2014/main" id="{00000000-0008-0000-0500-0000D6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310</xdr:row>
          <xdr:rowOff>180975</xdr:rowOff>
        </xdr:from>
        <xdr:to>
          <xdr:col>10</xdr:col>
          <xdr:colOff>0</xdr:colOff>
          <xdr:row>380</xdr:row>
          <xdr:rowOff>28575</xdr:rowOff>
        </xdr:to>
        <xdr:sp macro="" textlink="">
          <xdr:nvSpPr>
            <xdr:cNvPr id="7639" name="Check Box 471" hidden="1">
              <a:extLst>
                <a:ext uri="{63B3BB69-23CF-44E3-9099-C40C66FF867C}">
                  <a14:compatExt spid="_x0000_s7639"/>
                </a:ext>
                <a:ext uri="{FF2B5EF4-FFF2-40B4-BE49-F238E27FC236}">
                  <a16:creationId xmlns:a16="http://schemas.microsoft.com/office/drawing/2014/main" id="{00000000-0008-0000-0500-0000D7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307</xdr:row>
          <xdr:rowOff>171450</xdr:rowOff>
        </xdr:from>
        <xdr:to>
          <xdr:col>9</xdr:col>
          <xdr:colOff>447675</xdr:colOff>
          <xdr:row>380</xdr:row>
          <xdr:rowOff>28575</xdr:rowOff>
        </xdr:to>
        <xdr:sp macro="" textlink="">
          <xdr:nvSpPr>
            <xdr:cNvPr id="7642" name="Check Box 474" hidden="1">
              <a:extLst>
                <a:ext uri="{63B3BB69-23CF-44E3-9099-C40C66FF867C}">
                  <a14:compatExt spid="_x0000_s7642"/>
                </a:ext>
                <a:ext uri="{FF2B5EF4-FFF2-40B4-BE49-F238E27FC236}">
                  <a16:creationId xmlns:a16="http://schemas.microsoft.com/office/drawing/2014/main" id="{00000000-0008-0000-0500-0000DA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346</xdr:row>
          <xdr:rowOff>180975</xdr:rowOff>
        </xdr:from>
        <xdr:to>
          <xdr:col>9</xdr:col>
          <xdr:colOff>466725</xdr:colOff>
          <xdr:row>380</xdr:row>
          <xdr:rowOff>28575</xdr:rowOff>
        </xdr:to>
        <xdr:sp macro="" textlink="">
          <xdr:nvSpPr>
            <xdr:cNvPr id="7659" name="Check Box 491" hidden="1">
              <a:extLst>
                <a:ext uri="{63B3BB69-23CF-44E3-9099-C40C66FF867C}">
                  <a14:compatExt spid="_x0000_s7659"/>
                </a:ext>
                <a:ext uri="{FF2B5EF4-FFF2-40B4-BE49-F238E27FC236}">
                  <a16:creationId xmlns:a16="http://schemas.microsoft.com/office/drawing/2014/main" id="{00000000-0008-0000-0500-0000EB1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393</xdr:row>
          <xdr:rowOff>171450</xdr:rowOff>
        </xdr:from>
        <xdr:to>
          <xdr:col>9</xdr:col>
          <xdr:colOff>428625</xdr:colOff>
          <xdr:row>395</xdr:row>
          <xdr:rowOff>0</xdr:rowOff>
        </xdr:to>
        <xdr:sp macro="" textlink="">
          <xdr:nvSpPr>
            <xdr:cNvPr id="7891" name="Check Box 723" hidden="1">
              <a:extLst>
                <a:ext uri="{63B3BB69-23CF-44E3-9099-C40C66FF867C}">
                  <a14:compatExt spid="_x0000_s7891"/>
                </a:ext>
                <a:ext uri="{FF2B5EF4-FFF2-40B4-BE49-F238E27FC236}">
                  <a16:creationId xmlns:a16="http://schemas.microsoft.com/office/drawing/2014/main" id="{00000000-0008-0000-0500-0000D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394</xdr:row>
          <xdr:rowOff>161925</xdr:rowOff>
        </xdr:from>
        <xdr:to>
          <xdr:col>9</xdr:col>
          <xdr:colOff>428625</xdr:colOff>
          <xdr:row>396</xdr:row>
          <xdr:rowOff>0</xdr:rowOff>
        </xdr:to>
        <xdr:sp macro="" textlink="">
          <xdr:nvSpPr>
            <xdr:cNvPr id="7892" name="Check Box 724" hidden="1">
              <a:extLst>
                <a:ext uri="{63B3BB69-23CF-44E3-9099-C40C66FF867C}">
                  <a14:compatExt spid="_x0000_s7892"/>
                </a:ext>
                <a:ext uri="{FF2B5EF4-FFF2-40B4-BE49-F238E27FC236}">
                  <a16:creationId xmlns:a16="http://schemas.microsoft.com/office/drawing/2014/main" id="{00000000-0008-0000-0500-0000D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395</xdr:row>
          <xdr:rowOff>180975</xdr:rowOff>
        </xdr:from>
        <xdr:to>
          <xdr:col>9</xdr:col>
          <xdr:colOff>428625</xdr:colOff>
          <xdr:row>397</xdr:row>
          <xdr:rowOff>9525</xdr:rowOff>
        </xdr:to>
        <xdr:sp macro="" textlink="">
          <xdr:nvSpPr>
            <xdr:cNvPr id="7893" name="Check Box 725" hidden="1">
              <a:extLst>
                <a:ext uri="{63B3BB69-23CF-44E3-9099-C40C66FF867C}">
                  <a14:compatExt spid="_x0000_s7893"/>
                </a:ext>
                <a:ext uri="{FF2B5EF4-FFF2-40B4-BE49-F238E27FC236}">
                  <a16:creationId xmlns:a16="http://schemas.microsoft.com/office/drawing/2014/main" id="{00000000-0008-0000-0500-0000D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396</xdr:row>
          <xdr:rowOff>171450</xdr:rowOff>
        </xdr:from>
        <xdr:to>
          <xdr:col>9</xdr:col>
          <xdr:colOff>428625</xdr:colOff>
          <xdr:row>398</xdr:row>
          <xdr:rowOff>0</xdr:rowOff>
        </xdr:to>
        <xdr:sp macro="" textlink="">
          <xdr:nvSpPr>
            <xdr:cNvPr id="7894" name="Check Box 726" hidden="1">
              <a:extLst>
                <a:ext uri="{63B3BB69-23CF-44E3-9099-C40C66FF867C}">
                  <a14:compatExt spid="_x0000_s7894"/>
                </a:ext>
                <a:ext uri="{FF2B5EF4-FFF2-40B4-BE49-F238E27FC236}">
                  <a16:creationId xmlns:a16="http://schemas.microsoft.com/office/drawing/2014/main" id="{00000000-0008-0000-0500-0000D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397</xdr:row>
          <xdr:rowOff>161925</xdr:rowOff>
        </xdr:from>
        <xdr:to>
          <xdr:col>9</xdr:col>
          <xdr:colOff>419100</xdr:colOff>
          <xdr:row>399</xdr:row>
          <xdr:rowOff>0</xdr:rowOff>
        </xdr:to>
        <xdr:sp macro="" textlink="">
          <xdr:nvSpPr>
            <xdr:cNvPr id="7895" name="Check Box 727" hidden="1">
              <a:extLst>
                <a:ext uri="{63B3BB69-23CF-44E3-9099-C40C66FF867C}">
                  <a14:compatExt spid="_x0000_s7895"/>
                </a:ext>
                <a:ext uri="{FF2B5EF4-FFF2-40B4-BE49-F238E27FC236}">
                  <a16:creationId xmlns:a16="http://schemas.microsoft.com/office/drawing/2014/main" id="{00000000-0008-0000-0500-0000D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398</xdr:row>
          <xdr:rowOff>180975</xdr:rowOff>
        </xdr:from>
        <xdr:to>
          <xdr:col>9</xdr:col>
          <xdr:colOff>409575</xdr:colOff>
          <xdr:row>400</xdr:row>
          <xdr:rowOff>0</xdr:rowOff>
        </xdr:to>
        <xdr:sp macro="" textlink="">
          <xdr:nvSpPr>
            <xdr:cNvPr id="7896" name="Check Box 728" hidden="1">
              <a:extLst>
                <a:ext uri="{63B3BB69-23CF-44E3-9099-C40C66FF867C}">
                  <a14:compatExt spid="_x0000_s7896"/>
                </a:ext>
                <a:ext uri="{FF2B5EF4-FFF2-40B4-BE49-F238E27FC236}">
                  <a16:creationId xmlns:a16="http://schemas.microsoft.com/office/drawing/2014/main" id="{00000000-0008-0000-0500-0000D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387</xdr:row>
          <xdr:rowOff>171450</xdr:rowOff>
        </xdr:from>
        <xdr:to>
          <xdr:col>9</xdr:col>
          <xdr:colOff>428625</xdr:colOff>
          <xdr:row>389</xdr:row>
          <xdr:rowOff>0</xdr:rowOff>
        </xdr:to>
        <xdr:sp macro="" textlink="">
          <xdr:nvSpPr>
            <xdr:cNvPr id="7897" name="Check Box 729" hidden="1">
              <a:extLst>
                <a:ext uri="{63B3BB69-23CF-44E3-9099-C40C66FF867C}">
                  <a14:compatExt spid="_x0000_s7897"/>
                </a:ext>
                <a:ext uri="{FF2B5EF4-FFF2-40B4-BE49-F238E27FC236}">
                  <a16:creationId xmlns:a16="http://schemas.microsoft.com/office/drawing/2014/main" id="{00000000-0008-0000-0500-0000D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388</xdr:row>
          <xdr:rowOff>161925</xdr:rowOff>
        </xdr:from>
        <xdr:to>
          <xdr:col>9</xdr:col>
          <xdr:colOff>428625</xdr:colOff>
          <xdr:row>390</xdr:row>
          <xdr:rowOff>0</xdr:rowOff>
        </xdr:to>
        <xdr:sp macro="" textlink="">
          <xdr:nvSpPr>
            <xdr:cNvPr id="7898" name="Check Box 730" hidden="1">
              <a:extLst>
                <a:ext uri="{63B3BB69-23CF-44E3-9099-C40C66FF867C}">
                  <a14:compatExt spid="_x0000_s7898"/>
                </a:ext>
                <a:ext uri="{FF2B5EF4-FFF2-40B4-BE49-F238E27FC236}">
                  <a16:creationId xmlns:a16="http://schemas.microsoft.com/office/drawing/2014/main" id="{00000000-0008-0000-0500-0000D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389</xdr:row>
          <xdr:rowOff>180975</xdr:rowOff>
        </xdr:from>
        <xdr:to>
          <xdr:col>9</xdr:col>
          <xdr:colOff>428625</xdr:colOff>
          <xdr:row>391</xdr:row>
          <xdr:rowOff>9525</xdr:rowOff>
        </xdr:to>
        <xdr:sp macro="" textlink="">
          <xdr:nvSpPr>
            <xdr:cNvPr id="7899" name="Check Box 731" hidden="1">
              <a:extLst>
                <a:ext uri="{63B3BB69-23CF-44E3-9099-C40C66FF867C}">
                  <a14:compatExt spid="_x0000_s7899"/>
                </a:ext>
                <a:ext uri="{FF2B5EF4-FFF2-40B4-BE49-F238E27FC236}">
                  <a16:creationId xmlns:a16="http://schemas.microsoft.com/office/drawing/2014/main" id="{00000000-0008-0000-0500-0000D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390</xdr:row>
          <xdr:rowOff>171450</xdr:rowOff>
        </xdr:from>
        <xdr:to>
          <xdr:col>9</xdr:col>
          <xdr:colOff>428625</xdr:colOff>
          <xdr:row>392</xdr:row>
          <xdr:rowOff>0</xdr:rowOff>
        </xdr:to>
        <xdr:sp macro="" textlink="">
          <xdr:nvSpPr>
            <xdr:cNvPr id="7900" name="Check Box 732" hidden="1">
              <a:extLst>
                <a:ext uri="{63B3BB69-23CF-44E3-9099-C40C66FF867C}">
                  <a14:compatExt spid="_x0000_s7900"/>
                </a:ext>
                <a:ext uri="{FF2B5EF4-FFF2-40B4-BE49-F238E27FC236}">
                  <a16:creationId xmlns:a16="http://schemas.microsoft.com/office/drawing/2014/main" id="{00000000-0008-0000-0500-0000D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391</xdr:row>
          <xdr:rowOff>161925</xdr:rowOff>
        </xdr:from>
        <xdr:to>
          <xdr:col>9</xdr:col>
          <xdr:colOff>419100</xdr:colOff>
          <xdr:row>393</xdr:row>
          <xdr:rowOff>0</xdr:rowOff>
        </xdr:to>
        <xdr:sp macro="" textlink="">
          <xdr:nvSpPr>
            <xdr:cNvPr id="7901" name="Check Box 733" hidden="1">
              <a:extLst>
                <a:ext uri="{63B3BB69-23CF-44E3-9099-C40C66FF867C}">
                  <a14:compatExt spid="_x0000_s7901"/>
                </a:ext>
                <a:ext uri="{FF2B5EF4-FFF2-40B4-BE49-F238E27FC236}">
                  <a16:creationId xmlns:a16="http://schemas.microsoft.com/office/drawing/2014/main" id="{00000000-0008-0000-0500-0000D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392</xdr:row>
          <xdr:rowOff>180975</xdr:rowOff>
        </xdr:from>
        <xdr:to>
          <xdr:col>9</xdr:col>
          <xdr:colOff>409575</xdr:colOff>
          <xdr:row>394</xdr:row>
          <xdr:rowOff>0</xdr:rowOff>
        </xdr:to>
        <xdr:sp macro="" textlink="">
          <xdr:nvSpPr>
            <xdr:cNvPr id="7902" name="Check Box 734" hidden="1">
              <a:extLst>
                <a:ext uri="{63B3BB69-23CF-44E3-9099-C40C66FF867C}">
                  <a14:compatExt spid="_x0000_s7902"/>
                </a:ext>
                <a:ext uri="{FF2B5EF4-FFF2-40B4-BE49-F238E27FC236}">
                  <a16:creationId xmlns:a16="http://schemas.microsoft.com/office/drawing/2014/main" id="{00000000-0008-0000-0500-0000D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401</xdr:row>
          <xdr:rowOff>171450</xdr:rowOff>
        </xdr:from>
        <xdr:to>
          <xdr:col>9</xdr:col>
          <xdr:colOff>428625</xdr:colOff>
          <xdr:row>403</xdr:row>
          <xdr:rowOff>0</xdr:rowOff>
        </xdr:to>
        <xdr:sp macro="" textlink="">
          <xdr:nvSpPr>
            <xdr:cNvPr id="7905" name="Check Box 737" hidden="1">
              <a:extLst>
                <a:ext uri="{63B3BB69-23CF-44E3-9099-C40C66FF867C}">
                  <a14:compatExt spid="_x0000_s7905"/>
                </a:ext>
                <a:ext uri="{FF2B5EF4-FFF2-40B4-BE49-F238E27FC236}">
                  <a16:creationId xmlns:a16="http://schemas.microsoft.com/office/drawing/2014/main" id="{00000000-0008-0000-0500-0000E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414</xdr:row>
          <xdr:rowOff>171450</xdr:rowOff>
        </xdr:from>
        <xdr:to>
          <xdr:col>9</xdr:col>
          <xdr:colOff>428625</xdr:colOff>
          <xdr:row>416</xdr:row>
          <xdr:rowOff>0</xdr:rowOff>
        </xdr:to>
        <xdr:sp macro="" textlink="">
          <xdr:nvSpPr>
            <xdr:cNvPr id="7906" name="Check Box 738" hidden="1">
              <a:extLst>
                <a:ext uri="{63B3BB69-23CF-44E3-9099-C40C66FF867C}">
                  <a14:compatExt spid="_x0000_s7906"/>
                </a:ext>
                <a:ext uri="{FF2B5EF4-FFF2-40B4-BE49-F238E27FC236}">
                  <a16:creationId xmlns:a16="http://schemas.microsoft.com/office/drawing/2014/main" id="{00000000-0008-0000-0500-0000E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415</xdr:row>
          <xdr:rowOff>161925</xdr:rowOff>
        </xdr:from>
        <xdr:to>
          <xdr:col>9</xdr:col>
          <xdr:colOff>428625</xdr:colOff>
          <xdr:row>417</xdr:row>
          <xdr:rowOff>0</xdr:rowOff>
        </xdr:to>
        <xdr:sp macro="" textlink="">
          <xdr:nvSpPr>
            <xdr:cNvPr id="7907" name="Check Box 739" hidden="1">
              <a:extLst>
                <a:ext uri="{63B3BB69-23CF-44E3-9099-C40C66FF867C}">
                  <a14:compatExt spid="_x0000_s7907"/>
                </a:ext>
                <a:ext uri="{FF2B5EF4-FFF2-40B4-BE49-F238E27FC236}">
                  <a16:creationId xmlns:a16="http://schemas.microsoft.com/office/drawing/2014/main" id="{00000000-0008-0000-0500-0000E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408</xdr:row>
          <xdr:rowOff>171450</xdr:rowOff>
        </xdr:from>
        <xdr:to>
          <xdr:col>9</xdr:col>
          <xdr:colOff>428625</xdr:colOff>
          <xdr:row>410</xdr:row>
          <xdr:rowOff>0</xdr:rowOff>
        </xdr:to>
        <xdr:sp macro="" textlink="">
          <xdr:nvSpPr>
            <xdr:cNvPr id="7908" name="Check Box 740" hidden="1">
              <a:extLst>
                <a:ext uri="{63B3BB69-23CF-44E3-9099-C40C66FF867C}">
                  <a14:compatExt spid="_x0000_s7908"/>
                </a:ext>
                <a:ext uri="{FF2B5EF4-FFF2-40B4-BE49-F238E27FC236}">
                  <a16:creationId xmlns:a16="http://schemas.microsoft.com/office/drawing/2014/main" id="{00000000-0008-0000-0500-0000E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409</xdr:row>
          <xdr:rowOff>161925</xdr:rowOff>
        </xdr:from>
        <xdr:to>
          <xdr:col>9</xdr:col>
          <xdr:colOff>428625</xdr:colOff>
          <xdr:row>411</xdr:row>
          <xdr:rowOff>0</xdr:rowOff>
        </xdr:to>
        <xdr:sp macro="" textlink="">
          <xdr:nvSpPr>
            <xdr:cNvPr id="7909" name="Check Box 741" hidden="1">
              <a:extLst>
                <a:ext uri="{63B3BB69-23CF-44E3-9099-C40C66FF867C}">
                  <a14:compatExt spid="_x0000_s7909"/>
                </a:ext>
                <a:ext uri="{FF2B5EF4-FFF2-40B4-BE49-F238E27FC236}">
                  <a16:creationId xmlns:a16="http://schemas.microsoft.com/office/drawing/2014/main" id="{00000000-0008-0000-0500-0000E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410</xdr:row>
          <xdr:rowOff>180975</xdr:rowOff>
        </xdr:from>
        <xdr:to>
          <xdr:col>9</xdr:col>
          <xdr:colOff>428625</xdr:colOff>
          <xdr:row>412</xdr:row>
          <xdr:rowOff>9525</xdr:rowOff>
        </xdr:to>
        <xdr:sp macro="" textlink="">
          <xdr:nvSpPr>
            <xdr:cNvPr id="7910" name="Check Box 742" hidden="1">
              <a:extLst>
                <a:ext uri="{63B3BB69-23CF-44E3-9099-C40C66FF867C}">
                  <a14:compatExt spid="_x0000_s7910"/>
                </a:ext>
                <a:ext uri="{FF2B5EF4-FFF2-40B4-BE49-F238E27FC236}">
                  <a16:creationId xmlns:a16="http://schemas.microsoft.com/office/drawing/2014/main" id="{00000000-0008-0000-0500-0000E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411</xdr:row>
          <xdr:rowOff>171450</xdr:rowOff>
        </xdr:from>
        <xdr:to>
          <xdr:col>9</xdr:col>
          <xdr:colOff>428625</xdr:colOff>
          <xdr:row>413</xdr:row>
          <xdr:rowOff>0</xdr:rowOff>
        </xdr:to>
        <xdr:sp macro="" textlink="">
          <xdr:nvSpPr>
            <xdr:cNvPr id="7911" name="Check Box 743" hidden="1">
              <a:extLst>
                <a:ext uri="{63B3BB69-23CF-44E3-9099-C40C66FF867C}">
                  <a14:compatExt spid="_x0000_s7911"/>
                </a:ext>
                <a:ext uri="{FF2B5EF4-FFF2-40B4-BE49-F238E27FC236}">
                  <a16:creationId xmlns:a16="http://schemas.microsoft.com/office/drawing/2014/main" id="{00000000-0008-0000-0500-0000E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412</xdr:row>
          <xdr:rowOff>161925</xdr:rowOff>
        </xdr:from>
        <xdr:to>
          <xdr:col>9</xdr:col>
          <xdr:colOff>419100</xdr:colOff>
          <xdr:row>414</xdr:row>
          <xdr:rowOff>0</xdr:rowOff>
        </xdr:to>
        <xdr:sp macro="" textlink="">
          <xdr:nvSpPr>
            <xdr:cNvPr id="7912" name="Check Box 744" hidden="1">
              <a:extLst>
                <a:ext uri="{63B3BB69-23CF-44E3-9099-C40C66FF867C}">
                  <a14:compatExt spid="_x0000_s7912"/>
                </a:ext>
                <a:ext uri="{FF2B5EF4-FFF2-40B4-BE49-F238E27FC236}">
                  <a16:creationId xmlns:a16="http://schemas.microsoft.com/office/drawing/2014/main" id="{00000000-0008-0000-0500-0000E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413</xdr:row>
          <xdr:rowOff>180975</xdr:rowOff>
        </xdr:from>
        <xdr:to>
          <xdr:col>9</xdr:col>
          <xdr:colOff>409575</xdr:colOff>
          <xdr:row>415</xdr:row>
          <xdr:rowOff>0</xdr:rowOff>
        </xdr:to>
        <xdr:sp macro="" textlink="">
          <xdr:nvSpPr>
            <xdr:cNvPr id="7913" name="Check Box 745" hidden="1">
              <a:extLst>
                <a:ext uri="{63B3BB69-23CF-44E3-9099-C40C66FF867C}">
                  <a14:compatExt spid="_x0000_s7913"/>
                </a:ext>
                <a:ext uri="{FF2B5EF4-FFF2-40B4-BE49-F238E27FC236}">
                  <a16:creationId xmlns:a16="http://schemas.microsoft.com/office/drawing/2014/main" id="{00000000-0008-0000-0500-0000E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402</xdr:row>
          <xdr:rowOff>171450</xdr:rowOff>
        </xdr:from>
        <xdr:to>
          <xdr:col>9</xdr:col>
          <xdr:colOff>428625</xdr:colOff>
          <xdr:row>404</xdr:row>
          <xdr:rowOff>0</xdr:rowOff>
        </xdr:to>
        <xdr:sp macro="" textlink="">
          <xdr:nvSpPr>
            <xdr:cNvPr id="7914" name="Check Box 746" hidden="1">
              <a:extLst>
                <a:ext uri="{63B3BB69-23CF-44E3-9099-C40C66FF867C}">
                  <a14:compatExt spid="_x0000_s7914"/>
                </a:ext>
                <a:ext uri="{FF2B5EF4-FFF2-40B4-BE49-F238E27FC236}">
                  <a16:creationId xmlns:a16="http://schemas.microsoft.com/office/drawing/2014/main" id="{00000000-0008-0000-0500-0000E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403</xdr:row>
          <xdr:rowOff>161925</xdr:rowOff>
        </xdr:from>
        <xdr:to>
          <xdr:col>9</xdr:col>
          <xdr:colOff>428625</xdr:colOff>
          <xdr:row>405</xdr:row>
          <xdr:rowOff>0</xdr:rowOff>
        </xdr:to>
        <xdr:sp macro="" textlink="">
          <xdr:nvSpPr>
            <xdr:cNvPr id="7915" name="Check Box 747" hidden="1">
              <a:extLst>
                <a:ext uri="{63B3BB69-23CF-44E3-9099-C40C66FF867C}">
                  <a14:compatExt spid="_x0000_s7915"/>
                </a:ext>
                <a:ext uri="{FF2B5EF4-FFF2-40B4-BE49-F238E27FC236}">
                  <a16:creationId xmlns:a16="http://schemas.microsoft.com/office/drawing/2014/main" id="{00000000-0008-0000-0500-0000E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404</xdr:row>
          <xdr:rowOff>180975</xdr:rowOff>
        </xdr:from>
        <xdr:to>
          <xdr:col>9</xdr:col>
          <xdr:colOff>428625</xdr:colOff>
          <xdr:row>406</xdr:row>
          <xdr:rowOff>9525</xdr:rowOff>
        </xdr:to>
        <xdr:sp macro="" textlink="">
          <xdr:nvSpPr>
            <xdr:cNvPr id="7916" name="Check Box 748" hidden="1">
              <a:extLst>
                <a:ext uri="{63B3BB69-23CF-44E3-9099-C40C66FF867C}">
                  <a14:compatExt spid="_x0000_s7916"/>
                </a:ext>
                <a:ext uri="{FF2B5EF4-FFF2-40B4-BE49-F238E27FC236}">
                  <a16:creationId xmlns:a16="http://schemas.microsoft.com/office/drawing/2014/main" id="{00000000-0008-0000-0500-0000E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405</xdr:row>
          <xdr:rowOff>171450</xdr:rowOff>
        </xdr:from>
        <xdr:to>
          <xdr:col>9</xdr:col>
          <xdr:colOff>428625</xdr:colOff>
          <xdr:row>407</xdr:row>
          <xdr:rowOff>0</xdr:rowOff>
        </xdr:to>
        <xdr:sp macro="" textlink="">
          <xdr:nvSpPr>
            <xdr:cNvPr id="7917" name="Check Box 749" hidden="1">
              <a:extLst>
                <a:ext uri="{63B3BB69-23CF-44E3-9099-C40C66FF867C}">
                  <a14:compatExt spid="_x0000_s7917"/>
                </a:ext>
                <a:ext uri="{FF2B5EF4-FFF2-40B4-BE49-F238E27FC236}">
                  <a16:creationId xmlns:a16="http://schemas.microsoft.com/office/drawing/2014/main" id="{00000000-0008-0000-0500-0000E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406</xdr:row>
          <xdr:rowOff>161925</xdr:rowOff>
        </xdr:from>
        <xdr:to>
          <xdr:col>9</xdr:col>
          <xdr:colOff>419100</xdr:colOff>
          <xdr:row>408</xdr:row>
          <xdr:rowOff>0</xdr:rowOff>
        </xdr:to>
        <xdr:sp macro="" textlink="">
          <xdr:nvSpPr>
            <xdr:cNvPr id="7918" name="Check Box 750" hidden="1">
              <a:extLst>
                <a:ext uri="{63B3BB69-23CF-44E3-9099-C40C66FF867C}">
                  <a14:compatExt spid="_x0000_s7918"/>
                </a:ext>
                <a:ext uri="{FF2B5EF4-FFF2-40B4-BE49-F238E27FC236}">
                  <a16:creationId xmlns:a16="http://schemas.microsoft.com/office/drawing/2014/main" id="{00000000-0008-0000-0500-0000E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407</xdr:row>
          <xdr:rowOff>180975</xdr:rowOff>
        </xdr:from>
        <xdr:to>
          <xdr:col>9</xdr:col>
          <xdr:colOff>409575</xdr:colOff>
          <xdr:row>409</xdr:row>
          <xdr:rowOff>0</xdr:rowOff>
        </xdr:to>
        <xdr:sp macro="" textlink="">
          <xdr:nvSpPr>
            <xdr:cNvPr id="7919" name="Check Box 751" hidden="1">
              <a:extLst>
                <a:ext uri="{63B3BB69-23CF-44E3-9099-C40C66FF867C}">
                  <a14:compatExt spid="_x0000_s7919"/>
                </a:ext>
                <a:ext uri="{FF2B5EF4-FFF2-40B4-BE49-F238E27FC236}">
                  <a16:creationId xmlns:a16="http://schemas.microsoft.com/office/drawing/2014/main" id="{00000000-0008-0000-0500-0000E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416</xdr:row>
          <xdr:rowOff>171450</xdr:rowOff>
        </xdr:from>
        <xdr:to>
          <xdr:col>9</xdr:col>
          <xdr:colOff>428625</xdr:colOff>
          <xdr:row>418</xdr:row>
          <xdr:rowOff>0</xdr:rowOff>
        </xdr:to>
        <xdr:sp macro="" textlink="">
          <xdr:nvSpPr>
            <xdr:cNvPr id="7920" name="Check Box 752" hidden="1">
              <a:extLst>
                <a:ext uri="{63B3BB69-23CF-44E3-9099-C40C66FF867C}">
                  <a14:compatExt spid="_x0000_s7920"/>
                </a:ext>
                <a:ext uri="{FF2B5EF4-FFF2-40B4-BE49-F238E27FC236}">
                  <a16:creationId xmlns:a16="http://schemas.microsoft.com/office/drawing/2014/main" id="{00000000-0008-0000-0500-0000F0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429</xdr:row>
          <xdr:rowOff>171450</xdr:rowOff>
        </xdr:from>
        <xdr:to>
          <xdr:col>9</xdr:col>
          <xdr:colOff>428625</xdr:colOff>
          <xdr:row>431</xdr:row>
          <xdr:rowOff>0</xdr:rowOff>
        </xdr:to>
        <xdr:sp macro="" textlink="">
          <xdr:nvSpPr>
            <xdr:cNvPr id="7921" name="Check Box 753" hidden="1">
              <a:extLst>
                <a:ext uri="{63B3BB69-23CF-44E3-9099-C40C66FF867C}">
                  <a14:compatExt spid="_x0000_s7921"/>
                </a:ext>
                <a:ext uri="{FF2B5EF4-FFF2-40B4-BE49-F238E27FC236}">
                  <a16:creationId xmlns:a16="http://schemas.microsoft.com/office/drawing/2014/main" id="{00000000-0008-0000-0500-0000F1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430</xdr:row>
          <xdr:rowOff>161925</xdr:rowOff>
        </xdr:from>
        <xdr:to>
          <xdr:col>9</xdr:col>
          <xdr:colOff>428625</xdr:colOff>
          <xdr:row>432</xdr:row>
          <xdr:rowOff>0</xdr:rowOff>
        </xdr:to>
        <xdr:sp macro="" textlink="">
          <xdr:nvSpPr>
            <xdr:cNvPr id="7922" name="Check Box 754" hidden="1">
              <a:extLst>
                <a:ext uri="{63B3BB69-23CF-44E3-9099-C40C66FF867C}">
                  <a14:compatExt spid="_x0000_s7922"/>
                </a:ext>
                <a:ext uri="{FF2B5EF4-FFF2-40B4-BE49-F238E27FC236}">
                  <a16:creationId xmlns:a16="http://schemas.microsoft.com/office/drawing/2014/main" id="{00000000-0008-0000-0500-0000F2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431</xdr:row>
          <xdr:rowOff>180975</xdr:rowOff>
        </xdr:from>
        <xdr:to>
          <xdr:col>9</xdr:col>
          <xdr:colOff>428625</xdr:colOff>
          <xdr:row>433</xdr:row>
          <xdr:rowOff>9525</xdr:rowOff>
        </xdr:to>
        <xdr:sp macro="" textlink="">
          <xdr:nvSpPr>
            <xdr:cNvPr id="7923" name="Check Box 755" hidden="1">
              <a:extLst>
                <a:ext uri="{63B3BB69-23CF-44E3-9099-C40C66FF867C}">
                  <a14:compatExt spid="_x0000_s7923"/>
                </a:ext>
                <a:ext uri="{FF2B5EF4-FFF2-40B4-BE49-F238E27FC236}">
                  <a16:creationId xmlns:a16="http://schemas.microsoft.com/office/drawing/2014/main" id="{00000000-0008-0000-0500-0000F3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423</xdr:row>
          <xdr:rowOff>171450</xdr:rowOff>
        </xdr:from>
        <xdr:to>
          <xdr:col>9</xdr:col>
          <xdr:colOff>428625</xdr:colOff>
          <xdr:row>425</xdr:row>
          <xdr:rowOff>0</xdr:rowOff>
        </xdr:to>
        <xdr:sp macro="" textlink="">
          <xdr:nvSpPr>
            <xdr:cNvPr id="7924" name="Check Box 756" hidden="1">
              <a:extLst>
                <a:ext uri="{63B3BB69-23CF-44E3-9099-C40C66FF867C}">
                  <a14:compatExt spid="_x0000_s7924"/>
                </a:ext>
                <a:ext uri="{FF2B5EF4-FFF2-40B4-BE49-F238E27FC236}">
                  <a16:creationId xmlns:a16="http://schemas.microsoft.com/office/drawing/2014/main" id="{00000000-0008-0000-0500-0000F4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424</xdr:row>
          <xdr:rowOff>161925</xdr:rowOff>
        </xdr:from>
        <xdr:to>
          <xdr:col>9</xdr:col>
          <xdr:colOff>428625</xdr:colOff>
          <xdr:row>426</xdr:row>
          <xdr:rowOff>0</xdr:rowOff>
        </xdr:to>
        <xdr:sp macro="" textlink="">
          <xdr:nvSpPr>
            <xdr:cNvPr id="7925" name="Check Box 757" hidden="1">
              <a:extLst>
                <a:ext uri="{63B3BB69-23CF-44E3-9099-C40C66FF867C}">
                  <a14:compatExt spid="_x0000_s7925"/>
                </a:ext>
                <a:ext uri="{FF2B5EF4-FFF2-40B4-BE49-F238E27FC236}">
                  <a16:creationId xmlns:a16="http://schemas.microsoft.com/office/drawing/2014/main" id="{00000000-0008-0000-0500-0000F5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425</xdr:row>
          <xdr:rowOff>180975</xdr:rowOff>
        </xdr:from>
        <xdr:to>
          <xdr:col>9</xdr:col>
          <xdr:colOff>428625</xdr:colOff>
          <xdr:row>427</xdr:row>
          <xdr:rowOff>9525</xdr:rowOff>
        </xdr:to>
        <xdr:sp macro="" textlink="">
          <xdr:nvSpPr>
            <xdr:cNvPr id="7926" name="Check Box 758" hidden="1">
              <a:extLst>
                <a:ext uri="{63B3BB69-23CF-44E3-9099-C40C66FF867C}">
                  <a14:compatExt spid="_x0000_s7926"/>
                </a:ext>
                <a:ext uri="{FF2B5EF4-FFF2-40B4-BE49-F238E27FC236}">
                  <a16:creationId xmlns:a16="http://schemas.microsoft.com/office/drawing/2014/main" id="{00000000-0008-0000-0500-0000F6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426</xdr:row>
          <xdr:rowOff>171450</xdr:rowOff>
        </xdr:from>
        <xdr:to>
          <xdr:col>9</xdr:col>
          <xdr:colOff>428625</xdr:colOff>
          <xdr:row>428</xdr:row>
          <xdr:rowOff>0</xdr:rowOff>
        </xdr:to>
        <xdr:sp macro="" textlink="">
          <xdr:nvSpPr>
            <xdr:cNvPr id="7927" name="Check Box 759" hidden="1">
              <a:extLst>
                <a:ext uri="{63B3BB69-23CF-44E3-9099-C40C66FF867C}">
                  <a14:compatExt spid="_x0000_s7927"/>
                </a:ext>
                <a:ext uri="{FF2B5EF4-FFF2-40B4-BE49-F238E27FC236}">
                  <a16:creationId xmlns:a16="http://schemas.microsoft.com/office/drawing/2014/main" id="{00000000-0008-0000-0500-0000F7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427</xdr:row>
          <xdr:rowOff>161925</xdr:rowOff>
        </xdr:from>
        <xdr:to>
          <xdr:col>9</xdr:col>
          <xdr:colOff>419100</xdr:colOff>
          <xdr:row>429</xdr:row>
          <xdr:rowOff>0</xdr:rowOff>
        </xdr:to>
        <xdr:sp macro="" textlink="">
          <xdr:nvSpPr>
            <xdr:cNvPr id="7928" name="Check Box 760" hidden="1">
              <a:extLst>
                <a:ext uri="{63B3BB69-23CF-44E3-9099-C40C66FF867C}">
                  <a14:compatExt spid="_x0000_s7928"/>
                </a:ext>
                <a:ext uri="{FF2B5EF4-FFF2-40B4-BE49-F238E27FC236}">
                  <a16:creationId xmlns:a16="http://schemas.microsoft.com/office/drawing/2014/main" id="{00000000-0008-0000-0500-0000F8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428</xdr:row>
          <xdr:rowOff>180975</xdr:rowOff>
        </xdr:from>
        <xdr:to>
          <xdr:col>9</xdr:col>
          <xdr:colOff>409575</xdr:colOff>
          <xdr:row>430</xdr:row>
          <xdr:rowOff>0</xdr:rowOff>
        </xdr:to>
        <xdr:sp macro="" textlink="">
          <xdr:nvSpPr>
            <xdr:cNvPr id="7929" name="Check Box 761" hidden="1">
              <a:extLst>
                <a:ext uri="{63B3BB69-23CF-44E3-9099-C40C66FF867C}">
                  <a14:compatExt spid="_x0000_s7929"/>
                </a:ext>
                <a:ext uri="{FF2B5EF4-FFF2-40B4-BE49-F238E27FC236}">
                  <a16:creationId xmlns:a16="http://schemas.microsoft.com/office/drawing/2014/main" id="{00000000-0008-0000-0500-0000F9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417</xdr:row>
          <xdr:rowOff>171450</xdr:rowOff>
        </xdr:from>
        <xdr:to>
          <xdr:col>9</xdr:col>
          <xdr:colOff>428625</xdr:colOff>
          <xdr:row>419</xdr:row>
          <xdr:rowOff>0</xdr:rowOff>
        </xdr:to>
        <xdr:sp macro="" textlink="">
          <xdr:nvSpPr>
            <xdr:cNvPr id="7930" name="Check Box 762" hidden="1">
              <a:extLst>
                <a:ext uri="{63B3BB69-23CF-44E3-9099-C40C66FF867C}">
                  <a14:compatExt spid="_x0000_s7930"/>
                </a:ext>
                <a:ext uri="{FF2B5EF4-FFF2-40B4-BE49-F238E27FC236}">
                  <a16:creationId xmlns:a16="http://schemas.microsoft.com/office/drawing/2014/main" id="{00000000-0008-0000-0500-0000FA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418</xdr:row>
          <xdr:rowOff>161925</xdr:rowOff>
        </xdr:from>
        <xdr:to>
          <xdr:col>9</xdr:col>
          <xdr:colOff>428625</xdr:colOff>
          <xdr:row>420</xdr:row>
          <xdr:rowOff>0</xdr:rowOff>
        </xdr:to>
        <xdr:sp macro="" textlink="">
          <xdr:nvSpPr>
            <xdr:cNvPr id="7931" name="Check Box 763" hidden="1">
              <a:extLst>
                <a:ext uri="{63B3BB69-23CF-44E3-9099-C40C66FF867C}">
                  <a14:compatExt spid="_x0000_s7931"/>
                </a:ext>
                <a:ext uri="{FF2B5EF4-FFF2-40B4-BE49-F238E27FC236}">
                  <a16:creationId xmlns:a16="http://schemas.microsoft.com/office/drawing/2014/main" id="{00000000-0008-0000-0500-0000FB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419</xdr:row>
          <xdr:rowOff>180975</xdr:rowOff>
        </xdr:from>
        <xdr:to>
          <xdr:col>9</xdr:col>
          <xdr:colOff>428625</xdr:colOff>
          <xdr:row>421</xdr:row>
          <xdr:rowOff>9525</xdr:rowOff>
        </xdr:to>
        <xdr:sp macro="" textlink="">
          <xdr:nvSpPr>
            <xdr:cNvPr id="7932" name="Check Box 764" hidden="1">
              <a:extLst>
                <a:ext uri="{63B3BB69-23CF-44E3-9099-C40C66FF867C}">
                  <a14:compatExt spid="_x0000_s7932"/>
                </a:ext>
                <a:ext uri="{FF2B5EF4-FFF2-40B4-BE49-F238E27FC236}">
                  <a16:creationId xmlns:a16="http://schemas.microsoft.com/office/drawing/2014/main" id="{00000000-0008-0000-0500-0000FC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420</xdr:row>
          <xdr:rowOff>171450</xdr:rowOff>
        </xdr:from>
        <xdr:to>
          <xdr:col>9</xdr:col>
          <xdr:colOff>428625</xdr:colOff>
          <xdr:row>422</xdr:row>
          <xdr:rowOff>0</xdr:rowOff>
        </xdr:to>
        <xdr:sp macro="" textlink="">
          <xdr:nvSpPr>
            <xdr:cNvPr id="7933" name="Check Box 765" hidden="1">
              <a:extLst>
                <a:ext uri="{63B3BB69-23CF-44E3-9099-C40C66FF867C}">
                  <a14:compatExt spid="_x0000_s7933"/>
                </a:ext>
                <a:ext uri="{FF2B5EF4-FFF2-40B4-BE49-F238E27FC236}">
                  <a16:creationId xmlns:a16="http://schemas.microsoft.com/office/drawing/2014/main" id="{00000000-0008-0000-0500-0000FD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421</xdr:row>
          <xdr:rowOff>161925</xdr:rowOff>
        </xdr:from>
        <xdr:to>
          <xdr:col>9</xdr:col>
          <xdr:colOff>419100</xdr:colOff>
          <xdr:row>423</xdr:row>
          <xdr:rowOff>0</xdr:rowOff>
        </xdr:to>
        <xdr:sp macro="" textlink="">
          <xdr:nvSpPr>
            <xdr:cNvPr id="7934" name="Check Box 766" hidden="1">
              <a:extLst>
                <a:ext uri="{63B3BB69-23CF-44E3-9099-C40C66FF867C}">
                  <a14:compatExt spid="_x0000_s7934"/>
                </a:ext>
                <a:ext uri="{FF2B5EF4-FFF2-40B4-BE49-F238E27FC236}">
                  <a16:creationId xmlns:a16="http://schemas.microsoft.com/office/drawing/2014/main" id="{00000000-0008-0000-0500-0000FE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422</xdr:row>
          <xdr:rowOff>180975</xdr:rowOff>
        </xdr:from>
        <xdr:to>
          <xdr:col>9</xdr:col>
          <xdr:colOff>409575</xdr:colOff>
          <xdr:row>424</xdr:row>
          <xdr:rowOff>0</xdr:rowOff>
        </xdr:to>
        <xdr:sp macro="" textlink="">
          <xdr:nvSpPr>
            <xdr:cNvPr id="7935" name="Check Box 767" hidden="1">
              <a:extLst>
                <a:ext uri="{63B3BB69-23CF-44E3-9099-C40C66FF867C}">
                  <a14:compatExt spid="_x0000_s7935"/>
                </a:ext>
                <a:ext uri="{FF2B5EF4-FFF2-40B4-BE49-F238E27FC236}">
                  <a16:creationId xmlns:a16="http://schemas.microsoft.com/office/drawing/2014/main" id="{00000000-0008-0000-0500-0000FF1E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431</xdr:row>
          <xdr:rowOff>171450</xdr:rowOff>
        </xdr:from>
        <xdr:to>
          <xdr:col>9</xdr:col>
          <xdr:colOff>428625</xdr:colOff>
          <xdr:row>433</xdr:row>
          <xdr:rowOff>0</xdr:rowOff>
        </xdr:to>
        <xdr:sp macro="" textlink="">
          <xdr:nvSpPr>
            <xdr:cNvPr id="7936" name="Check Box 768" hidden="1">
              <a:extLst>
                <a:ext uri="{63B3BB69-23CF-44E3-9099-C40C66FF867C}">
                  <a14:compatExt spid="_x0000_s7936"/>
                </a:ext>
                <a:ext uri="{FF2B5EF4-FFF2-40B4-BE49-F238E27FC236}">
                  <a16:creationId xmlns:a16="http://schemas.microsoft.com/office/drawing/2014/main" id="{00000000-0008-0000-0500-000000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444</xdr:row>
          <xdr:rowOff>171450</xdr:rowOff>
        </xdr:from>
        <xdr:to>
          <xdr:col>9</xdr:col>
          <xdr:colOff>428625</xdr:colOff>
          <xdr:row>446</xdr:row>
          <xdr:rowOff>0</xdr:rowOff>
        </xdr:to>
        <xdr:sp macro="" textlink="">
          <xdr:nvSpPr>
            <xdr:cNvPr id="7937" name="Check Box 769" hidden="1">
              <a:extLst>
                <a:ext uri="{63B3BB69-23CF-44E3-9099-C40C66FF867C}">
                  <a14:compatExt spid="_x0000_s7937"/>
                </a:ext>
                <a:ext uri="{FF2B5EF4-FFF2-40B4-BE49-F238E27FC236}">
                  <a16:creationId xmlns:a16="http://schemas.microsoft.com/office/drawing/2014/main" id="{00000000-0008-0000-0500-000001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445</xdr:row>
          <xdr:rowOff>161925</xdr:rowOff>
        </xdr:from>
        <xdr:to>
          <xdr:col>9</xdr:col>
          <xdr:colOff>428625</xdr:colOff>
          <xdr:row>447</xdr:row>
          <xdr:rowOff>0</xdr:rowOff>
        </xdr:to>
        <xdr:sp macro="" textlink="">
          <xdr:nvSpPr>
            <xdr:cNvPr id="7938" name="Check Box 770" hidden="1">
              <a:extLst>
                <a:ext uri="{63B3BB69-23CF-44E3-9099-C40C66FF867C}">
                  <a14:compatExt spid="_x0000_s7938"/>
                </a:ext>
                <a:ext uri="{FF2B5EF4-FFF2-40B4-BE49-F238E27FC236}">
                  <a16:creationId xmlns:a16="http://schemas.microsoft.com/office/drawing/2014/main" id="{00000000-0008-0000-0500-000002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438</xdr:row>
          <xdr:rowOff>171450</xdr:rowOff>
        </xdr:from>
        <xdr:to>
          <xdr:col>9</xdr:col>
          <xdr:colOff>428625</xdr:colOff>
          <xdr:row>440</xdr:row>
          <xdr:rowOff>0</xdr:rowOff>
        </xdr:to>
        <xdr:sp macro="" textlink="">
          <xdr:nvSpPr>
            <xdr:cNvPr id="7939" name="Check Box 771" hidden="1">
              <a:extLst>
                <a:ext uri="{63B3BB69-23CF-44E3-9099-C40C66FF867C}">
                  <a14:compatExt spid="_x0000_s7939"/>
                </a:ext>
                <a:ext uri="{FF2B5EF4-FFF2-40B4-BE49-F238E27FC236}">
                  <a16:creationId xmlns:a16="http://schemas.microsoft.com/office/drawing/2014/main" id="{00000000-0008-0000-0500-000003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439</xdr:row>
          <xdr:rowOff>161925</xdr:rowOff>
        </xdr:from>
        <xdr:to>
          <xdr:col>9</xdr:col>
          <xdr:colOff>428625</xdr:colOff>
          <xdr:row>441</xdr:row>
          <xdr:rowOff>0</xdr:rowOff>
        </xdr:to>
        <xdr:sp macro="" textlink="">
          <xdr:nvSpPr>
            <xdr:cNvPr id="7940" name="Check Box 772" hidden="1">
              <a:extLst>
                <a:ext uri="{63B3BB69-23CF-44E3-9099-C40C66FF867C}">
                  <a14:compatExt spid="_x0000_s7940"/>
                </a:ext>
                <a:ext uri="{FF2B5EF4-FFF2-40B4-BE49-F238E27FC236}">
                  <a16:creationId xmlns:a16="http://schemas.microsoft.com/office/drawing/2014/main" id="{00000000-0008-0000-0500-000004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440</xdr:row>
          <xdr:rowOff>180975</xdr:rowOff>
        </xdr:from>
        <xdr:to>
          <xdr:col>9</xdr:col>
          <xdr:colOff>428625</xdr:colOff>
          <xdr:row>442</xdr:row>
          <xdr:rowOff>9525</xdr:rowOff>
        </xdr:to>
        <xdr:sp macro="" textlink="">
          <xdr:nvSpPr>
            <xdr:cNvPr id="7941" name="Check Box 773" hidden="1">
              <a:extLst>
                <a:ext uri="{63B3BB69-23CF-44E3-9099-C40C66FF867C}">
                  <a14:compatExt spid="_x0000_s7941"/>
                </a:ext>
                <a:ext uri="{FF2B5EF4-FFF2-40B4-BE49-F238E27FC236}">
                  <a16:creationId xmlns:a16="http://schemas.microsoft.com/office/drawing/2014/main" id="{00000000-0008-0000-0500-000005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441</xdr:row>
          <xdr:rowOff>171450</xdr:rowOff>
        </xdr:from>
        <xdr:to>
          <xdr:col>9</xdr:col>
          <xdr:colOff>428625</xdr:colOff>
          <xdr:row>443</xdr:row>
          <xdr:rowOff>0</xdr:rowOff>
        </xdr:to>
        <xdr:sp macro="" textlink="">
          <xdr:nvSpPr>
            <xdr:cNvPr id="7942" name="Check Box 774" hidden="1">
              <a:extLst>
                <a:ext uri="{63B3BB69-23CF-44E3-9099-C40C66FF867C}">
                  <a14:compatExt spid="_x0000_s7942"/>
                </a:ext>
                <a:ext uri="{FF2B5EF4-FFF2-40B4-BE49-F238E27FC236}">
                  <a16:creationId xmlns:a16="http://schemas.microsoft.com/office/drawing/2014/main" id="{00000000-0008-0000-0500-000006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442</xdr:row>
          <xdr:rowOff>161925</xdr:rowOff>
        </xdr:from>
        <xdr:to>
          <xdr:col>9</xdr:col>
          <xdr:colOff>419100</xdr:colOff>
          <xdr:row>444</xdr:row>
          <xdr:rowOff>0</xdr:rowOff>
        </xdr:to>
        <xdr:sp macro="" textlink="">
          <xdr:nvSpPr>
            <xdr:cNvPr id="7943" name="Check Box 775" hidden="1">
              <a:extLst>
                <a:ext uri="{63B3BB69-23CF-44E3-9099-C40C66FF867C}">
                  <a14:compatExt spid="_x0000_s7943"/>
                </a:ext>
                <a:ext uri="{FF2B5EF4-FFF2-40B4-BE49-F238E27FC236}">
                  <a16:creationId xmlns:a16="http://schemas.microsoft.com/office/drawing/2014/main" id="{00000000-0008-0000-0500-000007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443</xdr:row>
          <xdr:rowOff>180975</xdr:rowOff>
        </xdr:from>
        <xdr:to>
          <xdr:col>9</xdr:col>
          <xdr:colOff>409575</xdr:colOff>
          <xdr:row>445</xdr:row>
          <xdr:rowOff>0</xdr:rowOff>
        </xdr:to>
        <xdr:sp macro="" textlink="">
          <xdr:nvSpPr>
            <xdr:cNvPr id="7944" name="Check Box 776" hidden="1">
              <a:extLst>
                <a:ext uri="{63B3BB69-23CF-44E3-9099-C40C66FF867C}">
                  <a14:compatExt spid="_x0000_s7944"/>
                </a:ext>
                <a:ext uri="{FF2B5EF4-FFF2-40B4-BE49-F238E27FC236}">
                  <a16:creationId xmlns:a16="http://schemas.microsoft.com/office/drawing/2014/main" id="{00000000-0008-0000-0500-000008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432</xdr:row>
          <xdr:rowOff>171450</xdr:rowOff>
        </xdr:from>
        <xdr:to>
          <xdr:col>9</xdr:col>
          <xdr:colOff>428625</xdr:colOff>
          <xdr:row>434</xdr:row>
          <xdr:rowOff>0</xdr:rowOff>
        </xdr:to>
        <xdr:sp macro="" textlink="">
          <xdr:nvSpPr>
            <xdr:cNvPr id="7945" name="Check Box 777" hidden="1">
              <a:extLst>
                <a:ext uri="{63B3BB69-23CF-44E3-9099-C40C66FF867C}">
                  <a14:compatExt spid="_x0000_s7945"/>
                </a:ext>
                <a:ext uri="{FF2B5EF4-FFF2-40B4-BE49-F238E27FC236}">
                  <a16:creationId xmlns:a16="http://schemas.microsoft.com/office/drawing/2014/main" id="{00000000-0008-0000-0500-000009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433</xdr:row>
          <xdr:rowOff>161925</xdr:rowOff>
        </xdr:from>
        <xdr:to>
          <xdr:col>9</xdr:col>
          <xdr:colOff>428625</xdr:colOff>
          <xdr:row>435</xdr:row>
          <xdr:rowOff>0</xdr:rowOff>
        </xdr:to>
        <xdr:sp macro="" textlink="">
          <xdr:nvSpPr>
            <xdr:cNvPr id="7946" name="Check Box 778" hidden="1">
              <a:extLst>
                <a:ext uri="{63B3BB69-23CF-44E3-9099-C40C66FF867C}">
                  <a14:compatExt spid="_x0000_s7946"/>
                </a:ext>
                <a:ext uri="{FF2B5EF4-FFF2-40B4-BE49-F238E27FC236}">
                  <a16:creationId xmlns:a16="http://schemas.microsoft.com/office/drawing/2014/main" id="{00000000-0008-0000-0500-00000A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434</xdr:row>
          <xdr:rowOff>180975</xdr:rowOff>
        </xdr:from>
        <xdr:to>
          <xdr:col>9</xdr:col>
          <xdr:colOff>428625</xdr:colOff>
          <xdr:row>436</xdr:row>
          <xdr:rowOff>9525</xdr:rowOff>
        </xdr:to>
        <xdr:sp macro="" textlink="">
          <xdr:nvSpPr>
            <xdr:cNvPr id="7947" name="Check Box 779" hidden="1">
              <a:extLst>
                <a:ext uri="{63B3BB69-23CF-44E3-9099-C40C66FF867C}">
                  <a14:compatExt spid="_x0000_s7947"/>
                </a:ext>
                <a:ext uri="{FF2B5EF4-FFF2-40B4-BE49-F238E27FC236}">
                  <a16:creationId xmlns:a16="http://schemas.microsoft.com/office/drawing/2014/main" id="{00000000-0008-0000-0500-00000B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435</xdr:row>
          <xdr:rowOff>171450</xdr:rowOff>
        </xdr:from>
        <xdr:to>
          <xdr:col>9</xdr:col>
          <xdr:colOff>428625</xdr:colOff>
          <xdr:row>437</xdr:row>
          <xdr:rowOff>0</xdr:rowOff>
        </xdr:to>
        <xdr:sp macro="" textlink="">
          <xdr:nvSpPr>
            <xdr:cNvPr id="7948" name="Check Box 780" hidden="1">
              <a:extLst>
                <a:ext uri="{63B3BB69-23CF-44E3-9099-C40C66FF867C}">
                  <a14:compatExt spid="_x0000_s7948"/>
                </a:ext>
                <a:ext uri="{FF2B5EF4-FFF2-40B4-BE49-F238E27FC236}">
                  <a16:creationId xmlns:a16="http://schemas.microsoft.com/office/drawing/2014/main" id="{00000000-0008-0000-0500-00000C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436</xdr:row>
          <xdr:rowOff>161925</xdr:rowOff>
        </xdr:from>
        <xdr:to>
          <xdr:col>9</xdr:col>
          <xdr:colOff>419100</xdr:colOff>
          <xdr:row>438</xdr:row>
          <xdr:rowOff>0</xdr:rowOff>
        </xdr:to>
        <xdr:sp macro="" textlink="">
          <xdr:nvSpPr>
            <xdr:cNvPr id="7949" name="Check Box 781" hidden="1">
              <a:extLst>
                <a:ext uri="{63B3BB69-23CF-44E3-9099-C40C66FF867C}">
                  <a14:compatExt spid="_x0000_s7949"/>
                </a:ext>
                <a:ext uri="{FF2B5EF4-FFF2-40B4-BE49-F238E27FC236}">
                  <a16:creationId xmlns:a16="http://schemas.microsoft.com/office/drawing/2014/main" id="{00000000-0008-0000-0500-00000D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437</xdr:row>
          <xdr:rowOff>180975</xdr:rowOff>
        </xdr:from>
        <xdr:to>
          <xdr:col>9</xdr:col>
          <xdr:colOff>409575</xdr:colOff>
          <xdr:row>439</xdr:row>
          <xdr:rowOff>0</xdr:rowOff>
        </xdr:to>
        <xdr:sp macro="" textlink="">
          <xdr:nvSpPr>
            <xdr:cNvPr id="7950" name="Check Box 782" hidden="1">
              <a:extLst>
                <a:ext uri="{63B3BB69-23CF-44E3-9099-C40C66FF867C}">
                  <a14:compatExt spid="_x0000_s7950"/>
                </a:ext>
                <a:ext uri="{FF2B5EF4-FFF2-40B4-BE49-F238E27FC236}">
                  <a16:creationId xmlns:a16="http://schemas.microsoft.com/office/drawing/2014/main" id="{00000000-0008-0000-0500-00000E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465</xdr:row>
          <xdr:rowOff>171450</xdr:rowOff>
        </xdr:from>
        <xdr:to>
          <xdr:col>9</xdr:col>
          <xdr:colOff>428625</xdr:colOff>
          <xdr:row>467</xdr:row>
          <xdr:rowOff>0</xdr:rowOff>
        </xdr:to>
        <xdr:sp macro="" textlink="">
          <xdr:nvSpPr>
            <xdr:cNvPr id="7952" name="Check Box 784" hidden="1">
              <a:extLst>
                <a:ext uri="{63B3BB69-23CF-44E3-9099-C40C66FF867C}">
                  <a14:compatExt spid="_x0000_s7952"/>
                </a:ext>
                <a:ext uri="{FF2B5EF4-FFF2-40B4-BE49-F238E27FC236}">
                  <a16:creationId xmlns:a16="http://schemas.microsoft.com/office/drawing/2014/main" id="{00000000-0008-0000-0500-000010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466</xdr:row>
          <xdr:rowOff>161925</xdr:rowOff>
        </xdr:from>
        <xdr:to>
          <xdr:col>9</xdr:col>
          <xdr:colOff>428625</xdr:colOff>
          <xdr:row>468</xdr:row>
          <xdr:rowOff>0</xdr:rowOff>
        </xdr:to>
        <xdr:sp macro="" textlink="">
          <xdr:nvSpPr>
            <xdr:cNvPr id="7953" name="Check Box 785" hidden="1">
              <a:extLst>
                <a:ext uri="{63B3BB69-23CF-44E3-9099-C40C66FF867C}">
                  <a14:compatExt spid="_x0000_s7953"/>
                </a:ext>
                <a:ext uri="{FF2B5EF4-FFF2-40B4-BE49-F238E27FC236}">
                  <a16:creationId xmlns:a16="http://schemas.microsoft.com/office/drawing/2014/main" id="{00000000-0008-0000-0500-000011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462</xdr:row>
          <xdr:rowOff>171450</xdr:rowOff>
        </xdr:from>
        <xdr:to>
          <xdr:col>9</xdr:col>
          <xdr:colOff>428625</xdr:colOff>
          <xdr:row>464</xdr:row>
          <xdr:rowOff>0</xdr:rowOff>
        </xdr:to>
        <xdr:sp macro="" textlink="">
          <xdr:nvSpPr>
            <xdr:cNvPr id="7954" name="Check Box 786" hidden="1">
              <a:extLst>
                <a:ext uri="{63B3BB69-23CF-44E3-9099-C40C66FF867C}">
                  <a14:compatExt spid="_x0000_s7954"/>
                </a:ext>
                <a:ext uri="{FF2B5EF4-FFF2-40B4-BE49-F238E27FC236}">
                  <a16:creationId xmlns:a16="http://schemas.microsoft.com/office/drawing/2014/main" id="{00000000-0008-0000-0500-000012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463</xdr:row>
          <xdr:rowOff>161925</xdr:rowOff>
        </xdr:from>
        <xdr:to>
          <xdr:col>9</xdr:col>
          <xdr:colOff>419100</xdr:colOff>
          <xdr:row>465</xdr:row>
          <xdr:rowOff>0</xdr:rowOff>
        </xdr:to>
        <xdr:sp macro="" textlink="">
          <xdr:nvSpPr>
            <xdr:cNvPr id="7955" name="Check Box 787" hidden="1">
              <a:extLst>
                <a:ext uri="{63B3BB69-23CF-44E3-9099-C40C66FF867C}">
                  <a14:compatExt spid="_x0000_s7955"/>
                </a:ext>
                <a:ext uri="{FF2B5EF4-FFF2-40B4-BE49-F238E27FC236}">
                  <a16:creationId xmlns:a16="http://schemas.microsoft.com/office/drawing/2014/main" id="{00000000-0008-0000-0500-000013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464</xdr:row>
          <xdr:rowOff>180975</xdr:rowOff>
        </xdr:from>
        <xdr:to>
          <xdr:col>9</xdr:col>
          <xdr:colOff>409575</xdr:colOff>
          <xdr:row>466</xdr:row>
          <xdr:rowOff>0</xdr:rowOff>
        </xdr:to>
        <xdr:sp macro="" textlink="">
          <xdr:nvSpPr>
            <xdr:cNvPr id="7956" name="Check Box 788" hidden="1">
              <a:extLst>
                <a:ext uri="{63B3BB69-23CF-44E3-9099-C40C66FF867C}">
                  <a14:compatExt spid="_x0000_s7956"/>
                </a:ext>
                <a:ext uri="{FF2B5EF4-FFF2-40B4-BE49-F238E27FC236}">
                  <a16:creationId xmlns:a16="http://schemas.microsoft.com/office/drawing/2014/main" id="{00000000-0008-0000-0500-000014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459</xdr:row>
          <xdr:rowOff>171450</xdr:rowOff>
        </xdr:from>
        <xdr:to>
          <xdr:col>9</xdr:col>
          <xdr:colOff>428625</xdr:colOff>
          <xdr:row>461</xdr:row>
          <xdr:rowOff>0</xdr:rowOff>
        </xdr:to>
        <xdr:sp macro="" textlink="">
          <xdr:nvSpPr>
            <xdr:cNvPr id="7957" name="Check Box 789" hidden="1">
              <a:extLst>
                <a:ext uri="{63B3BB69-23CF-44E3-9099-C40C66FF867C}">
                  <a14:compatExt spid="_x0000_s7957"/>
                </a:ext>
                <a:ext uri="{FF2B5EF4-FFF2-40B4-BE49-F238E27FC236}">
                  <a16:creationId xmlns:a16="http://schemas.microsoft.com/office/drawing/2014/main" id="{00000000-0008-0000-0500-000015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460</xdr:row>
          <xdr:rowOff>161925</xdr:rowOff>
        </xdr:from>
        <xdr:to>
          <xdr:col>9</xdr:col>
          <xdr:colOff>428625</xdr:colOff>
          <xdr:row>462</xdr:row>
          <xdr:rowOff>0</xdr:rowOff>
        </xdr:to>
        <xdr:sp macro="" textlink="">
          <xdr:nvSpPr>
            <xdr:cNvPr id="7958" name="Check Box 790" hidden="1">
              <a:extLst>
                <a:ext uri="{63B3BB69-23CF-44E3-9099-C40C66FF867C}">
                  <a14:compatExt spid="_x0000_s7958"/>
                </a:ext>
                <a:ext uri="{FF2B5EF4-FFF2-40B4-BE49-F238E27FC236}">
                  <a16:creationId xmlns:a16="http://schemas.microsoft.com/office/drawing/2014/main" id="{00000000-0008-0000-0500-000016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453</xdr:row>
          <xdr:rowOff>171450</xdr:rowOff>
        </xdr:from>
        <xdr:to>
          <xdr:col>9</xdr:col>
          <xdr:colOff>428625</xdr:colOff>
          <xdr:row>455</xdr:row>
          <xdr:rowOff>0</xdr:rowOff>
        </xdr:to>
        <xdr:sp macro="" textlink="">
          <xdr:nvSpPr>
            <xdr:cNvPr id="7959" name="Check Box 791" hidden="1">
              <a:extLst>
                <a:ext uri="{63B3BB69-23CF-44E3-9099-C40C66FF867C}">
                  <a14:compatExt spid="_x0000_s7959"/>
                </a:ext>
                <a:ext uri="{FF2B5EF4-FFF2-40B4-BE49-F238E27FC236}">
                  <a16:creationId xmlns:a16="http://schemas.microsoft.com/office/drawing/2014/main" id="{00000000-0008-0000-0500-000017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454</xdr:row>
          <xdr:rowOff>161925</xdr:rowOff>
        </xdr:from>
        <xdr:to>
          <xdr:col>9</xdr:col>
          <xdr:colOff>428625</xdr:colOff>
          <xdr:row>456</xdr:row>
          <xdr:rowOff>0</xdr:rowOff>
        </xdr:to>
        <xdr:sp macro="" textlink="">
          <xdr:nvSpPr>
            <xdr:cNvPr id="7960" name="Check Box 792" hidden="1">
              <a:extLst>
                <a:ext uri="{63B3BB69-23CF-44E3-9099-C40C66FF867C}">
                  <a14:compatExt spid="_x0000_s7960"/>
                </a:ext>
                <a:ext uri="{FF2B5EF4-FFF2-40B4-BE49-F238E27FC236}">
                  <a16:creationId xmlns:a16="http://schemas.microsoft.com/office/drawing/2014/main" id="{00000000-0008-0000-0500-000018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455</xdr:row>
          <xdr:rowOff>180975</xdr:rowOff>
        </xdr:from>
        <xdr:to>
          <xdr:col>9</xdr:col>
          <xdr:colOff>428625</xdr:colOff>
          <xdr:row>457</xdr:row>
          <xdr:rowOff>9525</xdr:rowOff>
        </xdr:to>
        <xdr:sp macro="" textlink="">
          <xdr:nvSpPr>
            <xdr:cNvPr id="7961" name="Check Box 793" hidden="1">
              <a:extLst>
                <a:ext uri="{63B3BB69-23CF-44E3-9099-C40C66FF867C}">
                  <a14:compatExt spid="_x0000_s7961"/>
                </a:ext>
                <a:ext uri="{FF2B5EF4-FFF2-40B4-BE49-F238E27FC236}">
                  <a16:creationId xmlns:a16="http://schemas.microsoft.com/office/drawing/2014/main" id="{00000000-0008-0000-0500-000019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456</xdr:row>
          <xdr:rowOff>171450</xdr:rowOff>
        </xdr:from>
        <xdr:to>
          <xdr:col>9</xdr:col>
          <xdr:colOff>428625</xdr:colOff>
          <xdr:row>458</xdr:row>
          <xdr:rowOff>0</xdr:rowOff>
        </xdr:to>
        <xdr:sp macro="" textlink="">
          <xdr:nvSpPr>
            <xdr:cNvPr id="7962" name="Check Box 794" hidden="1">
              <a:extLst>
                <a:ext uri="{63B3BB69-23CF-44E3-9099-C40C66FF867C}">
                  <a14:compatExt spid="_x0000_s7962"/>
                </a:ext>
                <a:ext uri="{FF2B5EF4-FFF2-40B4-BE49-F238E27FC236}">
                  <a16:creationId xmlns:a16="http://schemas.microsoft.com/office/drawing/2014/main" id="{00000000-0008-0000-0500-00001A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457</xdr:row>
          <xdr:rowOff>161925</xdr:rowOff>
        </xdr:from>
        <xdr:to>
          <xdr:col>9</xdr:col>
          <xdr:colOff>419100</xdr:colOff>
          <xdr:row>459</xdr:row>
          <xdr:rowOff>0</xdr:rowOff>
        </xdr:to>
        <xdr:sp macro="" textlink="">
          <xdr:nvSpPr>
            <xdr:cNvPr id="7963" name="Check Box 795" hidden="1">
              <a:extLst>
                <a:ext uri="{63B3BB69-23CF-44E3-9099-C40C66FF867C}">
                  <a14:compatExt spid="_x0000_s7963"/>
                </a:ext>
                <a:ext uri="{FF2B5EF4-FFF2-40B4-BE49-F238E27FC236}">
                  <a16:creationId xmlns:a16="http://schemas.microsoft.com/office/drawing/2014/main" id="{00000000-0008-0000-0500-00001B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458</xdr:row>
          <xdr:rowOff>180975</xdr:rowOff>
        </xdr:from>
        <xdr:to>
          <xdr:col>9</xdr:col>
          <xdr:colOff>409575</xdr:colOff>
          <xdr:row>460</xdr:row>
          <xdr:rowOff>0</xdr:rowOff>
        </xdr:to>
        <xdr:sp macro="" textlink="">
          <xdr:nvSpPr>
            <xdr:cNvPr id="7964" name="Check Box 796" hidden="1">
              <a:extLst>
                <a:ext uri="{63B3BB69-23CF-44E3-9099-C40C66FF867C}">
                  <a14:compatExt spid="_x0000_s7964"/>
                </a:ext>
                <a:ext uri="{FF2B5EF4-FFF2-40B4-BE49-F238E27FC236}">
                  <a16:creationId xmlns:a16="http://schemas.microsoft.com/office/drawing/2014/main" id="{00000000-0008-0000-0500-00001C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446</xdr:row>
          <xdr:rowOff>190500</xdr:rowOff>
        </xdr:from>
        <xdr:to>
          <xdr:col>9</xdr:col>
          <xdr:colOff>428625</xdr:colOff>
          <xdr:row>448</xdr:row>
          <xdr:rowOff>19050</xdr:rowOff>
        </xdr:to>
        <xdr:sp macro="" textlink="">
          <xdr:nvSpPr>
            <xdr:cNvPr id="7966" name="Check Box 798" hidden="1">
              <a:extLst>
                <a:ext uri="{63B3BB69-23CF-44E3-9099-C40C66FF867C}">
                  <a14:compatExt spid="_x0000_s7966"/>
                </a:ext>
                <a:ext uri="{FF2B5EF4-FFF2-40B4-BE49-F238E27FC236}">
                  <a16:creationId xmlns:a16="http://schemas.microsoft.com/office/drawing/2014/main" id="{00000000-0008-0000-0500-00001E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133350</xdr:colOff>
          <xdr:row>461</xdr:row>
          <xdr:rowOff>190500</xdr:rowOff>
        </xdr:from>
        <xdr:to>
          <xdr:col>9</xdr:col>
          <xdr:colOff>428625</xdr:colOff>
          <xdr:row>463</xdr:row>
          <xdr:rowOff>19050</xdr:rowOff>
        </xdr:to>
        <xdr:sp macro="" textlink="">
          <xdr:nvSpPr>
            <xdr:cNvPr id="7967" name="Check Box 799" hidden="1">
              <a:extLst>
                <a:ext uri="{63B3BB69-23CF-44E3-9099-C40C66FF867C}">
                  <a14:compatExt spid="_x0000_s7967"/>
                </a:ext>
                <a:ext uri="{FF2B5EF4-FFF2-40B4-BE49-F238E27FC236}">
                  <a16:creationId xmlns:a16="http://schemas.microsoft.com/office/drawing/2014/main" id="{00000000-0008-0000-0500-00001F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467</xdr:row>
          <xdr:rowOff>180975</xdr:rowOff>
        </xdr:from>
        <xdr:to>
          <xdr:col>9</xdr:col>
          <xdr:colOff>447675</xdr:colOff>
          <xdr:row>469</xdr:row>
          <xdr:rowOff>9525</xdr:rowOff>
        </xdr:to>
        <xdr:sp macro="" textlink="">
          <xdr:nvSpPr>
            <xdr:cNvPr id="7968" name="Check Box 800" hidden="1">
              <a:extLst>
                <a:ext uri="{63B3BB69-23CF-44E3-9099-C40C66FF867C}">
                  <a14:compatExt spid="_x0000_s7968"/>
                </a:ext>
                <a:ext uri="{FF2B5EF4-FFF2-40B4-BE49-F238E27FC236}">
                  <a16:creationId xmlns:a16="http://schemas.microsoft.com/office/drawing/2014/main" id="{00000000-0008-0000-0500-0000201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twoCellAnchor>
    <xdr:from>
      <xdr:col>0</xdr:col>
      <xdr:colOff>228389</xdr:colOff>
      <xdr:row>476</xdr:row>
      <xdr:rowOff>165365</xdr:rowOff>
    </xdr:from>
    <xdr:to>
      <xdr:col>0</xdr:col>
      <xdr:colOff>502709</xdr:colOff>
      <xdr:row>476</xdr:row>
      <xdr:rowOff>165365</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a:off x="9982543958" y="75598073"/>
          <a:ext cx="274320" cy="0"/>
        </a:xfrm>
        <a:prstGeom prst="straightConnector1">
          <a:avLst/>
        </a:prstGeom>
        <a:ln w="28575">
          <a:solidFill>
            <a:schemeClr val="bg1"/>
          </a:solidFill>
          <a:headEnd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תצוגת מילוי טבלה" id="{7F72B937-ED2E-441C-B454-338D78A176CD}"/>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drive/folders/1QOMWKRbfzNS9keTNjo96EIzBMkNDCrnL" TargetMode="External"/><Relationship Id="rId7" Type="http://schemas.openxmlformats.org/officeDocument/2006/relationships/drawing" Target="../drawings/drawing3.xml"/><Relationship Id="rId2" Type="http://schemas.openxmlformats.org/officeDocument/2006/relationships/hyperlink" Target="https://drive.google.com/drive/folders/1QOMWKRbfzNS9keTNjo96EIzBMkNDCrnL" TargetMode="External"/><Relationship Id="rId1" Type="http://schemas.openxmlformats.org/officeDocument/2006/relationships/hyperlink" Target="https://drive.google.com/drive/folders/1QOMWKRbfzNS9keTNjo96EIzBMkNDCrnL" TargetMode="External"/><Relationship Id="rId6" Type="http://schemas.openxmlformats.org/officeDocument/2006/relationships/printerSettings" Target="../printerSettings/printerSettings4.bin"/><Relationship Id="rId5" Type="http://schemas.openxmlformats.org/officeDocument/2006/relationships/hyperlink" Target="https://drive.google.com/drive/folders/1QOMWKRbfzNS9keTNjo96EIzBMkNDCrnL" TargetMode="External"/><Relationship Id="rId4" Type="http://schemas.openxmlformats.org/officeDocument/2006/relationships/hyperlink" Target="https://drive.google.com/drive/folders/1QOMWKRbfzNS9keTNjo96EIzBMkNDCrnL"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113.xml"/><Relationship Id="rId299" Type="http://schemas.openxmlformats.org/officeDocument/2006/relationships/ctrlProp" Target="../ctrlProps/ctrlProp295.xml"/><Relationship Id="rId21" Type="http://schemas.openxmlformats.org/officeDocument/2006/relationships/ctrlProp" Target="../ctrlProps/ctrlProp17.xml"/><Relationship Id="rId63" Type="http://schemas.openxmlformats.org/officeDocument/2006/relationships/ctrlProp" Target="../ctrlProps/ctrlProp59.xml"/><Relationship Id="rId159" Type="http://schemas.openxmlformats.org/officeDocument/2006/relationships/ctrlProp" Target="../ctrlProps/ctrlProp155.xml"/><Relationship Id="rId324" Type="http://schemas.openxmlformats.org/officeDocument/2006/relationships/ctrlProp" Target="../ctrlProps/ctrlProp320.xml"/><Relationship Id="rId366" Type="http://schemas.openxmlformats.org/officeDocument/2006/relationships/ctrlProp" Target="../ctrlProps/ctrlProp362.xml"/><Relationship Id="rId170" Type="http://schemas.openxmlformats.org/officeDocument/2006/relationships/ctrlProp" Target="../ctrlProps/ctrlProp166.xml"/><Relationship Id="rId226" Type="http://schemas.openxmlformats.org/officeDocument/2006/relationships/ctrlProp" Target="../ctrlProps/ctrlProp222.xml"/><Relationship Id="rId107" Type="http://schemas.openxmlformats.org/officeDocument/2006/relationships/ctrlProp" Target="../ctrlProps/ctrlProp103.xml"/><Relationship Id="rId268" Type="http://schemas.openxmlformats.org/officeDocument/2006/relationships/ctrlProp" Target="../ctrlProps/ctrlProp264.xml"/><Relationship Id="rId289" Type="http://schemas.openxmlformats.org/officeDocument/2006/relationships/ctrlProp" Target="../ctrlProps/ctrlProp285.xml"/><Relationship Id="rId11" Type="http://schemas.openxmlformats.org/officeDocument/2006/relationships/ctrlProp" Target="../ctrlProps/ctrlProp7.xml"/><Relationship Id="rId32" Type="http://schemas.openxmlformats.org/officeDocument/2006/relationships/ctrlProp" Target="../ctrlProps/ctrlProp28.xml"/><Relationship Id="rId53" Type="http://schemas.openxmlformats.org/officeDocument/2006/relationships/ctrlProp" Target="../ctrlProps/ctrlProp49.xml"/><Relationship Id="rId74" Type="http://schemas.openxmlformats.org/officeDocument/2006/relationships/ctrlProp" Target="../ctrlProps/ctrlProp70.xml"/><Relationship Id="rId128" Type="http://schemas.openxmlformats.org/officeDocument/2006/relationships/ctrlProp" Target="../ctrlProps/ctrlProp124.xml"/><Relationship Id="rId149" Type="http://schemas.openxmlformats.org/officeDocument/2006/relationships/ctrlProp" Target="../ctrlProps/ctrlProp145.xml"/><Relationship Id="rId314" Type="http://schemas.openxmlformats.org/officeDocument/2006/relationships/ctrlProp" Target="../ctrlProps/ctrlProp310.xml"/><Relationship Id="rId335" Type="http://schemas.openxmlformats.org/officeDocument/2006/relationships/ctrlProp" Target="../ctrlProps/ctrlProp331.xml"/><Relationship Id="rId356" Type="http://schemas.openxmlformats.org/officeDocument/2006/relationships/ctrlProp" Target="../ctrlProps/ctrlProp352.xml"/><Relationship Id="rId377" Type="http://schemas.openxmlformats.org/officeDocument/2006/relationships/ctrlProp" Target="../ctrlProps/ctrlProp373.xml"/><Relationship Id="rId398" Type="http://schemas.openxmlformats.org/officeDocument/2006/relationships/ctrlProp" Target="../ctrlProps/ctrlProp394.xml"/><Relationship Id="rId5" Type="http://schemas.openxmlformats.org/officeDocument/2006/relationships/ctrlProp" Target="../ctrlProps/ctrlProp1.xml"/><Relationship Id="rId95" Type="http://schemas.openxmlformats.org/officeDocument/2006/relationships/ctrlProp" Target="../ctrlProps/ctrlProp91.xml"/><Relationship Id="rId160" Type="http://schemas.openxmlformats.org/officeDocument/2006/relationships/ctrlProp" Target="../ctrlProps/ctrlProp156.xml"/><Relationship Id="rId181" Type="http://schemas.openxmlformats.org/officeDocument/2006/relationships/ctrlProp" Target="../ctrlProps/ctrlProp177.xml"/><Relationship Id="rId216" Type="http://schemas.openxmlformats.org/officeDocument/2006/relationships/ctrlProp" Target="../ctrlProps/ctrlProp212.xml"/><Relationship Id="rId237" Type="http://schemas.openxmlformats.org/officeDocument/2006/relationships/ctrlProp" Target="../ctrlProps/ctrlProp233.xml"/><Relationship Id="rId258" Type="http://schemas.openxmlformats.org/officeDocument/2006/relationships/ctrlProp" Target="../ctrlProps/ctrlProp254.xml"/><Relationship Id="rId279" Type="http://schemas.openxmlformats.org/officeDocument/2006/relationships/ctrlProp" Target="../ctrlProps/ctrlProp275.xml"/><Relationship Id="rId22" Type="http://schemas.openxmlformats.org/officeDocument/2006/relationships/ctrlProp" Target="../ctrlProps/ctrlProp18.xml"/><Relationship Id="rId43" Type="http://schemas.openxmlformats.org/officeDocument/2006/relationships/ctrlProp" Target="../ctrlProps/ctrlProp39.xml"/><Relationship Id="rId64" Type="http://schemas.openxmlformats.org/officeDocument/2006/relationships/ctrlProp" Target="../ctrlProps/ctrlProp60.xml"/><Relationship Id="rId118" Type="http://schemas.openxmlformats.org/officeDocument/2006/relationships/ctrlProp" Target="../ctrlProps/ctrlProp114.xml"/><Relationship Id="rId139" Type="http://schemas.openxmlformats.org/officeDocument/2006/relationships/ctrlProp" Target="../ctrlProps/ctrlProp135.xml"/><Relationship Id="rId290" Type="http://schemas.openxmlformats.org/officeDocument/2006/relationships/ctrlProp" Target="../ctrlProps/ctrlProp286.xml"/><Relationship Id="rId304" Type="http://schemas.openxmlformats.org/officeDocument/2006/relationships/ctrlProp" Target="../ctrlProps/ctrlProp300.xml"/><Relationship Id="rId325" Type="http://schemas.openxmlformats.org/officeDocument/2006/relationships/ctrlProp" Target="../ctrlProps/ctrlProp321.xml"/><Relationship Id="rId346" Type="http://schemas.openxmlformats.org/officeDocument/2006/relationships/ctrlProp" Target="../ctrlProps/ctrlProp342.xml"/><Relationship Id="rId367" Type="http://schemas.openxmlformats.org/officeDocument/2006/relationships/ctrlProp" Target="../ctrlProps/ctrlProp363.xml"/><Relationship Id="rId388" Type="http://schemas.openxmlformats.org/officeDocument/2006/relationships/ctrlProp" Target="../ctrlProps/ctrlProp384.xml"/><Relationship Id="rId85" Type="http://schemas.openxmlformats.org/officeDocument/2006/relationships/ctrlProp" Target="../ctrlProps/ctrlProp81.xml"/><Relationship Id="rId150" Type="http://schemas.openxmlformats.org/officeDocument/2006/relationships/ctrlProp" Target="../ctrlProps/ctrlProp146.xml"/><Relationship Id="rId171" Type="http://schemas.openxmlformats.org/officeDocument/2006/relationships/ctrlProp" Target="../ctrlProps/ctrlProp167.xml"/><Relationship Id="rId192" Type="http://schemas.openxmlformats.org/officeDocument/2006/relationships/ctrlProp" Target="../ctrlProps/ctrlProp188.xml"/><Relationship Id="rId206" Type="http://schemas.openxmlformats.org/officeDocument/2006/relationships/ctrlProp" Target="../ctrlProps/ctrlProp202.xml"/><Relationship Id="rId227" Type="http://schemas.openxmlformats.org/officeDocument/2006/relationships/ctrlProp" Target="../ctrlProps/ctrlProp223.xml"/><Relationship Id="rId248" Type="http://schemas.openxmlformats.org/officeDocument/2006/relationships/ctrlProp" Target="../ctrlProps/ctrlProp244.xml"/><Relationship Id="rId269" Type="http://schemas.openxmlformats.org/officeDocument/2006/relationships/ctrlProp" Target="../ctrlProps/ctrlProp265.xml"/><Relationship Id="rId12" Type="http://schemas.openxmlformats.org/officeDocument/2006/relationships/ctrlProp" Target="../ctrlProps/ctrlProp8.xml"/><Relationship Id="rId33" Type="http://schemas.openxmlformats.org/officeDocument/2006/relationships/ctrlProp" Target="../ctrlProps/ctrlProp29.xml"/><Relationship Id="rId108" Type="http://schemas.openxmlformats.org/officeDocument/2006/relationships/ctrlProp" Target="../ctrlProps/ctrlProp104.xml"/><Relationship Id="rId129" Type="http://schemas.openxmlformats.org/officeDocument/2006/relationships/ctrlProp" Target="../ctrlProps/ctrlProp125.xml"/><Relationship Id="rId280" Type="http://schemas.openxmlformats.org/officeDocument/2006/relationships/ctrlProp" Target="../ctrlProps/ctrlProp276.xml"/><Relationship Id="rId315" Type="http://schemas.openxmlformats.org/officeDocument/2006/relationships/ctrlProp" Target="../ctrlProps/ctrlProp311.xml"/><Relationship Id="rId336" Type="http://schemas.openxmlformats.org/officeDocument/2006/relationships/ctrlProp" Target="../ctrlProps/ctrlProp332.xml"/><Relationship Id="rId357" Type="http://schemas.openxmlformats.org/officeDocument/2006/relationships/ctrlProp" Target="../ctrlProps/ctrlProp353.xml"/><Relationship Id="rId54" Type="http://schemas.openxmlformats.org/officeDocument/2006/relationships/ctrlProp" Target="../ctrlProps/ctrlProp50.xml"/><Relationship Id="rId75" Type="http://schemas.openxmlformats.org/officeDocument/2006/relationships/ctrlProp" Target="../ctrlProps/ctrlProp71.xml"/><Relationship Id="rId96" Type="http://schemas.openxmlformats.org/officeDocument/2006/relationships/ctrlProp" Target="../ctrlProps/ctrlProp92.xml"/><Relationship Id="rId140" Type="http://schemas.openxmlformats.org/officeDocument/2006/relationships/ctrlProp" Target="../ctrlProps/ctrlProp136.xml"/><Relationship Id="rId161" Type="http://schemas.openxmlformats.org/officeDocument/2006/relationships/ctrlProp" Target="../ctrlProps/ctrlProp157.xml"/><Relationship Id="rId182" Type="http://schemas.openxmlformats.org/officeDocument/2006/relationships/ctrlProp" Target="../ctrlProps/ctrlProp178.xml"/><Relationship Id="rId217" Type="http://schemas.openxmlformats.org/officeDocument/2006/relationships/ctrlProp" Target="../ctrlProps/ctrlProp213.xml"/><Relationship Id="rId378" Type="http://schemas.openxmlformats.org/officeDocument/2006/relationships/ctrlProp" Target="../ctrlProps/ctrlProp374.xml"/><Relationship Id="rId399" Type="http://schemas.openxmlformats.org/officeDocument/2006/relationships/ctrlProp" Target="../ctrlProps/ctrlProp395.xml"/><Relationship Id="rId6" Type="http://schemas.openxmlformats.org/officeDocument/2006/relationships/ctrlProp" Target="../ctrlProps/ctrlProp2.xml"/><Relationship Id="rId238" Type="http://schemas.openxmlformats.org/officeDocument/2006/relationships/ctrlProp" Target="../ctrlProps/ctrlProp234.xml"/><Relationship Id="rId259" Type="http://schemas.openxmlformats.org/officeDocument/2006/relationships/ctrlProp" Target="../ctrlProps/ctrlProp255.xml"/><Relationship Id="rId23" Type="http://schemas.openxmlformats.org/officeDocument/2006/relationships/ctrlProp" Target="../ctrlProps/ctrlProp19.xml"/><Relationship Id="rId119" Type="http://schemas.openxmlformats.org/officeDocument/2006/relationships/ctrlProp" Target="../ctrlProps/ctrlProp115.xml"/><Relationship Id="rId270" Type="http://schemas.openxmlformats.org/officeDocument/2006/relationships/ctrlProp" Target="../ctrlProps/ctrlProp266.xml"/><Relationship Id="rId291" Type="http://schemas.openxmlformats.org/officeDocument/2006/relationships/ctrlProp" Target="../ctrlProps/ctrlProp287.xml"/><Relationship Id="rId305" Type="http://schemas.openxmlformats.org/officeDocument/2006/relationships/ctrlProp" Target="../ctrlProps/ctrlProp301.xml"/><Relationship Id="rId326" Type="http://schemas.openxmlformats.org/officeDocument/2006/relationships/ctrlProp" Target="../ctrlProps/ctrlProp322.xml"/><Relationship Id="rId347" Type="http://schemas.openxmlformats.org/officeDocument/2006/relationships/ctrlProp" Target="../ctrlProps/ctrlProp343.xml"/><Relationship Id="rId44" Type="http://schemas.openxmlformats.org/officeDocument/2006/relationships/ctrlProp" Target="../ctrlProps/ctrlProp40.xml"/><Relationship Id="rId65" Type="http://schemas.openxmlformats.org/officeDocument/2006/relationships/ctrlProp" Target="../ctrlProps/ctrlProp61.xml"/><Relationship Id="rId86" Type="http://schemas.openxmlformats.org/officeDocument/2006/relationships/ctrlProp" Target="../ctrlProps/ctrlProp82.xml"/><Relationship Id="rId130" Type="http://schemas.openxmlformats.org/officeDocument/2006/relationships/ctrlProp" Target="../ctrlProps/ctrlProp126.xml"/><Relationship Id="rId151" Type="http://schemas.openxmlformats.org/officeDocument/2006/relationships/ctrlProp" Target="../ctrlProps/ctrlProp147.xml"/><Relationship Id="rId368" Type="http://schemas.openxmlformats.org/officeDocument/2006/relationships/ctrlProp" Target="../ctrlProps/ctrlProp364.xml"/><Relationship Id="rId389" Type="http://schemas.openxmlformats.org/officeDocument/2006/relationships/ctrlProp" Target="../ctrlProps/ctrlProp385.xml"/><Relationship Id="rId172" Type="http://schemas.openxmlformats.org/officeDocument/2006/relationships/ctrlProp" Target="../ctrlProps/ctrlProp168.xml"/><Relationship Id="rId193" Type="http://schemas.openxmlformats.org/officeDocument/2006/relationships/ctrlProp" Target="../ctrlProps/ctrlProp189.xml"/><Relationship Id="rId207" Type="http://schemas.openxmlformats.org/officeDocument/2006/relationships/ctrlProp" Target="../ctrlProps/ctrlProp203.xml"/><Relationship Id="rId228" Type="http://schemas.openxmlformats.org/officeDocument/2006/relationships/ctrlProp" Target="../ctrlProps/ctrlProp224.xml"/><Relationship Id="rId249" Type="http://schemas.openxmlformats.org/officeDocument/2006/relationships/ctrlProp" Target="../ctrlProps/ctrlProp245.xml"/><Relationship Id="rId13" Type="http://schemas.openxmlformats.org/officeDocument/2006/relationships/ctrlProp" Target="../ctrlProps/ctrlProp9.xml"/><Relationship Id="rId109" Type="http://schemas.openxmlformats.org/officeDocument/2006/relationships/ctrlProp" Target="../ctrlProps/ctrlProp105.xml"/><Relationship Id="rId260" Type="http://schemas.openxmlformats.org/officeDocument/2006/relationships/ctrlProp" Target="../ctrlProps/ctrlProp256.xml"/><Relationship Id="rId281" Type="http://schemas.openxmlformats.org/officeDocument/2006/relationships/ctrlProp" Target="../ctrlProps/ctrlProp277.xml"/><Relationship Id="rId316" Type="http://schemas.openxmlformats.org/officeDocument/2006/relationships/ctrlProp" Target="../ctrlProps/ctrlProp312.xml"/><Relationship Id="rId337" Type="http://schemas.openxmlformats.org/officeDocument/2006/relationships/ctrlProp" Target="../ctrlProps/ctrlProp333.xml"/><Relationship Id="rId34" Type="http://schemas.openxmlformats.org/officeDocument/2006/relationships/ctrlProp" Target="../ctrlProps/ctrlProp30.xml"/><Relationship Id="rId55" Type="http://schemas.openxmlformats.org/officeDocument/2006/relationships/ctrlProp" Target="../ctrlProps/ctrlProp51.xml"/><Relationship Id="rId76" Type="http://schemas.openxmlformats.org/officeDocument/2006/relationships/ctrlProp" Target="../ctrlProps/ctrlProp72.xml"/><Relationship Id="rId97" Type="http://schemas.openxmlformats.org/officeDocument/2006/relationships/ctrlProp" Target="../ctrlProps/ctrlProp93.xml"/><Relationship Id="rId120" Type="http://schemas.openxmlformats.org/officeDocument/2006/relationships/ctrlProp" Target="../ctrlProps/ctrlProp116.xml"/><Relationship Id="rId141" Type="http://schemas.openxmlformats.org/officeDocument/2006/relationships/ctrlProp" Target="../ctrlProps/ctrlProp137.xml"/><Relationship Id="rId358" Type="http://schemas.openxmlformats.org/officeDocument/2006/relationships/ctrlProp" Target="../ctrlProps/ctrlProp354.xml"/><Relationship Id="rId379" Type="http://schemas.openxmlformats.org/officeDocument/2006/relationships/ctrlProp" Target="../ctrlProps/ctrlProp375.xml"/><Relationship Id="rId7" Type="http://schemas.openxmlformats.org/officeDocument/2006/relationships/ctrlProp" Target="../ctrlProps/ctrlProp3.xml"/><Relationship Id="rId162" Type="http://schemas.openxmlformats.org/officeDocument/2006/relationships/ctrlProp" Target="../ctrlProps/ctrlProp158.xml"/><Relationship Id="rId183" Type="http://schemas.openxmlformats.org/officeDocument/2006/relationships/ctrlProp" Target="../ctrlProps/ctrlProp179.xml"/><Relationship Id="rId218" Type="http://schemas.openxmlformats.org/officeDocument/2006/relationships/ctrlProp" Target="../ctrlProps/ctrlProp214.xml"/><Relationship Id="rId239" Type="http://schemas.openxmlformats.org/officeDocument/2006/relationships/ctrlProp" Target="../ctrlProps/ctrlProp235.xml"/><Relationship Id="rId390" Type="http://schemas.openxmlformats.org/officeDocument/2006/relationships/ctrlProp" Target="../ctrlProps/ctrlProp386.xml"/><Relationship Id="rId250" Type="http://schemas.openxmlformats.org/officeDocument/2006/relationships/ctrlProp" Target="../ctrlProps/ctrlProp246.xml"/><Relationship Id="rId271" Type="http://schemas.openxmlformats.org/officeDocument/2006/relationships/ctrlProp" Target="../ctrlProps/ctrlProp267.xml"/><Relationship Id="rId292" Type="http://schemas.openxmlformats.org/officeDocument/2006/relationships/ctrlProp" Target="../ctrlProps/ctrlProp288.xml"/><Relationship Id="rId306" Type="http://schemas.openxmlformats.org/officeDocument/2006/relationships/ctrlProp" Target="../ctrlProps/ctrlProp302.xml"/><Relationship Id="rId24" Type="http://schemas.openxmlformats.org/officeDocument/2006/relationships/ctrlProp" Target="../ctrlProps/ctrlProp20.xml"/><Relationship Id="rId45" Type="http://schemas.openxmlformats.org/officeDocument/2006/relationships/ctrlProp" Target="../ctrlProps/ctrlProp41.xml"/><Relationship Id="rId66" Type="http://schemas.openxmlformats.org/officeDocument/2006/relationships/ctrlProp" Target="../ctrlProps/ctrlProp62.xml"/><Relationship Id="rId87" Type="http://schemas.openxmlformats.org/officeDocument/2006/relationships/ctrlProp" Target="../ctrlProps/ctrlProp83.xml"/><Relationship Id="rId110" Type="http://schemas.openxmlformats.org/officeDocument/2006/relationships/ctrlProp" Target="../ctrlProps/ctrlProp106.xml"/><Relationship Id="rId131" Type="http://schemas.openxmlformats.org/officeDocument/2006/relationships/ctrlProp" Target="../ctrlProps/ctrlProp127.xml"/><Relationship Id="rId327" Type="http://schemas.openxmlformats.org/officeDocument/2006/relationships/ctrlProp" Target="../ctrlProps/ctrlProp323.xml"/><Relationship Id="rId348" Type="http://schemas.openxmlformats.org/officeDocument/2006/relationships/ctrlProp" Target="../ctrlProps/ctrlProp344.xml"/><Relationship Id="rId369" Type="http://schemas.openxmlformats.org/officeDocument/2006/relationships/ctrlProp" Target="../ctrlProps/ctrlProp365.xml"/><Relationship Id="rId152" Type="http://schemas.openxmlformats.org/officeDocument/2006/relationships/ctrlProp" Target="../ctrlProps/ctrlProp148.xml"/><Relationship Id="rId173" Type="http://schemas.openxmlformats.org/officeDocument/2006/relationships/ctrlProp" Target="../ctrlProps/ctrlProp169.xml"/><Relationship Id="rId194" Type="http://schemas.openxmlformats.org/officeDocument/2006/relationships/ctrlProp" Target="../ctrlProps/ctrlProp190.xml"/><Relationship Id="rId208" Type="http://schemas.openxmlformats.org/officeDocument/2006/relationships/ctrlProp" Target="../ctrlProps/ctrlProp204.xml"/><Relationship Id="rId229" Type="http://schemas.openxmlformats.org/officeDocument/2006/relationships/ctrlProp" Target="../ctrlProps/ctrlProp225.xml"/><Relationship Id="rId380" Type="http://schemas.openxmlformats.org/officeDocument/2006/relationships/ctrlProp" Target="../ctrlProps/ctrlProp376.xml"/><Relationship Id="rId240" Type="http://schemas.openxmlformats.org/officeDocument/2006/relationships/ctrlProp" Target="../ctrlProps/ctrlProp236.xml"/><Relationship Id="rId261" Type="http://schemas.openxmlformats.org/officeDocument/2006/relationships/ctrlProp" Target="../ctrlProps/ctrlProp257.xml"/><Relationship Id="rId14" Type="http://schemas.openxmlformats.org/officeDocument/2006/relationships/ctrlProp" Target="../ctrlProps/ctrlProp10.xml"/><Relationship Id="rId35" Type="http://schemas.openxmlformats.org/officeDocument/2006/relationships/ctrlProp" Target="../ctrlProps/ctrlProp31.xml"/><Relationship Id="rId56" Type="http://schemas.openxmlformats.org/officeDocument/2006/relationships/ctrlProp" Target="../ctrlProps/ctrlProp52.xml"/><Relationship Id="rId77" Type="http://schemas.openxmlformats.org/officeDocument/2006/relationships/ctrlProp" Target="../ctrlProps/ctrlProp73.xml"/><Relationship Id="rId100" Type="http://schemas.openxmlformats.org/officeDocument/2006/relationships/ctrlProp" Target="../ctrlProps/ctrlProp96.xml"/><Relationship Id="rId282" Type="http://schemas.openxmlformats.org/officeDocument/2006/relationships/ctrlProp" Target="../ctrlProps/ctrlProp278.xml"/><Relationship Id="rId317" Type="http://schemas.openxmlformats.org/officeDocument/2006/relationships/ctrlProp" Target="../ctrlProps/ctrlProp313.xml"/><Relationship Id="rId338" Type="http://schemas.openxmlformats.org/officeDocument/2006/relationships/ctrlProp" Target="../ctrlProps/ctrlProp334.xml"/><Relationship Id="rId359" Type="http://schemas.openxmlformats.org/officeDocument/2006/relationships/ctrlProp" Target="../ctrlProps/ctrlProp355.xml"/><Relationship Id="rId8" Type="http://schemas.openxmlformats.org/officeDocument/2006/relationships/ctrlProp" Target="../ctrlProps/ctrlProp4.xml"/><Relationship Id="rId98" Type="http://schemas.openxmlformats.org/officeDocument/2006/relationships/ctrlProp" Target="../ctrlProps/ctrlProp94.xml"/><Relationship Id="rId121" Type="http://schemas.openxmlformats.org/officeDocument/2006/relationships/ctrlProp" Target="../ctrlProps/ctrlProp117.xml"/><Relationship Id="rId142" Type="http://schemas.openxmlformats.org/officeDocument/2006/relationships/ctrlProp" Target="../ctrlProps/ctrlProp138.xml"/><Relationship Id="rId163" Type="http://schemas.openxmlformats.org/officeDocument/2006/relationships/ctrlProp" Target="../ctrlProps/ctrlProp159.xml"/><Relationship Id="rId184" Type="http://schemas.openxmlformats.org/officeDocument/2006/relationships/ctrlProp" Target="../ctrlProps/ctrlProp180.xml"/><Relationship Id="rId219" Type="http://schemas.openxmlformats.org/officeDocument/2006/relationships/ctrlProp" Target="../ctrlProps/ctrlProp215.xml"/><Relationship Id="rId370" Type="http://schemas.openxmlformats.org/officeDocument/2006/relationships/ctrlProp" Target="../ctrlProps/ctrlProp366.xml"/><Relationship Id="rId391" Type="http://schemas.openxmlformats.org/officeDocument/2006/relationships/ctrlProp" Target="../ctrlProps/ctrlProp387.xml"/><Relationship Id="rId230" Type="http://schemas.openxmlformats.org/officeDocument/2006/relationships/ctrlProp" Target="../ctrlProps/ctrlProp226.xml"/><Relationship Id="rId251" Type="http://schemas.openxmlformats.org/officeDocument/2006/relationships/ctrlProp" Target="../ctrlProps/ctrlProp247.xml"/><Relationship Id="rId25" Type="http://schemas.openxmlformats.org/officeDocument/2006/relationships/ctrlProp" Target="../ctrlProps/ctrlProp21.xml"/><Relationship Id="rId46" Type="http://schemas.openxmlformats.org/officeDocument/2006/relationships/ctrlProp" Target="../ctrlProps/ctrlProp42.xml"/><Relationship Id="rId67" Type="http://schemas.openxmlformats.org/officeDocument/2006/relationships/ctrlProp" Target="../ctrlProps/ctrlProp63.xml"/><Relationship Id="rId272" Type="http://schemas.openxmlformats.org/officeDocument/2006/relationships/ctrlProp" Target="../ctrlProps/ctrlProp268.xml"/><Relationship Id="rId293" Type="http://schemas.openxmlformats.org/officeDocument/2006/relationships/ctrlProp" Target="../ctrlProps/ctrlProp289.xml"/><Relationship Id="rId307" Type="http://schemas.openxmlformats.org/officeDocument/2006/relationships/ctrlProp" Target="../ctrlProps/ctrlProp303.xml"/><Relationship Id="rId328" Type="http://schemas.openxmlformats.org/officeDocument/2006/relationships/ctrlProp" Target="../ctrlProps/ctrlProp324.xml"/><Relationship Id="rId349" Type="http://schemas.openxmlformats.org/officeDocument/2006/relationships/ctrlProp" Target="../ctrlProps/ctrlProp345.xml"/><Relationship Id="rId88" Type="http://schemas.openxmlformats.org/officeDocument/2006/relationships/ctrlProp" Target="../ctrlProps/ctrlProp84.xml"/><Relationship Id="rId111" Type="http://schemas.openxmlformats.org/officeDocument/2006/relationships/ctrlProp" Target="../ctrlProps/ctrlProp107.xml"/><Relationship Id="rId132" Type="http://schemas.openxmlformats.org/officeDocument/2006/relationships/ctrlProp" Target="../ctrlProps/ctrlProp128.xml"/><Relationship Id="rId153" Type="http://schemas.openxmlformats.org/officeDocument/2006/relationships/ctrlProp" Target="../ctrlProps/ctrlProp149.xml"/><Relationship Id="rId174" Type="http://schemas.openxmlformats.org/officeDocument/2006/relationships/ctrlProp" Target="../ctrlProps/ctrlProp170.xml"/><Relationship Id="rId195" Type="http://schemas.openxmlformats.org/officeDocument/2006/relationships/ctrlProp" Target="../ctrlProps/ctrlProp191.xml"/><Relationship Id="rId209" Type="http://schemas.openxmlformats.org/officeDocument/2006/relationships/ctrlProp" Target="../ctrlProps/ctrlProp205.xml"/><Relationship Id="rId360" Type="http://schemas.openxmlformats.org/officeDocument/2006/relationships/ctrlProp" Target="../ctrlProps/ctrlProp356.xml"/><Relationship Id="rId381" Type="http://schemas.openxmlformats.org/officeDocument/2006/relationships/ctrlProp" Target="../ctrlProps/ctrlProp377.xml"/><Relationship Id="rId220" Type="http://schemas.openxmlformats.org/officeDocument/2006/relationships/ctrlProp" Target="../ctrlProps/ctrlProp216.xml"/><Relationship Id="rId241" Type="http://schemas.openxmlformats.org/officeDocument/2006/relationships/ctrlProp" Target="../ctrlProps/ctrlProp237.xml"/><Relationship Id="rId15" Type="http://schemas.openxmlformats.org/officeDocument/2006/relationships/ctrlProp" Target="../ctrlProps/ctrlProp11.xml"/><Relationship Id="rId36" Type="http://schemas.openxmlformats.org/officeDocument/2006/relationships/ctrlProp" Target="../ctrlProps/ctrlProp32.xml"/><Relationship Id="rId57" Type="http://schemas.openxmlformats.org/officeDocument/2006/relationships/ctrlProp" Target="../ctrlProps/ctrlProp53.xml"/><Relationship Id="rId262" Type="http://schemas.openxmlformats.org/officeDocument/2006/relationships/ctrlProp" Target="../ctrlProps/ctrlProp258.xml"/><Relationship Id="rId283" Type="http://schemas.openxmlformats.org/officeDocument/2006/relationships/ctrlProp" Target="../ctrlProps/ctrlProp279.xml"/><Relationship Id="rId318" Type="http://schemas.openxmlformats.org/officeDocument/2006/relationships/ctrlProp" Target="../ctrlProps/ctrlProp314.xml"/><Relationship Id="rId339" Type="http://schemas.openxmlformats.org/officeDocument/2006/relationships/ctrlProp" Target="../ctrlProps/ctrlProp335.xml"/><Relationship Id="rId78" Type="http://schemas.openxmlformats.org/officeDocument/2006/relationships/ctrlProp" Target="../ctrlProps/ctrlProp74.xml"/><Relationship Id="rId99" Type="http://schemas.openxmlformats.org/officeDocument/2006/relationships/ctrlProp" Target="../ctrlProps/ctrlProp95.xml"/><Relationship Id="rId101" Type="http://schemas.openxmlformats.org/officeDocument/2006/relationships/ctrlProp" Target="../ctrlProps/ctrlProp97.xml"/><Relationship Id="rId122" Type="http://schemas.openxmlformats.org/officeDocument/2006/relationships/ctrlProp" Target="../ctrlProps/ctrlProp118.xml"/><Relationship Id="rId143" Type="http://schemas.openxmlformats.org/officeDocument/2006/relationships/ctrlProp" Target="../ctrlProps/ctrlProp139.xml"/><Relationship Id="rId164" Type="http://schemas.openxmlformats.org/officeDocument/2006/relationships/ctrlProp" Target="../ctrlProps/ctrlProp160.xml"/><Relationship Id="rId185" Type="http://schemas.openxmlformats.org/officeDocument/2006/relationships/ctrlProp" Target="../ctrlProps/ctrlProp181.xml"/><Relationship Id="rId350" Type="http://schemas.openxmlformats.org/officeDocument/2006/relationships/ctrlProp" Target="../ctrlProps/ctrlProp346.xml"/><Relationship Id="rId371" Type="http://schemas.openxmlformats.org/officeDocument/2006/relationships/ctrlProp" Target="../ctrlProps/ctrlProp367.xml"/><Relationship Id="rId9" Type="http://schemas.openxmlformats.org/officeDocument/2006/relationships/ctrlProp" Target="../ctrlProps/ctrlProp5.xml"/><Relationship Id="rId210" Type="http://schemas.openxmlformats.org/officeDocument/2006/relationships/ctrlProp" Target="../ctrlProps/ctrlProp206.xml"/><Relationship Id="rId392" Type="http://schemas.openxmlformats.org/officeDocument/2006/relationships/ctrlProp" Target="../ctrlProps/ctrlProp388.xml"/><Relationship Id="rId26" Type="http://schemas.openxmlformats.org/officeDocument/2006/relationships/ctrlProp" Target="../ctrlProps/ctrlProp22.xml"/><Relationship Id="rId231" Type="http://schemas.openxmlformats.org/officeDocument/2006/relationships/ctrlProp" Target="../ctrlProps/ctrlProp227.xml"/><Relationship Id="rId252" Type="http://schemas.openxmlformats.org/officeDocument/2006/relationships/ctrlProp" Target="../ctrlProps/ctrlProp248.xml"/><Relationship Id="rId273" Type="http://schemas.openxmlformats.org/officeDocument/2006/relationships/ctrlProp" Target="../ctrlProps/ctrlProp269.xml"/><Relationship Id="rId294" Type="http://schemas.openxmlformats.org/officeDocument/2006/relationships/ctrlProp" Target="../ctrlProps/ctrlProp290.xml"/><Relationship Id="rId308" Type="http://schemas.openxmlformats.org/officeDocument/2006/relationships/ctrlProp" Target="../ctrlProps/ctrlProp304.xml"/><Relationship Id="rId329" Type="http://schemas.openxmlformats.org/officeDocument/2006/relationships/ctrlProp" Target="../ctrlProps/ctrlProp325.xml"/><Relationship Id="rId47" Type="http://schemas.openxmlformats.org/officeDocument/2006/relationships/ctrlProp" Target="../ctrlProps/ctrlProp43.xml"/><Relationship Id="rId68" Type="http://schemas.openxmlformats.org/officeDocument/2006/relationships/ctrlProp" Target="../ctrlProps/ctrlProp64.xml"/><Relationship Id="rId89" Type="http://schemas.openxmlformats.org/officeDocument/2006/relationships/ctrlProp" Target="../ctrlProps/ctrlProp85.xml"/><Relationship Id="rId112" Type="http://schemas.openxmlformats.org/officeDocument/2006/relationships/ctrlProp" Target="../ctrlProps/ctrlProp108.xml"/><Relationship Id="rId133" Type="http://schemas.openxmlformats.org/officeDocument/2006/relationships/ctrlProp" Target="../ctrlProps/ctrlProp129.xml"/><Relationship Id="rId154" Type="http://schemas.openxmlformats.org/officeDocument/2006/relationships/ctrlProp" Target="../ctrlProps/ctrlProp150.xml"/><Relationship Id="rId175" Type="http://schemas.openxmlformats.org/officeDocument/2006/relationships/ctrlProp" Target="../ctrlProps/ctrlProp171.xml"/><Relationship Id="rId340" Type="http://schemas.openxmlformats.org/officeDocument/2006/relationships/ctrlProp" Target="../ctrlProps/ctrlProp336.xml"/><Relationship Id="rId361" Type="http://schemas.openxmlformats.org/officeDocument/2006/relationships/ctrlProp" Target="../ctrlProps/ctrlProp357.xml"/><Relationship Id="rId196" Type="http://schemas.openxmlformats.org/officeDocument/2006/relationships/ctrlProp" Target="../ctrlProps/ctrlProp192.xml"/><Relationship Id="rId200" Type="http://schemas.openxmlformats.org/officeDocument/2006/relationships/ctrlProp" Target="../ctrlProps/ctrlProp196.xml"/><Relationship Id="rId382" Type="http://schemas.openxmlformats.org/officeDocument/2006/relationships/ctrlProp" Target="../ctrlProps/ctrlProp378.xml"/><Relationship Id="rId16" Type="http://schemas.openxmlformats.org/officeDocument/2006/relationships/ctrlProp" Target="../ctrlProps/ctrlProp12.xml"/><Relationship Id="rId221" Type="http://schemas.openxmlformats.org/officeDocument/2006/relationships/ctrlProp" Target="../ctrlProps/ctrlProp217.xml"/><Relationship Id="rId242" Type="http://schemas.openxmlformats.org/officeDocument/2006/relationships/ctrlProp" Target="../ctrlProps/ctrlProp238.xml"/><Relationship Id="rId263" Type="http://schemas.openxmlformats.org/officeDocument/2006/relationships/ctrlProp" Target="../ctrlProps/ctrlProp259.xml"/><Relationship Id="rId284" Type="http://schemas.openxmlformats.org/officeDocument/2006/relationships/ctrlProp" Target="../ctrlProps/ctrlProp280.xml"/><Relationship Id="rId319" Type="http://schemas.openxmlformats.org/officeDocument/2006/relationships/ctrlProp" Target="../ctrlProps/ctrlProp315.xml"/><Relationship Id="rId37" Type="http://schemas.openxmlformats.org/officeDocument/2006/relationships/ctrlProp" Target="../ctrlProps/ctrlProp33.xml"/><Relationship Id="rId58" Type="http://schemas.openxmlformats.org/officeDocument/2006/relationships/ctrlProp" Target="../ctrlProps/ctrlProp54.xml"/><Relationship Id="rId79" Type="http://schemas.openxmlformats.org/officeDocument/2006/relationships/ctrlProp" Target="../ctrlProps/ctrlProp75.xml"/><Relationship Id="rId102" Type="http://schemas.openxmlformats.org/officeDocument/2006/relationships/ctrlProp" Target="../ctrlProps/ctrlProp98.xml"/><Relationship Id="rId123" Type="http://schemas.openxmlformats.org/officeDocument/2006/relationships/ctrlProp" Target="../ctrlProps/ctrlProp119.xml"/><Relationship Id="rId144" Type="http://schemas.openxmlformats.org/officeDocument/2006/relationships/ctrlProp" Target="../ctrlProps/ctrlProp140.xml"/><Relationship Id="rId330" Type="http://schemas.openxmlformats.org/officeDocument/2006/relationships/ctrlProp" Target="../ctrlProps/ctrlProp326.xml"/><Relationship Id="rId90" Type="http://schemas.openxmlformats.org/officeDocument/2006/relationships/ctrlProp" Target="../ctrlProps/ctrlProp86.xml"/><Relationship Id="rId165" Type="http://schemas.openxmlformats.org/officeDocument/2006/relationships/ctrlProp" Target="../ctrlProps/ctrlProp161.xml"/><Relationship Id="rId186" Type="http://schemas.openxmlformats.org/officeDocument/2006/relationships/ctrlProp" Target="../ctrlProps/ctrlProp182.xml"/><Relationship Id="rId351" Type="http://schemas.openxmlformats.org/officeDocument/2006/relationships/ctrlProp" Target="../ctrlProps/ctrlProp347.xml"/><Relationship Id="rId372" Type="http://schemas.openxmlformats.org/officeDocument/2006/relationships/ctrlProp" Target="../ctrlProps/ctrlProp368.xml"/><Relationship Id="rId393" Type="http://schemas.openxmlformats.org/officeDocument/2006/relationships/ctrlProp" Target="../ctrlProps/ctrlProp389.xml"/><Relationship Id="rId211" Type="http://schemas.openxmlformats.org/officeDocument/2006/relationships/ctrlProp" Target="../ctrlProps/ctrlProp207.xml"/><Relationship Id="rId232" Type="http://schemas.openxmlformats.org/officeDocument/2006/relationships/ctrlProp" Target="../ctrlProps/ctrlProp228.xml"/><Relationship Id="rId253" Type="http://schemas.openxmlformats.org/officeDocument/2006/relationships/ctrlProp" Target="../ctrlProps/ctrlProp249.xml"/><Relationship Id="rId274" Type="http://schemas.openxmlformats.org/officeDocument/2006/relationships/ctrlProp" Target="../ctrlProps/ctrlProp270.xml"/><Relationship Id="rId295" Type="http://schemas.openxmlformats.org/officeDocument/2006/relationships/ctrlProp" Target="../ctrlProps/ctrlProp291.xml"/><Relationship Id="rId309" Type="http://schemas.openxmlformats.org/officeDocument/2006/relationships/ctrlProp" Target="../ctrlProps/ctrlProp305.xml"/><Relationship Id="rId27" Type="http://schemas.openxmlformats.org/officeDocument/2006/relationships/ctrlProp" Target="../ctrlProps/ctrlProp23.xml"/><Relationship Id="rId48" Type="http://schemas.openxmlformats.org/officeDocument/2006/relationships/ctrlProp" Target="../ctrlProps/ctrlProp44.xml"/><Relationship Id="rId69" Type="http://schemas.openxmlformats.org/officeDocument/2006/relationships/ctrlProp" Target="../ctrlProps/ctrlProp65.xml"/><Relationship Id="rId113" Type="http://schemas.openxmlformats.org/officeDocument/2006/relationships/ctrlProp" Target="../ctrlProps/ctrlProp109.xml"/><Relationship Id="rId134" Type="http://schemas.openxmlformats.org/officeDocument/2006/relationships/ctrlProp" Target="../ctrlProps/ctrlProp130.xml"/><Relationship Id="rId320" Type="http://schemas.openxmlformats.org/officeDocument/2006/relationships/ctrlProp" Target="../ctrlProps/ctrlProp316.xml"/><Relationship Id="rId80" Type="http://schemas.openxmlformats.org/officeDocument/2006/relationships/ctrlProp" Target="../ctrlProps/ctrlProp76.xml"/><Relationship Id="rId155" Type="http://schemas.openxmlformats.org/officeDocument/2006/relationships/ctrlProp" Target="../ctrlProps/ctrlProp151.xml"/><Relationship Id="rId176" Type="http://schemas.openxmlformats.org/officeDocument/2006/relationships/ctrlProp" Target="../ctrlProps/ctrlProp172.xml"/><Relationship Id="rId197" Type="http://schemas.openxmlformats.org/officeDocument/2006/relationships/ctrlProp" Target="../ctrlProps/ctrlProp193.xml"/><Relationship Id="rId341" Type="http://schemas.openxmlformats.org/officeDocument/2006/relationships/ctrlProp" Target="../ctrlProps/ctrlProp337.xml"/><Relationship Id="rId362" Type="http://schemas.openxmlformats.org/officeDocument/2006/relationships/ctrlProp" Target="../ctrlProps/ctrlProp358.xml"/><Relationship Id="rId383" Type="http://schemas.openxmlformats.org/officeDocument/2006/relationships/ctrlProp" Target="../ctrlProps/ctrlProp379.xml"/><Relationship Id="rId201" Type="http://schemas.openxmlformats.org/officeDocument/2006/relationships/ctrlProp" Target="../ctrlProps/ctrlProp197.xml"/><Relationship Id="rId222" Type="http://schemas.openxmlformats.org/officeDocument/2006/relationships/ctrlProp" Target="../ctrlProps/ctrlProp218.xml"/><Relationship Id="rId243" Type="http://schemas.openxmlformats.org/officeDocument/2006/relationships/ctrlProp" Target="../ctrlProps/ctrlProp239.xml"/><Relationship Id="rId264" Type="http://schemas.openxmlformats.org/officeDocument/2006/relationships/ctrlProp" Target="../ctrlProps/ctrlProp260.xml"/><Relationship Id="rId285" Type="http://schemas.openxmlformats.org/officeDocument/2006/relationships/ctrlProp" Target="../ctrlProps/ctrlProp281.xml"/><Relationship Id="rId17" Type="http://schemas.openxmlformats.org/officeDocument/2006/relationships/ctrlProp" Target="../ctrlProps/ctrlProp13.xml"/><Relationship Id="rId38" Type="http://schemas.openxmlformats.org/officeDocument/2006/relationships/ctrlProp" Target="../ctrlProps/ctrlProp34.xml"/><Relationship Id="rId59" Type="http://schemas.openxmlformats.org/officeDocument/2006/relationships/ctrlProp" Target="../ctrlProps/ctrlProp55.xml"/><Relationship Id="rId103" Type="http://schemas.openxmlformats.org/officeDocument/2006/relationships/ctrlProp" Target="../ctrlProps/ctrlProp99.xml"/><Relationship Id="rId124" Type="http://schemas.openxmlformats.org/officeDocument/2006/relationships/ctrlProp" Target="../ctrlProps/ctrlProp120.xml"/><Relationship Id="rId310" Type="http://schemas.openxmlformats.org/officeDocument/2006/relationships/ctrlProp" Target="../ctrlProps/ctrlProp306.xml"/><Relationship Id="rId70" Type="http://schemas.openxmlformats.org/officeDocument/2006/relationships/ctrlProp" Target="../ctrlProps/ctrlProp66.xml"/><Relationship Id="rId91" Type="http://schemas.openxmlformats.org/officeDocument/2006/relationships/ctrlProp" Target="../ctrlProps/ctrlProp87.xml"/><Relationship Id="rId145" Type="http://schemas.openxmlformats.org/officeDocument/2006/relationships/ctrlProp" Target="../ctrlProps/ctrlProp141.xml"/><Relationship Id="rId166" Type="http://schemas.openxmlformats.org/officeDocument/2006/relationships/ctrlProp" Target="../ctrlProps/ctrlProp162.xml"/><Relationship Id="rId187" Type="http://schemas.openxmlformats.org/officeDocument/2006/relationships/ctrlProp" Target="../ctrlProps/ctrlProp183.xml"/><Relationship Id="rId331" Type="http://schemas.openxmlformats.org/officeDocument/2006/relationships/ctrlProp" Target="../ctrlProps/ctrlProp327.xml"/><Relationship Id="rId352" Type="http://schemas.openxmlformats.org/officeDocument/2006/relationships/ctrlProp" Target="../ctrlProps/ctrlProp348.xml"/><Relationship Id="rId373" Type="http://schemas.openxmlformats.org/officeDocument/2006/relationships/ctrlProp" Target="../ctrlProps/ctrlProp369.xml"/><Relationship Id="rId394" Type="http://schemas.openxmlformats.org/officeDocument/2006/relationships/ctrlProp" Target="../ctrlProps/ctrlProp390.xml"/><Relationship Id="rId1" Type="http://schemas.openxmlformats.org/officeDocument/2006/relationships/hyperlink" Target="https://drive.google.com/drive/folders/1g0Ltb6eII5BIYcZPl5QQvmOLjC97wAjW" TargetMode="External"/><Relationship Id="rId212" Type="http://schemas.openxmlformats.org/officeDocument/2006/relationships/ctrlProp" Target="../ctrlProps/ctrlProp208.xml"/><Relationship Id="rId233" Type="http://schemas.openxmlformats.org/officeDocument/2006/relationships/ctrlProp" Target="../ctrlProps/ctrlProp229.xml"/><Relationship Id="rId254" Type="http://schemas.openxmlformats.org/officeDocument/2006/relationships/ctrlProp" Target="../ctrlProps/ctrlProp250.xml"/><Relationship Id="rId28" Type="http://schemas.openxmlformats.org/officeDocument/2006/relationships/ctrlProp" Target="../ctrlProps/ctrlProp24.xml"/><Relationship Id="rId49" Type="http://schemas.openxmlformats.org/officeDocument/2006/relationships/ctrlProp" Target="../ctrlProps/ctrlProp45.xml"/><Relationship Id="rId114" Type="http://schemas.openxmlformats.org/officeDocument/2006/relationships/ctrlProp" Target="../ctrlProps/ctrlProp110.xml"/><Relationship Id="rId275" Type="http://schemas.openxmlformats.org/officeDocument/2006/relationships/ctrlProp" Target="../ctrlProps/ctrlProp271.xml"/><Relationship Id="rId296" Type="http://schemas.openxmlformats.org/officeDocument/2006/relationships/ctrlProp" Target="../ctrlProps/ctrlProp292.xml"/><Relationship Id="rId300" Type="http://schemas.openxmlformats.org/officeDocument/2006/relationships/ctrlProp" Target="../ctrlProps/ctrlProp296.xml"/><Relationship Id="rId60" Type="http://schemas.openxmlformats.org/officeDocument/2006/relationships/ctrlProp" Target="../ctrlProps/ctrlProp56.xml"/><Relationship Id="rId81" Type="http://schemas.openxmlformats.org/officeDocument/2006/relationships/ctrlProp" Target="../ctrlProps/ctrlProp77.xml"/><Relationship Id="rId135" Type="http://schemas.openxmlformats.org/officeDocument/2006/relationships/ctrlProp" Target="../ctrlProps/ctrlProp131.xml"/><Relationship Id="rId156" Type="http://schemas.openxmlformats.org/officeDocument/2006/relationships/ctrlProp" Target="../ctrlProps/ctrlProp152.xml"/><Relationship Id="rId177" Type="http://schemas.openxmlformats.org/officeDocument/2006/relationships/ctrlProp" Target="../ctrlProps/ctrlProp173.xml"/><Relationship Id="rId198" Type="http://schemas.openxmlformats.org/officeDocument/2006/relationships/ctrlProp" Target="../ctrlProps/ctrlProp194.xml"/><Relationship Id="rId321" Type="http://schemas.openxmlformats.org/officeDocument/2006/relationships/ctrlProp" Target="../ctrlProps/ctrlProp317.xml"/><Relationship Id="rId342" Type="http://schemas.openxmlformats.org/officeDocument/2006/relationships/ctrlProp" Target="../ctrlProps/ctrlProp338.xml"/><Relationship Id="rId363" Type="http://schemas.openxmlformats.org/officeDocument/2006/relationships/ctrlProp" Target="../ctrlProps/ctrlProp359.xml"/><Relationship Id="rId384" Type="http://schemas.openxmlformats.org/officeDocument/2006/relationships/ctrlProp" Target="../ctrlProps/ctrlProp380.xml"/><Relationship Id="rId202" Type="http://schemas.openxmlformats.org/officeDocument/2006/relationships/ctrlProp" Target="../ctrlProps/ctrlProp198.xml"/><Relationship Id="rId223" Type="http://schemas.openxmlformats.org/officeDocument/2006/relationships/ctrlProp" Target="../ctrlProps/ctrlProp219.xml"/><Relationship Id="rId244" Type="http://schemas.openxmlformats.org/officeDocument/2006/relationships/ctrlProp" Target="../ctrlProps/ctrlProp240.xml"/><Relationship Id="rId18" Type="http://schemas.openxmlformats.org/officeDocument/2006/relationships/ctrlProp" Target="../ctrlProps/ctrlProp14.xml"/><Relationship Id="rId39" Type="http://schemas.openxmlformats.org/officeDocument/2006/relationships/ctrlProp" Target="../ctrlProps/ctrlProp35.xml"/><Relationship Id="rId265" Type="http://schemas.openxmlformats.org/officeDocument/2006/relationships/ctrlProp" Target="../ctrlProps/ctrlProp261.xml"/><Relationship Id="rId286" Type="http://schemas.openxmlformats.org/officeDocument/2006/relationships/ctrlProp" Target="../ctrlProps/ctrlProp282.xml"/><Relationship Id="rId50" Type="http://schemas.openxmlformats.org/officeDocument/2006/relationships/ctrlProp" Target="../ctrlProps/ctrlProp46.xml"/><Relationship Id="rId104" Type="http://schemas.openxmlformats.org/officeDocument/2006/relationships/ctrlProp" Target="../ctrlProps/ctrlProp100.xml"/><Relationship Id="rId125" Type="http://schemas.openxmlformats.org/officeDocument/2006/relationships/ctrlProp" Target="../ctrlProps/ctrlProp121.xml"/><Relationship Id="rId146" Type="http://schemas.openxmlformats.org/officeDocument/2006/relationships/ctrlProp" Target="../ctrlProps/ctrlProp142.xml"/><Relationship Id="rId167" Type="http://schemas.openxmlformats.org/officeDocument/2006/relationships/ctrlProp" Target="../ctrlProps/ctrlProp163.xml"/><Relationship Id="rId188" Type="http://schemas.openxmlformats.org/officeDocument/2006/relationships/ctrlProp" Target="../ctrlProps/ctrlProp184.xml"/><Relationship Id="rId311" Type="http://schemas.openxmlformats.org/officeDocument/2006/relationships/ctrlProp" Target="../ctrlProps/ctrlProp307.xml"/><Relationship Id="rId332" Type="http://schemas.openxmlformats.org/officeDocument/2006/relationships/ctrlProp" Target="../ctrlProps/ctrlProp328.xml"/><Relationship Id="rId353" Type="http://schemas.openxmlformats.org/officeDocument/2006/relationships/ctrlProp" Target="../ctrlProps/ctrlProp349.xml"/><Relationship Id="rId374" Type="http://schemas.openxmlformats.org/officeDocument/2006/relationships/ctrlProp" Target="../ctrlProps/ctrlProp370.xml"/><Relationship Id="rId395" Type="http://schemas.openxmlformats.org/officeDocument/2006/relationships/ctrlProp" Target="../ctrlProps/ctrlProp391.xml"/><Relationship Id="rId71" Type="http://schemas.openxmlformats.org/officeDocument/2006/relationships/ctrlProp" Target="../ctrlProps/ctrlProp67.xml"/><Relationship Id="rId92" Type="http://schemas.openxmlformats.org/officeDocument/2006/relationships/ctrlProp" Target="../ctrlProps/ctrlProp88.xml"/><Relationship Id="rId213" Type="http://schemas.openxmlformats.org/officeDocument/2006/relationships/ctrlProp" Target="../ctrlProps/ctrlProp209.xml"/><Relationship Id="rId234" Type="http://schemas.openxmlformats.org/officeDocument/2006/relationships/ctrlProp" Target="../ctrlProps/ctrlProp230.xml"/><Relationship Id="rId2" Type="http://schemas.openxmlformats.org/officeDocument/2006/relationships/printerSettings" Target="../printerSettings/printerSettings6.bin"/><Relationship Id="rId29" Type="http://schemas.openxmlformats.org/officeDocument/2006/relationships/ctrlProp" Target="../ctrlProps/ctrlProp25.xml"/><Relationship Id="rId255" Type="http://schemas.openxmlformats.org/officeDocument/2006/relationships/ctrlProp" Target="../ctrlProps/ctrlProp251.xml"/><Relationship Id="rId276" Type="http://schemas.openxmlformats.org/officeDocument/2006/relationships/ctrlProp" Target="../ctrlProps/ctrlProp272.xml"/><Relationship Id="rId297" Type="http://schemas.openxmlformats.org/officeDocument/2006/relationships/ctrlProp" Target="../ctrlProps/ctrlProp293.xml"/><Relationship Id="rId40" Type="http://schemas.openxmlformats.org/officeDocument/2006/relationships/ctrlProp" Target="../ctrlProps/ctrlProp36.xml"/><Relationship Id="rId115" Type="http://schemas.openxmlformats.org/officeDocument/2006/relationships/ctrlProp" Target="../ctrlProps/ctrlProp111.xml"/><Relationship Id="rId136" Type="http://schemas.openxmlformats.org/officeDocument/2006/relationships/ctrlProp" Target="../ctrlProps/ctrlProp132.xml"/><Relationship Id="rId157" Type="http://schemas.openxmlformats.org/officeDocument/2006/relationships/ctrlProp" Target="../ctrlProps/ctrlProp153.xml"/><Relationship Id="rId178" Type="http://schemas.openxmlformats.org/officeDocument/2006/relationships/ctrlProp" Target="../ctrlProps/ctrlProp174.xml"/><Relationship Id="rId301" Type="http://schemas.openxmlformats.org/officeDocument/2006/relationships/ctrlProp" Target="../ctrlProps/ctrlProp297.xml"/><Relationship Id="rId322" Type="http://schemas.openxmlformats.org/officeDocument/2006/relationships/ctrlProp" Target="../ctrlProps/ctrlProp318.xml"/><Relationship Id="rId343" Type="http://schemas.openxmlformats.org/officeDocument/2006/relationships/ctrlProp" Target="../ctrlProps/ctrlProp339.xml"/><Relationship Id="rId364" Type="http://schemas.openxmlformats.org/officeDocument/2006/relationships/ctrlProp" Target="../ctrlProps/ctrlProp360.xml"/><Relationship Id="rId61" Type="http://schemas.openxmlformats.org/officeDocument/2006/relationships/ctrlProp" Target="../ctrlProps/ctrlProp57.xml"/><Relationship Id="rId82" Type="http://schemas.openxmlformats.org/officeDocument/2006/relationships/ctrlProp" Target="../ctrlProps/ctrlProp78.xml"/><Relationship Id="rId199" Type="http://schemas.openxmlformats.org/officeDocument/2006/relationships/ctrlProp" Target="../ctrlProps/ctrlProp195.xml"/><Relationship Id="rId203" Type="http://schemas.openxmlformats.org/officeDocument/2006/relationships/ctrlProp" Target="../ctrlProps/ctrlProp199.xml"/><Relationship Id="rId385" Type="http://schemas.openxmlformats.org/officeDocument/2006/relationships/ctrlProp" Target="../ctrlProps/ctrlProp381.xml"/><Relationship Id="rId19" Type="http://schemas.openxmlformats.org/officeDocument/2006/relationships/ctrlProp" Target="../ctrlProps/ctrlProp15.xml"/><Relationship Id="rId224" Type="http://schemas.openxmlformats.org/officeDocument/2006/relationships/ctrlProp" Target="../ctrlProps/ctrlProp220.xml"/><Relationship Id="rId245" Type="http://schemas.openxmlformats.org/officeDocument/2006/relationships/ctrlProp" Target="../ctrlProps/ctrlProp241.xml"/><Relationship Id="rId266" Type="http://schemas.openxmlformats.org/officeDocument/2006/relationships/ctrlProp" Target="../ctrlProps/ctrlProp262.xml"/><Relationship Id="rId287" Type="http://schemas.openxmlformats.org/officeDocument/2006/relationships/ctrlProp" Target="../ctrlProps/ctrlProp283.xml"/><Relationship Id="rId30" Type="http://schemas.openxmlformats.org/officeDocument/2006/relationships/ctrlProp" Target="../ctrlProps/ctrlProp26.xml"/><Relationship Id="rId105" Type="http://schemas.openxmlformats.org/officeDocument/2006/relationships/ctrlProp" Target="../ctrlProps/ctrlProp101.xml"/><Relationship Id="rId126" Type="http://schemas.openxmlformats.org/officeDocument/2006/relationships/ctrlProp" Target="../ctrlProps/ctrlProp122.xml"/><Relationship Id="rId147" Type="http://schemas.openxmlformats.org/officeDocument/2006/relationships/ctrlProp" Target="../ctrlProps/ctrlProp143.xml"/><Relationship Id="rId168" Type="http://schemas.openxmlformats.org/officeDocument/2006/relationships/ctrlProp" Target="../ctrlProps/ctrlProp164.xml"/><Relationship Id="rId312" Type="http://schemas.openxmlformats.org/officeDocument/2006/relationships/ctrlProp" Target="../ctrlProps/ctrlProp308.xml"/><Relationship Id="rId333" Type="http://schemas.openxmlformats.org/officeDocument/2006/relationships/ctrlProp" Target="../ctrlProps/ctrlProp329.xml"/><Relationship Id="rId354" Type="http://schemas.openxmlformats.org/officeDocument/2006/relationships/ctrlProp" Target="../ctrlProps/ctrlProp350.xml"/><Relationship Id="rId51" Type="http://schemas.openxmlformats.org/officeDocument/2006/relationships/ctrlProp" Target="../ctrlProps/ctrlProp47.xml"/><Relationship Id="rId72" Type="http://schemas.openxmlformats.org/officeDocument/2006/relationships/ctrlProp" Target="../ctrlProps/ctrlProp68.xml"/><Relationship Id="rId93" Type="http://schemas.openxmlformats.org/officeDocument/2006/relationships/ctrlProp" Target="../ctrlProps/ctrlProp89.xml"/><Relationship Id="rId189" Type="http://schemas.openxmlformats.org/officeDocument/2006/relationships/ctrlProp" Target="../ctrlProps/ctrlProp185.xml"/><Relationship Id="rId375" Type="http://schemas.openxmlformats.org/officeDocument/2006/relationships/ctrlProp" Target="../ctrlProps/ctrlProp371.xml"/><Relationship Id="rId396" Type="http://schemas.openxmlformats.org/officeDocument/2006/relationships/ctrlProp" Target="../ctrlProps/ctrlProp392.xml"/><Relationship Id="rId3" Type="http://schemas.openxmlformats.org/officeDocument/2006/relationships/drawing" Target="../drawings/drawing5.xml"/><Relationship Id="rId214" Type="http://schemas.openxmlformats.org/officeDocument/2006/relationships/ctrlProp" Target="../ctrlProps/ctrlProp210.xml"/><Relationship Id="rId235" Type="http://schemas.openxmlformats.org/officeDocument/2006/relationships/ctrlProp" Target="../ctrlProps/ctrlProp231.xml"/><Relationship Id="rId256" Type="http://schemas.openxmlformats.org/officeDocument/2006/relationships/ctrlProp" Target="../ctrlProps/ctrlProp252.xml"/><Relationship Id="rId277" Type="http://schemas.openxmlformats.org/officeDocument/2006/relationships/ctrlProp" Target="../ctrlProps/ctrlProp273.xml"/><Relationship Id="rId298" Type="http://schemas.openxmlformats.org/officeDocument/2006/relationships/ctrlProp" Target="../ctrlProps/ctrlProp294.xml"/><Relationship Id="rId116" Type="http://schemas.openxmlformats.org/officeDocument/2006/relationships/ctrlProp" Target="../ctrlProps/ctrlProp112.xml"/><Relationship Id="rId137" Type="http://schemas.openxmlformats.org/officeDocument/2006/relationships/ctrlProp" Target="../ctrlProps/ctrlProp133.xml"/><Relationship Id="rId158" Type="http://schemas.openxmlformats.org/officeDocument/2006/relationships/ctrlProp" Target="../ctrlProps/ctrlProp154.xml"/><Relationship Id="rId302" Type="http://schemas.openxmlformats.org/officeDocument/2006/relationships/ctrlProp" Target="../ctrlProps/ctrlProp298.xml"/><Relationship Id="rId323" Type="http://schemas.openxmlformats.org/officeDocument/2006/relationships/ctrlProp" Target="../ctrlProps/ctrlProp319.xml"/><Relationship Id="rId344" Type="http://schemas.openxmlformats.org/officeDocument/2006/relationships/ctrlProp" Target="../ctrlProps/ctrlProp340.xml"/><Relationship Id="rId20" Type="http://schemas.openxmlformats.org/officeDocument/2006/relationships/ctrlProp" Target="../ctrlProps/ctrlProp16.xml"/><Relationship Id="rId41" Type="http://schemas.openxmlformats.org/officeDocument/2006/relationships/ctrlProp" Target="../ctrlProps/ctrlProp37.xml"/><Relationship Id="rId62" Type="http://schemas.openxmlformats.org/officeDocument/2006/relationships/ctrlProp" Target="../ctrlProps/ctrlProp58.xml"/><Relationship Id="rId83" Type="http://schemas.openxmlformats.org/officeDocument/2006/relationships/ctrlProp" Target="../ctrlProps/ctrlProp79.xml"/><Relationship Id="rId179" Type="http://schemas.openxmlformats.org/officeDocument/2006/relationships/ctrlProp" Target="../ctrlProps/ctrlProp175.xml"/><Relationship Id="rId365" Type="http://schemas.openxmlformats.org/officeDocument/2006/relationships/ctrlProp" Target="../ctrlProps/ctrlProp361.xml"/><Relationship Id="rId386" Type="http://schemas.openxmlformats.org/officeDocument/2006/relationships/ctrlProp" Target="../ctrlProps/ctrlProp382.xml"/><Relationship Id="rId190" Type="http://schemas.openxmlformats.org/officeDocument/2006/relationships/ctrlProp" Target="../ctrlProps/ctrlProp186.xml"/><Relationship Id="rId204" Type="http://schemas.openxmlformats.org/officeDocument/2006/relationships/ctrlProp" Target="../ctrlProps/ctrlProp200.xml"/><Relationship Id="rId225" Type="http://schemas.openxmlformats.org/officeDocument/2006/relationships/ctrlProp" Target="../ctrlProps/ctrlProp221.xml"/><Relationship Id="rId246" Type="http://schemas.openxmlformats.org/officeDocument/2006/relationships/ctrlProp" Target="../ctrlProps/ctrlProp242.xml"/><Relationship Id="rId267" Type="http://schemas.openxmlformats.org/officeDocument/2006/relationships/ctrlProp" Target="../ctrlProps/ctrlProp263.xml"/><Relationship Id="rId288" Type="http://schemas.openxmlformats.org/officeDocument/2006/relationships/ctrlProp" Target="../ctrlProps/ctrlProp284.xml"/><Relationship Id="rId106" Type="http://schemas.openxmlformats.org/officeDocument/2006/relationships/ctrlProp" Target="../ctrlProps/ctrlProp102.xml"/><Relationship Id="rId127" Type="http://schemas.openxmlformats.org/officeDocument/2006/relationships/ctrlProp" Target="../ctrlProps/ctrlProp123.xml"/><Relationship Id="rId313" Type="http://schemas.openxmlformats.org/officeDocument/2006/relationships/ctrlProp" Target="../ctrlProps/ctrlProp309.xml"/><Relationship Id="rId10" Type="http://schemas.openxmlformats.org/officeDocument/2006/relationships/ctrlProp" Target="../ctrlProps/ctrlProp6.xml"/><Relationship Id="rId31" Type="http://schemas.openxmlformats.org/officeDocument/2006/relationships/ctrlProp" Target="../ctrlProps/ctrlProp27.xml"/><Relationship Id="rId52" Type="http://schemas.openxmlformats.org/officeDocument/2006/relationships/ctrlProp" Target="../ctrlProps/ctrlProp48.xml"/><Relationship Id="rId73" Type="http://schemas.openxmlformats.org/officeDocument/2006/relationships/ctrlProp" Target="../ctrlProps/ctrlProp69.xml"/><Relationship Id="rId94" Type="http://schemas.openxmlformats.org/officeDocument/2006/relationships/ctrlProp" Target="../ctrlProps/ctrlProp90.xml"/><Relationship Id="rId148" Type="http://schemas.openxmlformats.org/officeDocument/2006/relationships/ctrlProp" Target="../ctrlProps/ctrlProp144.xml"/><Relationship Id="rId169" Type="http://schemas.openxmlformats.org/officeDocument/2006/relationships/ctrlProp" Target="../ctrlProps/ctrlProp165.xml"/><Relationship Id="rId334" Type="http://schemas.openxmlformats.org/officeDocument/2006/relationships/ctrlProp" Target="../ctrlProps/ctrlProp330.xml"/><Relationship Id="rId355" Type="http://schemas.openxmlformats.org/officeDocument/2006/relationships/ctrlProp" Target="../ctrlProps/ctrlProp351.xml"/><Relationship Id="rId376" Type="http://schemas.openxmlformats.org/officeDocument/2006/relationships/ctrlProp" Target="../ctrlProps/ctrlProp372.xml"/><Relationship Id="rId397" Type="http://schemas.openxmlformats.org/officeDocument/2006/relationships/ctrlProp" Target="../ctrlProps/ctrlProp393.xml"/><Relationship Id="rId4" Type="http://schemas.openxmlformats.org/officeDocument/2006/relationships/vmlDrawing" Target="../drawings/vmlDrawing1.vml"/><Relationship Id="rId180" Type="http://schemas.openxmlformats.org/officeDocument/2006/relationships/ctrlProp" Target="../ctrlProps/ctrlProp176.xml"/><Relationship Id="rId215" Type="http://schemas.openxmlformats.org/officeDocument/2006/relationships/ctrlProp" Target="../ctrlProps/ctrlProp211.xml"/><Relationship Id="rId236" Type="http://schemas.openxmlformats.org/officeDocument/2006/relationships/ctrlProp" Target="../ctrlProps/ctrlProp232.xml"/><Relationship Id="rId257" Type="http://schemas.openxmlformats.org/officeDocument/2006/relationships/ctrlProp" Target="../ctrlProps/ctrlProp253.xml"/><Relationship Id="rId278" Type="http://schemas.openxmlformats.org/officeDocument/2006/relationships/ctrlProp" Target="../ctrlProps/ctrlProp274.xml"/><Relationship Id="rId303" Type="http://schemas.openxmlformats.org/officeDocument/2006/relationships/ctrlProp" Target="../ctrlProps/ctrlProp299.xml"/><Relationship Id="rId42" Type="http://schemas.openxmlformats.org/officeDocument/2006/relationships/ctrlProp" Target="../ctrlProps/ctrlProp38.xml"/><Relationship Id="rId84" Type="http://schemas.openxmlformats.org/officeDocument/2006/relationships/ctrlProp" Target="../ctrlProps/ctrlProp80.xml"/><Relationship Id="rId138" Type="http://schemas.openxmlformats.org/officeDocument/2006/relationships/ctrlProp" Target="../ctrlProps/ctrlProp134.xml"/><Relationship Id="rId345" Type="http://schemas.openxmlformats.org/officeDocument/2006/relationships/ctrlProp" Target="../ctrlProps/ctrlProp341.xml"/><Relationship Id="rId387" Type="http://schemas.openxmlformats.org/officeDocument/2006/relationships/ctrlProp" Target="../ctrlProps/ctrlProp383.xml"/><Relationship Id="rId191" Type="http://schemas.openxmlformats.org/officeDocument/2006/relationships/ctrlProp" Target="../ctrlProps/ctrlProp187.xml"/><Relationship Id="rId205" Type="http://schemas.openxmlformats.org/officeDocument/2006/relationships/ctrlProp" Target="../ctrlProps/ctrlProp201.xml"/><Relationship Id="rId247" Type="http://schemas.openxmlformats.org/officeDocument/2006/relationships/ctrlProp" Target="../ctrlProps/ctrlProp2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L119"/>
  <sheetViews>
    <sheetView rightToLeft="1" tabSelected="1" zoomScale="90" zoomScaleNormal="90" workbookViewId="0">
      <selection activeCell="W20" sqref="W20"/>
    </sheetView>
  </sheetViews>
  <sheetFormatPr defaultColWidth="8.75" defaultRowHeight="14.25"/>
  <cols>
    <col min="1" max="1" width="5.875" style="2" customWidth="1"/>
    <col min="2" max="2" width="27.875" style="2" bestFit="1" customWidth="1"/>
    <col min="3" max="3" width="10.125" style="2" bestFit="1" customWidth="1"/>
    <col min="4" max="4" width="7.75" style="2" bestFit="1" customWidth="1"/>
    <col min="5" max="5" width="15.25" style="2" bestFit="1" customWidth="1"/>
    <col min="6" max="6" width="17.25" style="2" bestFit="1" customWidth="1"/>
    <col min="7" max="7" width="10.25" style="2" bestFit="1" customWidth="1"/>
    <col min="8" max="8" width="10.25" style="2" customWidth="1"/>
    <col min="9" max="9" width="10.25" style="2" bestFit="1" customWidth="1"/>
    <col min="10" max="14" width="10.25" style="2" customWidth="1"/>
    <col min="15" max="15" width="11" style="2" bestFit="1" customWidth="1"/>
    <col min="16" max="18" width="8.75" style="2"/>
    <col min="19" max="19" width="5.25" style="2" customWidth="1"/>
    <col min="20" max="16384" width="8.75" style="2"/>
  </cols>
  <sheetData>
    <row r="1" spans="1:9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row>
    <row r="2" spans="1:9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row>
    <row r="3" spans="1:90">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row>
    <row r="4" spans="1:90">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row>
    <row r="5" spans="1:90">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row>
    <row r="6" spans="1:90">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row>
    <row r="7" spans="1:90">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row>
    <row r="8" spans="1:90">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row>
    <row r="9" spans="1:90">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row>
    <row r="10" spans="1:90" ht="18">
      <c r="A10" s="1"/>
      <c r="B10" s="169" t="s">
        <v>0</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row>
    <row r="11" spans="1:90" ht="12"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row>
    <row r="12" spans="1:90" ht="12" customHeight="1">
      <c r="A12" s="1"/>
      <c r="B12" s="567" t="s">
        <v>254</v>
      </c>
      <c r="C12" s="567"/>
      <c r="D12" s="567"/>
      <c r="E12" s="567"/>
      <c r="F12" s="567"/>
      <c r="G12" s="567"/>
      <c r="H12" s="567"/>
      <c r="I12" s="567"/>
      <c r="J12" s="567"/>
      <c r="K12" s="567"/>
      <c r="L12" s="567"/>
      <c r="M12" s="567"/>
      <c r="N12" s="567"/>
      <c r="O12" s="567"/>
      <c r="P12" s="567"/>
      <c r="Q12" s="567"/>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row>
    <row r="13" spans="1:90" ht="9.9499999999999993" hidden="1" customHeight="1">
      <c r="A13" s="1"/>
      <c r="B13" s="567"/>
      <c r="C13" s="567"/>
      <c r="D13" s="567"/>
      <c r="E13" s="567"/>
      <c r="F13" s="567"/>
      <c r="G13" s="567"/>
      <c r="H13" s="567"/>
      <c r="I13" s="567"/>
      <c r="J13" s="567"/>
      <c r="K13" s="567"/>
      <c r="L13" s="567"/>
      <c r="M13" s="567"/>
      <c r="N13" s="567"/>
      <c r="O13" s="567"/>
      <c r="P13" s="567"/>
      <c r="Q13" s="567"/>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row>
    <row r="14" spans="1:90" ht="18.600000000000001" hidden="1" customHeight="1">
      <c r="A14" s="1"/>
      <c r="B14" s="567"/>
      <c r="C14" s="567"/>
      <c r="D14" s="567"/>
      <c r="E14" s="567"/>
      <c r="F14" s="567"/>
      <c r="G14" s="567"/>
      <c r="H14" s="567"/>
      <c r="I14" s="567"/>
      <c r="J14" s="567"/>
      <c r="K14" s="567"/>
      <c r="L14" s="567"/>
      <c r="M14" s="567"/>
      <c r="N14" s="567"/>
      <c r="O14" s="567"/>
      <c r="P14" s="567"/>
      <c r="Q14" s="567"/>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row>
    <row r="15" spans="1:90" ht="18.600000000000001" hidden="1" customHeight="1">
      <c r="A15" s="1"/>
      <c r="B15" s="567"/>
      <c r="C15" s="567"/>
      <c r="D15" s="567"/>
      <c r="E15" s="567"/>
      <c r="F15" s="567"/>
      <c r="G15" s="567"/>
      <c r="H15" s="567"/>
      <c r="I15" s="567"/>
      <c r="J15" s="567"/>
      <c r="K15" s="567"/>
      <c r="L15" s="567"/>
      <c r="M15" s="567"/>
      <c r="N15" s="567"/>
      <c r="O15" s="567"/>
      <c r="P15" s="567"/>
      <c r="Q15" s="567"/>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row>
    <row r="16" spans="1:90" ht="18.600000000000001" hidden="1" customHeight="1">
      <c r="A16" s="1"/>
      <c r="B16" s="567"/>
      <c r="C16" s="567"/>
      <c r="D16" s="567"/>
      <c r="E16" s="567"/>
      <c r="F16" s="567"/>
      <c r="G16" s="567"/>
      <c r="H16" s="567"/>
      <c r="I16" s="567"/>
      <c r="J16" s="567"/>
      <c r="K16" s="567"/>
      <c r="L16" s="567"/>
      <c r="M16" s="567"/>
      <c r="N16" s="567"/>
      <c r="O16" s="567"/>
      <c r="P16" s="567"/>
      <c r="Q16" s="567"/>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row>
    <row r="17" spans="1:90" ht="351.95" customHeight="1">
      <c r="A17" s="1"/>
      <c r="B17" s="567"/>
      <c r="C17" s="567"/>
      <c r="D17" s="567"/>
      <c r="E17" s="567"/>
      <c r="F17" s="567"/>
      <c r="G17" s="567"/>
      <c r="H17" s="567"/>
      <c r="I17" s="567"/>
      <c r="J17" s="567"/>
      <c r="K17" s="567"/>
      <c r="L17" s="567"/>
      <c r="M17" s="567"/>
      <c r="N17" s="567"/>
      <c r="O17" s="567"/>
      <c r="P17" s="567"/>
      <c r="Q17" s="567"/>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row>
    <row r="18" spans="1:90" ht="17.25" customHeight="1">
      <c r="A18" s="1"/>
      <c r="B18" s="169" t="s">
        <v>1</v>
      </c>
      <c r="C18" s="170"/>
      <c r="D18" s="170"/>
      <c r="E18" s="170"/>
      <c r="F18" s="170"/>
      <c r="G18" s="170"/>
      <c r="H18" s="170"/>
      <c r="I18" s="170"/>
      <c r="J18" s="170"/>
      <c r="K18" s="170"/>
      <c r="L18" s="170"/>
      <c r="M18" s="170"/>
      <c r="N18" s="170"/>
      <c r="O18" s="170"/>
      <c r="P18" s="170"/>
      <c r="Q18" s="170"/>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row>
    <row r="19" spans="1:90" ht="4.5" customHeight="1">
      <c r="A19" s="1"/>
      <c r="B19" s="169"/>
      <c r="C19" s="170"/>
      <c r="D19" s="170"/>
      <c r="E19" s="170"/>
      <c r="F19" s="170"/>
      <c r="G19" s="170"/>
      <c r="H19" s="170"/>
      <c r="I19" s="170"/>
      <c r="J19" s="170"/>
      <c r="K19" s="170"/>
      <c r="L19" s="170"/>
      <c r="M19" s="170"/>
      <c r="N19" s="170"/>
      <c r="O19" s="170"/>
      <c r="P19" s="170"/>
      <c r="Q19" s="170"/>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row>
    <row r="20" spans="1:90" ht="273" customHeight="1">
      <c r="A20" s="1"/>
      <c r="B20" s="568" t="s">
        <v>1556</v>
      </c>
      <c r="C20" s="568"/>
      <c r="D20" s="568"/>
      <c r="E20" s="568"/>
      <c r="F20" s="568"/>
      <c r="G20" s="568"/>
      <c r="H20" s="568"/>
      <c r="I20" s="568"/>
      <c r="J20" s="568"/>
      <c r="K20" s="568"/>
      <c r="L20" s="568"/>
      <c r="M20" s="568"/>
      <c r="N20" s="568"/>
      <c r="O20" s="170"/>
      <c r="P20" s="170"/>
      <c r="Q20" s="170"/>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row>
    <row r="21" spans="1:90" ht="23.1" customHeight="1">
      <c r="A21" s="1"/>
      <c r="B21" s="299"/>
      <c r="C21" s="299"/>
      <c r="D21" s="299"/>
      <c r="E21" s="299"/>
      <c r="F21" s="299"/>
      <c r="G21" s="299"/>
      <c r="H21" s="299"/>
      <c r="I21" s="299"/>
      <c r="J21" s="299"/>
      <c r="K21" s="299"/>
      <c r="L21" s="299"/>
      <c r="M21" s="299"/>
      <c r="N21" s="299"/>
      <c r="O21" s="170"/>
      <c r="P21" s="170"/>
      <c r="Q21" s="170"/>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row>
    <row r="22" spans="1:90" ht="252" customHeight="1">
      <c r="A22" s="1"/>
      <c r="B22" s="569" t="s">
        <v>1557</v>
      </c>
      <c r="C22" s="567"/>
      <c r="D22" s="567"/>
      <c r="E22" s="567"/>
      <c r="F22" s="567"/>
      <c r="G22" s="567"/>
      <c r="H22" s="567"/>
      <c r="I22" s="567"/>
      <c r="J22" s="299"/>
      <c r="K22" s="299"/>
      <c r="L22" s="299"/>
      <c r="M22" s="299"/>
      <c r="N22" s="299"/>
      <c r="O22" s="171"/>
      <c r="P22" s="171"/>
      <c r="Q22" s="17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row>
    <row r="23" spans="1:90" ht="19.5" customHeight="1">
      <c r="A23" s="1"/>
      <c r="B23" s="172"/>
      <c r="C23" s="173"/>
      <c r="D23" s="173"/>
      <c r="E23" s="173"/>
      <c r="F23" s="173"/>
      <c r="G23" s="173"/>
      <c r="H23" s="173"/>
      <c r="I23" s="173"/>
      <c r="J23" s="173"/>
      <c r="K23" s="173"/>
      <c r="L23" s="173"/>
      <c r="M23" s="173"/>
      <c r="N23" s="173"/>
      <c r="O23" s="173"/>
      <c r="P23" s="173"/>
      <c r="Q23" s="173"/>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row>
    <row r="24" spans="1:90" ht="18">
      <c r="A24" s="1"/>
      <c r="B24" s="174" t="s">
        <v>2</v>
      </c>
      <c r="C24" s="175"/>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row>
    <row r="25" spans="1:90" ht="18.75" thickBot="1">
      <c r="A25" s="1"/>
      <c r="B25" s="175"/>
      <c r="C25" s="175"/>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row>
    <row r="26" spans="1:90" ht="19.5" thickTop="1" thickBot="1">
      <c r="A26" s="1"/>
      <c r="B26" s="176" t="s">
        <v>3</v>
      </c>
      <c r="C26" s="177"/>
      <c r="D26" s="175"/>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row>
    <row r="27" spans="1:90" ht="18.75" thickTop="1">
      <c r="A27" s="1"/>
      <c r="B27" s="175"/>
      <c r="C27" s="175"/>
      <c r="D27" s="175"/>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row>
    <row r="28" spans="1:90">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row>
    <row r="29" spans="1:90">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row>
    <row r="30" spans="1:90" ht="18">
      <c r="A30" s="1"/>
      <c r="B30" s="169"/>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row>
    <row r="31" spans="1:90" ht="15">
      <c r="A31" s="1"/>
      <c r="B31" s="178"/>
      <c r="C31" s="179"/>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row>
    <row r="32" spans="1:90" s="182" customFormat="1" ht="18">
      <c r="A32" s="180"/>
      <c r="B32" s="181"/>
      <c r="C32" s="181"/>
      <c r="D32" s="181"/>
      <c r="E32" s="181"/>
      <c r="F32" s="181"/>
      <c r="G32" s="181"/>
      <c r="H32" s="181"/>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AP32" s="180"/>
      <c r="AQ32" s="180"/>
      <c r="AR32" s="180"/>
      <c r="AS32" s="180"/>
      <c r="AT32" s="180"/>
      <c r="AU32" s="180"/>
      <c r="AV32" s="180"/>
      <c r="AW32" s="180"/>
      <c r="AX32" s="180"/>
      <c r="AY32" s="180"/>
      <c r="AZ32" s="180"/>
      <c r="BA32" s="180"/>
      <c r="BB32" s="180"/>
      <c r="BC32" s="180"/>
      <c r="BD32" s="180"/>
      <c r="BE32" s="180"/>
      <c r="BF32" s="180"/>
      <c r="BG32" s="180"/>
      <c r="BH32" s="180"/>
      <c r="BI32" s="180"/>
      <c r="BJ32" s="180"/>
      <c r="BK32" s="180"/>
      <c r="BL32" s="180"/>
      <c r="BM32" s="180"/>
      <c r="BN32" s="180"/>
      <c r="BO32" s="180"/>
      <c r="BP32" s="180"/>
      <c r="BQ32" s="180"/>
      <c r="BR32" s="180"/>
      <c r="BS32" s="180"/>
      <c r="BT32" s="180"/>
      <c r="BU32" s="180"/>
      <c r="BV32" s="180"/>
      <c r="BW32" s="180"/>
      <c r="BX32" s="180"/>
      <c r="BY32" s="180"/>
      <c r="BZ32" s="180"/>
      <c r="CA32" s="180"/>
      <c r="CB32" s="180"/>
      <c r="CC32" s="180"/>
      <c r="CD32" s="180"/>
      <c r="CE32" s="180"/>
      <c r="CF32" s="180"/>
      <c r="CG32" s="180"/>
      <c r="CH32" s="180"/>
      <c r="CI32" s="180"/>
      <c r="CJ32" s="180"/>
      <c r="CK32" s="180"/>
      <c r="CL32" s="180"/>
    </row>
    <row r="33" spans="1:90" s="182" customFormat="1" ht="18">
      <c r="A33" s="180"/>
      <c r="B33" s="181"/>
      <c r="C33" s="181"/>
      <c r="D33" s="181"/>
      <c r="E33" s="181"/>
      <c r="F33" s="181"/>
      <c r="G33" s="181"/>
      <c r="H33" s="181"/>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80"/>
      <c r="AL33" s="180"/>
      <c r="AM33" s="180"/>
      <c r="AN33" s="180"/>
      <c r="AO33" s="180"/>
      <c r="AP33" s="180"/>
      <c r="AQ33" s="180"/>
      <c r="AR33" s="180"/>
      <c r="AS33" s="180"/>
      <c r="AT33" s="180"/>
      <c r="AU33" s="180"/>
      <c r="AV33" s="180"/>
      <c r="AW33" s="180"/>
      <c r="AX33" s="180"/>
      <c r="AY33" s="180"/>
      <c r="AZ33" s="180"/>
      <c r="BA33" s="180"/>
      <c r="BB33" s="180"/>
      <c r="BC33" s="180"/>
      <c r="BD33" s="180"/>
      <c r="BE33" s="180"/>
      <c r="BF33" s="180"/>
      <c r="BG33" s="180"/>
      <c r="BH33" s="180"/>
      <c r="BI33" s="180"/>
      <c r="BJ33" s="180"/>
      <c r="BK33" s="180"/>
      <c r="BL33" s="180"/>
      <c r="BM33" s="180"/>
      <c r="BN33" s="180"/>
      <c r="BO33" s="180"/>
      <c r="BP33" s="180"/>
      <c r="BQ33" s="180"/>
      <c r="BR33" s="180"/>
      <c r="BS33" s="180"/>
      <c r="BT33" s="180"/>
      <c r="BU33" s="180"/>
      <c r="BV33" s="180"/>
      <c r="BW33" s="180"/>
      <c r="BX33" s="180"/>
      <c r="BY33" s="180"/>
      <c r="BZ33" s="180"/>
      <c r="CA33" s="180"/>
      <c r="CB33" s="180"/>
      <c r="CC33" s="180"/>
      <c r="CD33" s="180"/>
      <c r="CE33" s="180"/>
      <c r="CF33" s="180"/>
      <c r="CG33" s="180"/>
      <c r="CH33" s="180"/>
      <c r="CI33" s="180"/>
      <c r="CJ33" s="180"/>
      <c r="CK33" s="180"/>
      <c r="CL33" s="180"/>
    </row>
    <row r="34" spans="1:90" s="182" customFormat="1" ht="18">
      <c r="A34" s="180"/>
      <c r="B34" s="181"/>
      <c r="C34" s="181"/>
      <c r="D34" s="181"/>
      <c r="E34" s="181"/>
      <c r="F34" s="181"/>
      <c r="G34" s="181"/>
      <c r="H34" s="181"/>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c r="AG34" s="180"/>
      <c r="AH34" s="180"/>
      <c r="AI34" s="180"/>
      <c r="AJ34" s="180"/>
      <c r="AK34" s="180"/>
      <c r="AL34" s="180"/>
      <c r="AM34" s="180"/>
      <c r="AN34" s="180"/>
      <c r="AO34" s="180"/>
      <c r="AP34" s="180"/>
      <c r="AQ34" s="180"/>
      <c r="AR34" s="180"/>
      <c r="AS34" s="180"/>
      <c r="AT34" s="180"/>
      <c r="AU34" s="180"/>
      <c r="AV34" s="180"/>
      <c r="AW34" s="180"/>
      <c r="AX34" s="180"/>
      <c r="AY34" s="180"/>
      <c r="AZ34" s="180"/>
      <c r="BA34" s="180"/>
      <c r="BB34" s="180"/>
      <c r="BC34" s="180"/>
      <c r="BD34" s="180"/>
      <c r="BE34" s="180"/>
      <c r="BF34" s="180"/>
      <c r="BG34" s="180"/>
      <c r="BH34" s="180"/>
      <c r="BI34" s="180"/>
      <c r="BJ34" s="180"/>
      <c r="BK34" s="180"/>
      <c r="BL34" s="180"/>
      <c r="BM34" s="180"/>
      <c r="BN34" s="180"/>
      <c r="BO34" s="180"/>
      <c r="BP34" s="180"/>
      <c r="BQ34" s="180"/>
      <c r="BR34" s="180"/>
      <c r="BS34" s="180"/>
      <c r="BT34" s="180"/>
      <c r="BU34" s="180"/>
      <c r="BV34" s="180"/>
      <c r="BW34" s="180"/>
      <c r="BX34" s="180"/>
      <c r="BY34" s="180"/>
      <c r="BZ34" s="180"/>
      <c r="CA34" s="180"/>
      <c r="CB34" s="180"/>
      <c r="CC34" s="180"/>
      <c r="CD34" s="180"/>
      <c r="CE34" s="180"/>
      <c r="CF34" s="180"/>
      <c r="CG34" s="180"/>
      <c r="CH34" s="180"/>
      <c r="CI34" s="180"/>
      <c r="CJ34" s="180"/>
      <c r="CK34" s="180"/>
      <c r="CL34" s="180"/>
    </row>
    <row r="35" spans="1:90" s="182" customFormat="1" ht="18">
      <c r="A35" s="180"/>
      <c r="B35" s="183"/>
      <c r="C35" s="181"/>
      <c r="D35" s="181"/>
      <c r="E35" s="181"/>
      <c r="F35" s="181"/>
      <c r="G35" s="181"/>
      <c r="H35" s="181"/>
      <c r="I35" s="180"/>
      <c r="J35" s="180"/>
      <c r="K35" s="180"/>
      <c r="L35" s="180"/>
      <c r="M35" s="180"/>
      <c r="N35" s="180"/>
      <c r="O35" s="180"/>
      <c r="P35" s="180"/>
      <c r="Q35" s="180"/>
      <c r="R35" s="180"/>
      <c r="S35" s="180"/>
      <c r="T35" s="180"/>
      <c r="U35" s="180"/>
      <c r="V35" s="180"/>
      <c r="W35" s="180"/>
      <c r="X35" s="180"/>
      <c r="Y35" s="180"/>
      <c r="Z35" s="180"/>
      <c r="AA35" s="180"/>
      <c r="AB35" s="180"/>
      <c r="AC35" s="180"/>
      <c r="AD35" s="180"/>
      <c r="AE35" s="180"/>
      <c r="AF35" s="180"/>
      <c r="AG35" s="180"/>
      <c r="AH35" s="180"/>
      <c r="AI35" s="180"/>
      <c r="AJ35" s="180"/>
      <c r="AK35" s="180"/>
      <c r="AL35" s="180"/>
      <c r="AM35" s="180"/>
      <c r="AN35" s="180"/>
      <c r="AO35" s="180"/>
      <c r="AP35" s="180"/>
      <c r="AQ35" s="180"/>
      <c r="AR35" s="180"/>
      <c r="AS35" s="180"/>
      <c r="AT35" s="180"/>
      <c r="AU35" s="180"/>
      <c r="AV35" s="180"/>
      <c r="AW35" s="180"/>
      <c r="AX35" s="180"/>
      <c r="AY35" s="180"/>
      <c r="AZ35" s="180"/>
      <c r="BA35" s="180"/>
      <c r="BB35" s="180"/>
      <c r="BC35" s="180"/>
      <c r="BD35" s="180"/>
      <c r="BE35" s="180"/>
      <c r="BF35" s="180"/>
      <c r="BG35" s="180"/>
      <c r="BH35" s="180"/>
      <c r="BI35" s="180"/>
      <c r="BJ35" s="180"/>
      <c r="BK35" s="180"/>
      <c r="BL35" s="180"/>
      <c r="BM35" s="180"/>
      <c r="BN35" s="180"/>
      <c r="BO35" s="180"/>
      <c r="BP35" s="180"/>
      <c r="BQ35" s="180"/>
      <c r="BR35" s="180"/>
      <c r="BS35" s="180"/>
      <c r="BT35" s="180"/>
      <c r="BU35" s="180"/>
      <c r="BV35" s="180"/>
      <c r="BW35" s="180"/>
      <c r="BX35" s="180"/>
      <c r="BY35" s="180"/>
      <c r="BZ35" s="180"/>
      <c r="CA35" s="180"/>
      <c r="CB35" s="180"/>
      <c r="CC35" s="180"/>
      <c r="CD35" s="180"/>
      <c r="CE35" s="180"/>
      <c r="CF35" s="180"/>
      <c r="CG35" s="180"/>
      <c r="CH35" s="180"/>
      <c r="CI35" s="180"/>
      <c r="CJ35" s="180"/>
      <c r="CK35" s="180"/>
      <c r="CL35" s="180"/>
    </row>
    <row r="36" spans="1:90" customFormat="1" ht="23.25">
      <c r="A36" s="7"/>
      <c r="B36" s="7"/>
      <c r="C36" s="7"/>
      <c r="D36" s="184"/>
      <c r="E36" s="184"/>
      <c r="F36" s="184"/>
      <c r="G36" s="184"/>
      <c r="H36" s="184"/>
      <c r="I36" s="184"/>
      <c r="J36" s="184"/>
      <c r="K36" s="185"/>
      <c r="L36" s="185"/>
      <c r="M36" s="185"/>
      <c r="N36" s="185"/>
      <c r="O36" s="185"/>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row>
    <row r="37" spans="1:90">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row>
    <row r="38" spans="1:90">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row>
    <row r="39" spans="1:90">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row>
    <row r="40" spans="1:9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row>
    <row r="41" spans="1:90">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row>
    <row r="42" spans="1:90">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row>
    <row r="43" spans="1:90">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row>
    <row r="44" spans="1:90">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row>
    <row r="45" spans="1:90">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row>
    <row r="46" spans="1:90">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row>
    <row r="47" spans="1:90">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row>
    <row r="48" spans="1:90">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row>
    <row r="49" spans="1:90">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row>
    <row r="50" spans="1:9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row>
    <row r="51" spans="1:90">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row>
    <row r="52" spans="1:90">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row>
    <row r="53" spans="1:90">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row>
    <row r="54" spans="1:90">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row>
    <row r="55" spans="1:90">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row>
    <row r="56" spans="1:90">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row>
    <row r="57" spans="1:90">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row>
    <row r="58" spans="1:90">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row>
    <row r="59" spans="1:90">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row>
    <row r="60" spans="1:9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row>
    <row r="61" spans="1:90">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row>
    <row r="62" spans="1:90">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row>
    <row r="63" spans="1:90">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row>
    <row r="64" spans="1:90">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row>
    <row r="65" spans="1:90">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row>
    <row r="66" spans="1:90">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row>
    <row r="67" spans="1:90">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row>
    <row r="68" spans="1:9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row>
    <row r="69" spans="1:90">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row>
    <row r="70" spans="1:9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row>
    <row r="71" spans="1:90">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row>
    <row r="72" spans="1:90">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row>
    <row r="73" spans="1:90">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row>
    <row r="74" spans="1:90">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row>
    <row r="75" spans="1:90">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row>
    <row r="76" spans="1:9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row>
    <row r="77" spans="1:9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row>
    <row r="78" spans="1:9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row>
    <row r="79" spans="1:9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row>
    <row r="80" spans="1:9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row>
    <row r="81" spans="1:90">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row>
    <row r="82" spans="1:90">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row>
    <row r="83" spans="1:9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row>
    <row r="84" spans="1:9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row>
    <row r="85" spans="1:9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row>
    <row r="86" spans="1:9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row>
    <row r="87" spans="1:9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row>
    <row r="88" spans="1:9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row>
    <row r="89" spans="1:9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row>
    <row r="90" spans="1: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row>
    <row r="91" spans="1:9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row>
    <row r="92" spans="1:9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row>
    <row r="93" spans="1:9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row>
    <row r="94" spans="1:9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row>
    <row r="95" spans="1:9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row>
    <row r="96" spans="1:9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row>
    <row r="97" spans="1:9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row>
    <row r="98" spans="1:9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row>
    <row r="99" spans="1:9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row>
    <row r="100" spans="1:9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row>
    <row r="101" spans="1:9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row>
    <row r="102" spans="1:9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row>
    <row r="103" spans="1:9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row>
    <row r="104" spans="1:9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row>
    <row r="105" spans="1:9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row>
    <row r="106" spans="1:9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row>
    <row r="107" spans="1:9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row>
    <row r="108" spans="1:9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row>
    <row r="109" spans="1:9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row>
    <row r="110" spans="1:9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row>
    <row r="111" spans="1:9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row>
    <row r="112" spans="1:9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row>
    <row r="113" spans="1:9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row>
    <row r="114" spans="1:9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row>
    <row r="115" spans="1:9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row>
    <row r="116" spans="1:9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row>
    <row r="117" spans="1:9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row>
    <row r="118" spans="1:9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row>
    <row r="119" spans="1:9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row>
  </sheetData>
  <sheetProtection algorithmName="SHA-512" hashValue="20YzbLN08vIfqZC7K2OV4oDL1fDJLXL3RsCdvzidIg4KBJuSEALyjeuWmHQ3ejPOUsEl8bluhfp/FZUO4+g2Gw==" saltValue="phmQguvu+uZLdkagDU/fcw==" spinCount="100000" sheet="1" objects="1" scenarios="1"/>
  <mergeCells count="3">
    <mergeCell ref="B12:Q17"/>
    <mergeCell ref="B20:N20"/>
    <mergeCell ref="B22:I22"/>
  </mergeCells>
  <conditionalFormatting sqref="C31">
    <cfRule type="iconSet" priority="1">
      <iconSet showValue="0" reverse="1">
        <cfvo type="percent" val="0"/>
        <cfvo type="num" val="0.05"/>
        <cfvo type="num" val="0.15"/>
      </iconSet>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9B8BF4"/>
  </sheetPr>
  <dimension ref="A1:AB106"/>
  <sheetViews>
    <sheetView showGridLines="0" rightToLeft="1" zoomScale="87" zoomScaleNormal="87" workbookViewId="0">
      <selection activeCell="C31" sqref="C31:C32"/>
    </sheetView>
  </sheetViews>
  <sheetFormatPr defaultColWidth="8.75" defaultRowHeight="14.25" outlineLevelRow="1"/>
  <cols>
    <col min="1" max="1" width="7.375" style="2" customWidth="1"/>
    <col min="2" max="2" width="19.375" style="15" bestFit="1" customWidth="1"/>
    <col min="3" max="3" width="26.125" style="15" bestFit="1" customWidth="1"/>
    <col min="4" max="4" width="16.75" style="15" bestFit="1" customWidth="1"/>
    <col min="5" max="5" width="16.375" style="15" customWidth="1"/>
    <col min="6" max="6" width="16" style="15" bestFit="1" customWidth="1"/>
    <col min="7" max="7" width="14.625" style="15" bestFit="1" customWidth="1"/>
    <col min="8" max="8" width="14.875" style="15" bestFit="1" customWidth="1"/>
    <col min="9" max="9" width="14.25" style="15" bestFit="1" customWidth="1"/>
    <col min="10" max="10" width="16.375" style="15" customWidth="1"/>
    <col min="11" max="11" width="9.375" style="15" customWidth="1"/>
    <col min="12" max="12" width="23.125" style="15" bestFit="1" customWidth="1"/>
    <col min="13" max="13" width="10.25" style="15" customWidth="1"/>
    <col min="14" max="14" width="17.125" style="15" customWidth="1"/>
    <col min="15" max="15" width="12.375" style="15" customWidth="1"/>
    <col min="16" max="16" width="14.125" style="15" customWidth="1"/>
    <col min="17" max="17" width="10" style="15" bestFit="1" customWidth="1"/>
    <col min="18" max="18" width="7.625" style="15" bestFit="1" customWidth="1"/>
    <col min="19" max="19" width="15" style="2" customWidth="1"/>
    <col min="20" max="20" width="12.25" style="2" bestFit="1" customWidth="1"/>
    <col min="21" max="21" width="8.125" style="2" bestFit="1" customWidth="1"/>
    <col min="22" max="22" width="5.625" style="2" bestFit="1" customWidth="1"/>
    <col min="23" max="23" width="15.375" style="2" bestFit="1" customWidth="1"/>
    <col min="24" max="24" width="2.875" style="2" customWidth="1"/>
    <col min="25" max="25" width="19" style="2" customWidth="1"/>
    <col min="26" max="26" width="5.125" style="2" customWidth="1"/>
    <col min="27" max="27" width="8.375" style="2" customWidth="1"/>
    <col min="28" max="28" width="11.375" style="2" bestFit="1" customWidth="1"/>
    <col min="29" max="29" width="57.375" style="2" customWidth="1"/>
    <col min="30" max="30" width="8.75" style="2"/>
    <col min="31" max="31" width="23.125" style="2" bestFit="1" customWidth="1"/>
    <col min="32" max="32" width="8.75" style="2"/>
    <col min="33" max="33" width="14.875" style="2" bestFit="1" customWidth="1"/>
    <col min="34" max="16384" width="8.75" style="2"/>
  </cols>
  <sheetData>
    <row r="1" spans="1:27">
      <c r="A1" s="1"/>
      <c r="B1" s="125"/>
      <c r="C1" s="125"/>
      <c r="D1" s="125"/>
      <c r="E1" s="125"/>
      <c r="F1" s="125"/>
      <c r="G1" s="125"/>
      <c r="H1" s="125"/>
      <c r="I1" s="125"/>
      <c r="J1" s="125"/>
      <c r="K1" s="125"/>
      <c r="L1" s="125"/>
      <c r="M1" s="125"/>
      <c r="N1" s="125"/>
      <c r="O1" s="125"/>
      <c r="P1" s="125"/>
      <c r="Q1" s="125"/>
      <c r="R1" s="125"/>
      <c r="S1" s="1"/>
      <c r="T1" s="1"/>
      <c r="U1" s="1"/>
      <c r="V1" s="1"/>
      <c r="W1" s="1"/>
      <c r="X1" s="1"/>
      <c r="Y1" s="1"/>
      <c r="Z1" s="1"/>
      <c r="AA1" s="1"/>
    </row>
    <row r="2" spans="1:27">
      <c r="A2" s="1"/>
      <c r="B2" s="125"/>
      <c r="C2" s="125"/>
      <c r="D2" s="125"/>
      <c r="E2" s="125"/>
      <c r="F2" s="125"/>
      <c r="G2" s="125"/>
      <c r="H2" s="125"/>
      <c r="I2" s="125"/>
      <c r="J2" s="125"/>
      <c r="K2" s="125"/>
      <c r="L2" s="125"/>
      <c r="M2" s="125"/>
      <c r="N2" s="125"/>
      <c r="O2" s="125"/>
      <c r="P2" s="125"/>
      <c r="Q2" s="125"/>
      <c r="R2" s="125"/>
      <c r="S2" s="1"/>
      <c r="T2" s="1"/>
      <c r="U2" s="1"/>
      <c r="V2" s="1"/>
      <c r="W2" s="1"/>
      <c r="X2" s="1"/>
      <c r="Y2" s="1"/>
      <c r="Z2" s="1"/>
      <c r="AA2" s="1"/>
    </row>
    <row r="3" spans="1:27">
      <c r="A3" s="1"/>
      <c r="B3" s="125"/>
      <c r="C3" s="125"/>
      <c r="D3" s="125"/>
      <c r="E3" s="125"/>
      <c r="F3" s="125"/>
      <c r="G3" s="125"/>
      <c r="H3" s="125"/>
      <c r="I3" s="125"/>
      <c r="J3" s="125"/>
      <c r="K3" s="125"/>
      <c r="L3" s="125"/>
      <c r="M3" s="125"/>
      <c r="N3" s="125"/>
      <c r="O3" s="125"/>
      <c r="P3" s="125"/>
      <c r="Q3" s="125"/>
      <c r="R3" s="125"/>
      <c r="S3" s="1"/>
      <c r="T3" s="1"/>
      <c r="U3" s="1"/>
      <c r="V3" s="1"/>
      <c r="W3" s="1"/>
      <c r="X3" s="1"/>
      <c r="Y3" s="1"/>
      <c r="Z3" s="1"/>
      <c r="AA3" s="1"/>
    </row>
    <row r="4" spans="1:27" ht="15" outlineLevel="1" thickBot="1">
      <c r="A4" s="1"/>
      <c r="B4" s="125"/>
      <c r="C4" s="125"/>
      <c r="D4" s="125"/>
      <c r="E4" s="125"/>
      <c r="F4" s="125"/>
      <c r="G4" s="125"/>
      <c r="H4" s="125"/>
      <c r="I4" s="125"/>
      <c r="J4" s="125"/>
      <c r="K4" s="125"/>
      <c r="L4" s="125"/>
      <c r="M4" s="125"/>
      <c r="N4" s="125"/>
      <c r="O4" s="125"/>
      <c r="P4" s="125"/>
      <c r="Q4" s="125"/>
      <c r="R4" s="125"/>
      <c r="S4" s="1"/>
      <c r="T4" s="1"/>
      <c r="U4" s="1"/>
      <c r="V4" s="1"/>
      <c r="W4" s="1"/>
      <c r="X4" s="1"/>
      <c r="Y4" s="1"/>
      <c r="Z4" s="1"/>
      <c r="AA4" s="1"/>
    </row>
    <row r="5" spans="1:27" ht="15" customHeight="1" outlineLevel="1" thickTop="1">
      <c r="A5" s="1"/>
      <c r="B5" s="673" t="s">
        <v>28</v>
      </c>
      <c r="C5" s="674"/>
      <c r="D5" s="674"/>
      <c r="E5" s="675"/>
      <c r="F5" s="127"/>
      <c r="G5" s="127"/>
      <c r="H5" s="125"/>
      <c r="I5" s="127"/>
      <c r="J5" s="127"/>
      <c r="K5" s="127"/>
      <c r="L5" s="127"/>
      <c r="M5" s="125"/>
      <c r="N5" s="125"/>
      <c r="O5" s="125"/>
      <c r="P5" s="125"/>
      <c r="Q5" s="125"/>
      <c r="R5" s="125"/>
      <c r="S5" s="1"/>
      <c r="T5" s="1"/>
      <c r="U5" s="1"/>
      <c r="V5" s="1"/>
      <c r="W5" s="1"/>
      <c r="X5" s="1"/>
      <c r="Y5" s="1"/>
      <c r="Z5" s="1"/>
      <c r="AA5" s="1"/>
    </row>
    <row r="6" spans="1:27" ht="15.6" customHeight="1" outlineLevel="1" thickBot="1">
      <c r="A6" s="1"/>
      <c r="B6" s="676"/>
      <c r="C6" s="677"/>
      <c r="D6" s="677"/>
      <c r="E6" s="678"/>
      <c r="F6" s="127"/>
      <c r="G6" s="127"/>
      <c r="H6" s="125"/>
      <c r="I6" s="127"/>
      <c r="J6" s="127"/>
      <c r="K6" s="127"/>
      <c r="L6" s="127"/>
      <c r="M6" s="125"/>
      <c r="N6" s="125"/>
      <c r="O6" s="125"/>
      <c r="P6" s="125"/>
      <c r="Q6" s="125"/>
      <c r="R6" s="125"/>
      <c r="S6" s="1"/>
      <c r="T6" s="1"/>
      <c r="U6" s="1"/>
      <c r="V6" s="1"/>
      <c r="W6" s="1"/>
      <c r="X6" s="1"/>
      <c r="Y6" s="1"/>
      <c r="Z6" s="1"/>
      <c r="AA6" s="1"/>
    </row>
    <row r="7" spans="1:27" ht="30" customHeight="1" outlineLevel="1" thickTop="1">
      <c r="A7" s="1"/>
      <c r="B7" s="287"/>
      <c r="C7" s="288">
        <v>2023</v>
      </c>
      <c r="D7" s="288">
        <v>2024</v>
      </c>
      <c r="E7" s="289">
        <v>2025</v>
      </c>
      <c r="F7" s="127"/>
      <c r="G7" s="127"/>
      <c r="H7" s="143"/>
      <c r="I7" s="127"/>
      <c r="J7" s="127"/>
      <c r="K7" s="127"/>
      <c r="L7" s="127"/>
      <c r="M7" s="125"/>
      <c r="N7" s="125"/>
      <c r="O7" s="125"/>
      <c r="P7" s="125"/>
      <c r="Q7" s="125"/>
      <c r="R7" s="125"/>
      <c r="S7" s="1"/>
      <c r="T7" s="1"/>
      <c r="U7" s="1"/>
      <c r="V7" s="1"/>
      <c r="W7" s="1"/>
      <c r="X7" s="1"/>
      <c r="Y7" s="1"/>
      <c r="Z7" s="1"/>
      <c r="AA7" s="1"/>
    </row>
    <row r="8" spans="1:27" ht="30" customHeight="1" outlineLevel="1">
      <c r="A8" s="1"/>
      <c r="B8" s="290" t="s">
        <v>29</v>
      </c>
      <c r="C8" s="291">
        <f>2097186</f>
        <v>2097186</v>
      </c>
      <c r="D8" s="291">
        <v>2621483</v>
      </c>
      <c r="E8" s="292">
        <v>2621483</v>
      </c>
      <c r="F8" s="127"/>
      <c r="G8" s="127"/>
      <c r="H8" s="143"/>
      <c r="I8" s="127"/>
      <c r="J8" s="127"/>
      <c r="K8" s="127"/>
      <c r="L8" s="127"/>
      <c r="M8" s="125"/>
      <c r="N8" s="125"/>
      <c r="O8" s="125"/>
      <c r="P8" s="125"/>
      <c r="Q8" s="125"/>
      <c r="R8" s="125"/>
      <c r="S8" s="1"/>
      <c r="T8" s="1"/>
      <c r="U8" s="1"/>
      <c r="V8" s="1"/>
      <c r="W8" s="1"/>
      <c r="X8" s="1"/>
      <c r="Y8" s="1"/>
      <c r="Z8" s="1"/>
      <c r="AA8" s="1"/>
    </row>
    <row r="9" spans="1:27" ht="30" customHeight="1" outlineLevel="1">
      <c r="A9" s="1"/>
      <c r="B9" s="290" t="s">
        <v>30</v>
      </c>
      <c r="C9" s="291">
        <f>H49</f>
        <v>0</v>
      </c>
      <c r="D9" s="291">
        <f>H50</f>
        <v>0</v>
      </c>
      <c r="E9" s="292">
        <f>H50</f>
        <v>0</v>
      </c>
      <c r="F9" s="127"/>
      <c r="G9" s="127"/>
      <c r="H9" s="143"/>
      <c r="I9" s="127"/>
      <c r="J9" s="127"/>
      <c r="K9" s="127"/>
      <c r="L9" s="127"/>
      <c r="M9" s="125"/>
      <c r="N9" s="125"/>
      <c r="O9" s="125"/>
      <c r="P9" s="125"/>
      <c r="Q9" s="125"/>
      <c r="R9" s="125"/>
      <c r="S9" s="1"/>
      <c r="T9" s="1"/>
      <c r="U9" s="1"/>
      <c r="V9" s="1"/>
      <c r="W9" s="1"/>
      <c r="X9" s="1"/>
      <c r="Y9" s="1"/>
      <c r="Z9" s="1"/>
      <c r="AA9" s="1"/>
    </row>
    <row r="10" spans="1:27" ht="30" customHeight="1" outlineLevel="1" thickBot="1">
      <c r="A10" s="1"/>
      <c r="B10" s="293" t="s">
        <v>31</v>
      </c>
      <c r="C10" s="294">
        <f>C8-I49</f>
        <v>-336472</v>
      </c>
      <c r="D10" s="295">
        <f>D8-D9</f>
        <v>2621483</v>
      </c>
      <c r="E10" s="296">
        <f>E8-E9</f>
        <v>2621483</v>
      </c>
      <c r="F10" s="127"/>
      <c r="G10" s="127"/>
      <c r="H10" s="143"/>
      <c r="I10" s="127"/>
      <c r="J10" s="127"/>
      <c r="K10" s="127"/>
      <c r="L10" s="127"/>
      <c r="M10" s="367"/>
      <c r="N10" s="367" t="s">
        <v>32</v>
      </c>
      <c r="O10" s="367" t="s">
        <v>32</v>
      </c>
      <c r="P10" s="367" t="s">
        <v>32</v>
      </c>
      <c r="Q10" s="367" t="s">
        <v>32</v>
      </c>
      <c r="R10" s="367" t="s">
        <v>32</v>
      </c>
      <c r="S10" s="368"/>
      <c r="T10" s="368"/>
      <c r="U10" s="368"/>
      <c r="V10" s="368"/>
      <c r="W10" s="368"/>
      <c r="X10" s="368"/>
      <c r="Y10" s="368"/>
      <c r="Z10" s="368"/>
      <c r="AA10" s="368"/>
    </row>
    <row r="11" spans="1:27" ht="14.45" customHeight="1" outlineLevel="1" thickTop="1" thickBot="1">
      <c r="A11" s="1"/>
      <c r="B11" s="297"/>
      <c r="C11" s="297"/>
      <c r="D11" s="679"/>
      <c r="E11" s="679"/>
      <c r="F11" s="127"/>
      <c r="G11" s="127"/>
      <c r="H11" s="127"/>
      <c r="I11" s="127"/>
      <c r="J11" s="127"/>
      <c r="K11" s="127"/>
      <c r="L11" s="127"/>
      <c r="M11" s="367"/>
      <c r="N11" s="367" t="s">
        <v>33</v>
      </c>
      <c r="O11" s="367" t="s">
        <v>33</v>
      </c>
      <c r="P11" s="367" t="s">
        <v>33</v>
      </c>
      <c r="Q11" s="367" t="s">
        <v>33</v>
      </c>
      <c r="R11" s="367" t="s">
        <v>33</v>
      </c>
      <c r="S11" s="368"/>
      <c r="T11" s="368"/>
      <c r="U11" s="368"/>
      <c r="V11" s="368"/>
      <c r="W11" s="368"/>
      <c r="X11" s="368"/>
      <c r="Y11" s="368"/>
      <c r="Z11" s="368"/>
      <c r="AA11" s="368"/>
    </row>
    <row r="12" spans="1:27" ht="24.6" customHeight="1" outlineLevel="1" thickTop="1">
      <c r="A12" s="1"/>
      <c r="B12" s="673" t="s">
        <v>34</v>
      </c>
      <c r="C12" s="674"/>
      <c r="D12" s="674"/>
      <c r="E12" s="675"/>
      <c r="F12" s="127"/>
      <c r="G12" s="127"/>
      <c r="H12" s="127"/>
      <c r="I12" s="127"/>
      <c r="J12" s="127"/>
      <c r="K12" s="127"/>
      <c r="L12" s="127"/>
      <c r="M12" s="463"/>
      <c r="N12" s="367"/>
      <c r="O12" s="367"/>
      <c r="P12" s="367"/>
      <c r="Q12" s="367"/>
      <c r="R12" s="367"/>
      <c r="S12" s="368"/>
      <c r="T12" s="368"/>
      <c r="U12" s="368"/>
      <c r="V12" s="368"/>
      <c r="W12" s="368"/>
      <c r="X12" s="368"/>
      <c r="Y12" s="368"/>
      <c r="Z12" s="368"/>
      <c r="AA12" s="368"/>
    </row>
    <row r="13" spans="1:27" ht="27.6" customHeight="1" outlineLevel="1" thickBot="1">
      <c r="A13" s="1"/>
      <c r="B13" s="676"/>
      <c r="C13" s="677"/>
      <c r="D13" s="677"/>
      <c r="E13" s="678"/>
      <c r="F13" s="127"/>
      <c r="G13" s="127"/>
      <c r="H13" s="127"/>
      <c r="I13" s="127"/>
      <c r="J13" s="127"/>
      <c r="K13" s="127"/>
      <c r="L13" s="127"/>
      <c r="M13" s="367"/>
      <c r="N13" s="367" t="s">
        <v>35</v>
      </c>
      <c r="O13" s="367" t="s">
        <v>35</v>
      </c>
      <c r="P13" s="367" t="s">
        <v>35</v>
      </c>
      <c r="Q13" s="367" t="s">
        <v>35</v>
      </c>
      <c r="R13" s="367" t="s">
        <v>35</v>
      </c>
      <c r="S13" s="368"/>
      <c r="T13" s="368"/>
      <c r="U13" s="368"/>
      <c r="V13" s="368"/>
      <c r="W13" s="368"/>
      <c r="X13" s="368"/>
      <c r="Y13" s="368"/>
      <c r="Z13" s="368"/>
      <c r="AA13" s="368"/>
    </row>
    <row r="14" spans="1:27" ht="24" outlineLevel="1" thickTop="1">
      <c r="A14" s="1"/>
      <c r="B14" s="298"/>
      <c r="C14" s="288">
        <v>2023</v>
      </c>
      <c r="D14" s="288">
        <v>2024</v>
      </c>
      <c r="E14" s="289">
        <v>2025</v>
      </c>
      <c r="F14" s="127"/>
      <c r="G14" s="127"/>
      <c r="H14" s="127"/>
      <c r="I14" s="127"/>
      <c r="J14" s="127"/>
      <c r="K14" s="127"/>
      <c r="L14" s="127"/>
      <c r="M14" s="367"/>
      <c r="N14" s="367" t="s">
        <v>36</v>
      </c>
      <c r="O14" s="367" t="s">
        <v>36</v>
      </c>
      <c r="P14" s="367" t="s">
        <v>36</v>
      </c>
      <c r="Q14" s="367" t="s">
        <v>36</v>
      </c>
      <c r="R14" s="367" t="s">
        <v>36</v>
      </c>
      <c r="S14" s="368"/>
      <c r="T14" s="368"/>
      <c r="U14" s="368"/>
      <c r="V14" s="368"/>
      <c r="W14" s="368"/>
      <c r="X14" s="368"/>
      <c r="Y14" s="368"/>
      <c r="Z14" s="368"/>
      <c r="AA14" s="368"/>
    </row>
    <row r="15" spans="1:27" ht="27.6" customHeight="1" outlineLevel="1">
      <c r="A15" s="1"/>
      <c r="B15" s="290" t="s">
        <v>29</v>
      </c>
      <c r="C15" s="291">
        <v>1333200</v>
      </c>
      <c r="D15" s="291">
        <f>C15</f>
        <v>1333200</v>
      </c>
      <c r="E15" s="292">
        <v>1333200</v>
      </c>
      <c r="F15" s="127"/>
      <c r="G15" s="127"/>
      <c r="H15" s="127"/>
      <c r="I15" s="127"/>
      <c r="J15" s="127"/>
      <c r="K15" s="127"/>
      <c r="L15" s="127"/>
      <c r="M15" s="367"/>
      <c r="N15" s="367" t="s">
        <v>37</v>
      </c>
      <c r="O15" s="367" t="s">
        <v>37</v>
      </c>
      <c r="P15" s="367" t="s">
        <v>37</v>
      </c>
      <c r="Q15" s="367" t="s">
        <v>37</v>
      </c>
      <c r="R15" s="367" t="s">
        <v>37</v>
      </c>
      <c r="S15" s="368"/>
      <c r="T15" s="368"/>
      <c r="U15" s="368"/>
      <c r="V15" s="368"/>
      <c r="W15" s="368"/>
      <c r="X15" s="368"/>
      <c r="Y15" s="368"/>
      <c r="Z15" s="368"/>
      <c r="AA15" s="368"/>
    </row>
    <row r="16" spans="1:27" ht="27.6" customHeight="1" outlineLevel="1">
      <c r="A16" s="1"/>
      <c r="B16" s="290" t="s">
        <v>30</v>
      </c>
      <c r="C16" s="291">
        <f>H69</f>
        <v>0</v>
      </c>
      <c r="D16" s="291">
        <f>H70</f>
        <v>0</v>
      </c>
      <c r="E16" s="292">
        <f>H70</f>
        <v>0</v>
      </c>
      <c r="F16" s="127"/>
      <c r="G16" s="127"/>
      <c r="H16" s="127"/>
      <c r="I16" s="127"/>
      <c r="J16" s="127"/>
      <c r="K16" s="127"/>
      <c r="L16" s="127"/>
      <c r="M16" s="367"/>
      <c r="N16" s="367"/>
      <c r="O16" s="367"/>
      <c r="P16" s="367"/>
      <c r="Q16" s="367"/>
      <c r="R16" s="367"/>
      <c r="S16" s="368"/>
      <c r="T16" s="368"/>
      <c r="U16" s="368"/>
      <c r="V16" s="368"/>
      <c r="W16" s="368"/>
      <c r="X16" s="368"/>
      <c r="Y16" s="368"/>
      <c r="Z16" s="368"/>
      <c r="AA16" s="368"/>
    </row>
    <row r="17" spans="1:28" ht="32.1" customHeight="1" outlineLevel="1" thickBot="1">
      <c r="A17" s="1"/>
      <c r="B17" s="293" t="s">
        <v>31</v>
      </c>
      <c r="C17" s="294">
        <f>C15-I69</f>
        <v>-900364</v>
      </c>
      <c r="D17" s="295">
        <f>D15-D16</f>
        <v>1333200</v>
      </c>
      <c r="E17" s="296">
        <f>E15-E16</f>
        <v>1333200</v>
      </c>
      <c r="F17" s="127"/>
      <c r="G17" s="127"/>
      <c r="H17" s="127"/>
      <c r="I17" s="127"/>
      <c r="J17" s="127"/>
      <c r="K17" s="127"/>
      <c r="L17" s="127"/>
      <c r="M17" s="367"/>
      <c r="N17" s="125"/>
      <c r="O17" s="125"/>
      <c r="P17" s="125"/>
      <c r="Q17" s="125"/>
      <c r="R17" s="125"/>
      <c r="S17" s="1"/>
      <c r="T17" s="1"/>
      <c r="U17" s="1"/>
      <c r="V17" s="1"/>
      <c r="W17" s="1"/>
      <c r="X17" s="1"/>
      <c r="Y17" s="1"/>
      <c r="Z17" s="1"/>
      <c r="AA17" s="1"/>
    </row>
    <row r="18" spans="1:28" ht="15" outlineLevel="1" thickTop="1">
      <c r="A18" s="1"/>
      <c r="B18" s="127"/>
      <c r="C18" s="126"/>
      <c r="D18" s="126"/>
      <c r="E18" s="127"/>
      <c r="F18" s="127"/>
      <c r="G18" s="127"/>
      <c r="H18" s="127"/>
      <c r="I18" s="127"/>
      <c r="J18" s="127"/>
      <c r="K18" s="127"/>
      <c r="L18" s="127"/>
      <c r="M18" s="363"/>
      <c r="N18" s="127"/>
      <c r="O18" s="127"/>
      <c r="P18" s="127"/>
      <c r="Q18" s="125"/>
      <c r="R18" s="125"/>
      <c r="S18" s="1"/>
      <c r="T18" s="1"/>
      <c r="U18" s="1"/>
      <c r="V18" s="1"/>
      <c r="W18" s="1"/>
      <c r="X18" s="1"/>
      <c r="Y18" s="1"/>
      <c r="Z18" s="1"/>
      <c r="AA18" s="1"/>
    </row>
    <row r="19" spans="1:28" outlineLevel="1">
      <c r="A19" s="1"/>
      <c r="B19" s="127"/>
      <c r="C19" s="126"/>
      <c r="D19" s="126"/>
      <c r="E19" s="127"/>
      <c r="F19" s="127"/>
      <c r="G19" s="127"/>
      <c r="H19" s="127"/>
      <c r="I19" s="127"/>
      <c r="J19" s="127"/>
      <c r="K19" s="127"/>
      <c r="L19" s="127"/>
      <c r="M19" s="363"/>
      <c r="N19" s="127"/>
      <c r="O19" s="127"/>
      <c r="P19" s="127"/>
      <c r="Q19" s="125"/>
      <c r="R19" s="125"/>
      <c r="S19" s="1"/>
      <c r="T19" s="1"/>
      <c r="U19" s="1"/>
      <c r="V19" s="1"/>
      <c r="W19" s="1"/>
      <c r="X19" s="1"/>
      <c r="Y19" s="1"/>
      <c r="Z19" s="1"/>
      <c r="AA19" s="1"/>
    </row>
    <row r="20" spans="1:28" ht="33" customHeight="1" thickBot="1">
      <c r="A20" s="85"/>
      <c r="B20" s="689" t="s">
        <v>38</v>
      </c>
      <c r="C20" s="689"/>
      <c r="D20" s="127"/>
      <c r="E20" s="127"/>
      <c r="F20" s="127"/>
      <c r="G20" s="127"/>
      <c r="H20" s="127"/>
      <c r="I20" s="127"/>
      <c r="J20" s="127"/>
      <c r="K20" s="127"/>
      <c r="L20" s="127"/>
      <c r="M20" s="363"/>
      <c r="N20" s="127"/>
      <c r="O20" s="127"/>
      <c r="P20" s="127"/>
      <c r="Q20" s="125"/>
      <c r="R20" s="125"/>
      <c r="S20" s="1"/>
      <c r="T20" s="1"/>
      <c r="U20" s="1"/>
      <c r="V20" s="1"/>
      <c r="W20" s="1"/>
      <c r="X20" s="1"/>
      <c r="Y20" s="1"/>
      <c r="Z20" s="1"/>
      <c r="AA20" s="1"/>
    </row>
    <row r="21" spans="1:28" ht="14.45" customHeight="1" thickTop="1" thickBot="1">
      <c r="A21" s="1"/>
      <c r="B21" s="125"/>
      <c r="C21" s="202"/>
      <c r="D21" s="202"/>
      <c r="E21" s="574" t="s">
        <v>39</v>
      </c>
      <c r="F21" s="585"/>
      <c r="G21" s="585"/>
      <c r="H21" s="585"/>
      <c r="I21" s="585"/>
      <c r="J21" s="585"/>
      <c r="K21" s="585"/>
      <c r="L21" s="586"/>
      <c r="M21" s="364"/>
      <c r="N21" s="127"/>
      <c r="O21" s="143"/>
      <c r="P21" s="127"/>
      <c r="Q21" s="125"/>
      <c r="R21" s="125"/>
      <c r="S21" s="1"/>
      <c r="T21" s="1"/>
      <c r="U21" s="1"/>
      <c r="V21" s="1"/>
      <c r="W21" s="1"/>
      <c r="X21" s="1"/>
      <c r="Y21" s="1"/>
      <c r="Z21" s="1"/>
      <c r="AA21" s="1"/>
    </row>
    <row r="22" spans="1:28" ht="56.45" customHeight="1" thickTop="1" thickBot="1">
      <c r="A22" s="1"/>
      <c r="B22" s="125"/>
      <c r="C22" s="202"/>
      <c r="D22" s="202"/>
      <c r="E22" s="690" t="s">
        <v>40</v>
      </c>
      <c r="F22" s="683" t="s">
        <v>41</v>
      </c>
      <c r="G22" s="683" t="s">
        <v>42</v>
      </c>
      <c r="H22" s="683" t="s">
        <v>13</v>
      </c>
      <c r="I22" s="683" t="s">
        <v>256</v>
      </c>
      <c r="J22" s="683" t="s">
        <v>258</v>
      </c>
      <c r="K22" s="683" t="s">
        <v>43</v>
      </c>
      <c r="L22" s="685" t="s">
        <v>66</v>
      </c>
      <c r="M22" s="364"/>
      <c r="N22" s="125"/>
      <c r="O22" s="143"/>
      <c r="P22" s="127"/>
      <c r="Q22" s="125"/>
      <c r="R22" s="125"/>
      <c r="S22" s="1"/>
      <c r="T22" s="1"/>
      <c r="U22" s="1"/>
      <c r="V22" s="1"/>
      <c r="W22" s="1"/>
      <c r="X22" s="1"/>
      <c r="Y22" s="1"/>
      <c r="Z22" s="1"/>
      <c r="AA22" s="1"/>
    </row>
    <row r="23" spans="1:28" ht="24.6" customHeight="1" thickTop="1" thickBot="1">
      <c r="A23" s="1"/>
      <c r="B23" s="687" t="s">
        <v>15</v>
      </c>
      <c r="C23" s="688"/>
      <c r="D23" s="365" t="s">
        <v>44</v>
      </c>
      <c r="E23" s="691"/>
      <c r="F23" s="684"/>
      <c r="G23" s="684"/>
      <c r="H23" s="684"/>
      <c r="I23" s="684"/>
      <c r="J23" s="684"/>
      <c r="K23" s="684"/>
      <c r="L23" s="686"/>
      <c r="M23" s="366"/>
      <c r="N23" s="127"/>
      <c r="O23" s="144"/>
      <c r="P23" s="127"/>
      <c r="Q23" s="125"/>
      <c r="R23" s="125"/>
      <c r="S23" s="1"/>
      <c r="T23" s="1"/>
      <c r="U23" s="1"/>
      <c r="V23" s="1"/>
      <c r="W23" s="1"/>
      <c r="X23" s="1"/>
      <c r="Y23" s="1"/>
      <c r="Z23" s="1"/>
      <c r="AA23" s="1"/>
    </row>
    <row r="24" spans="1:28" ht="27.6" customHeight="1" thickTop="1" thickBot="1">
      <c r="A24" s="1"/>
      <c r="B24" s="681" t="s">
        <v>4</v>
      </c>
      <c r="C24" s="681"/>
      <c r="D24" s="681"/>
      <c r="E24" s="681"/>
      <c r="F24" s="681"/>
      <c r="G24" s="681"/>
      <c r="H24" s="681"/>
      <c r="I24" s="681"/>
      <c r="J24" s="681"/>
      <c r="K24" s="681"/>
      <c r="L24" s="682"/>
      <c r="M24" s="6"/>
      <c r="N24" s="127"/>
      <c r="O24" s="144"/>
      <c r="P24" s="127"/>
      <c r="Q24" s="125"/>
      <c r="R24" s="125"/>
      <c r="S24" s="1"/>
      <c r="T24" s="1"/>
      <c r="U24" s="1"/>
      <c r="V24" s="1"/>
      <c r="W24" s="1"/>
      <c r="X24" s="1"/>
      <c r="Y24" s="1"/>
      <c r="Z24" s="1"/>
      <c r="AA24" s="1"/>
    </row>
    <row r="25" spans="1:28" ht="15.6" customHeight="1" thickTop="1" thickBot="1">
      <c r="A25" s="1"/>
      <c r="B25" s="647" t="s">
        <v>16</v>
      </c>
      <c r="C25" s="680" t="s">
        <v>8</v>
      </c>
      <c r="D25" s="369">
        <v>2024</v>
      </c>
      <c r="E25" s="414">
        <v>305</v>
      </c>
      <c r="F25" s="370">
        <v>60</v>
      </c>
      <c r="G25" s="370">
        <v>6</v>
      </c>
      <c r="H25" s="371">
        <v>685800</v>
      </c>
      <c r="I25" s="583">
        <v>302850</v>
      </c>
      <c r="J25" s="195"/>
      <c r="K25" s="196"/>
      <c r="L25" s="197"/>
      <c r="M25" s="14"/>
      <c r="N25" s="127"/>
      <c r="O25" s="144"/>
      <c r="P25" s="127"/>
      <c r="Q25" s="125"/>
      <c r="R25" s="125"/>
      <c r="S25" s="1"/>
      <c r="T25" s="1"/>
      <c r="U25" s="1"/>
      <c r="V25" s="1"/>
      <c r="W25" s="1"/>
      <c r="X25" s="1"/>
      <c r="Y25" s="1"/>
      <c r="Z25" s="1"/>
      <c r="AA25" s="1"/>
    </row>
    <row r="26" spans="1:28" ht="15" customHeight="1" thickTop="1" thickBot="1">
      <c r="A26" s="1"/>
      <c r="B26" s="648"/>
      <c r="C26" s="602"/>
      <c r="D26" s="372">
        <v>2025</v>
      </c>
      <c r="E26" s="307">
        <v>12</v>
      </c>
      <c r="F26" s="308">
        <v>12</v>
      </c>
      <c r="G26" s="308">
        <v>12</v>
      </c>
      <c r="H26" s="373">
        <f>E26*'עלות השירותים'!H12*12</f>
        <v>19872</v>
      </c>
      <c r="I26" s="584"/>
      <c r="J26" s="198">
        <f>K26</f>
        <v>6.5616641901931644E-2</v>
      </c>
      <c r="K26" s="186">
        <f>H26/I25</f>
        <v>6.5616641901931644E-2</v>
      </c>
      <c r="L26" s="168"/>
      <c r="M26" s="574" t="s">
        <v>259</v>
      </c>
      <c r="N26" s="585"/>
      <c r="O26" s="585"/>
      <c r="P26" s="585"/>
      <c r="Q26" s="585"/>
      <c r="R26" s="585"/>
      <c r="S26" s="586"/>
      <c r="T26" s="1"/>
      <c r="U26" s="1"/>
      <c r="V26" s="1"/>
      <c r="W26" s="1"/>
      <c r="X26" s="1"/>
      <c r="Y26" s="1"/>
      <c r="Z26" s="1"/>
      <c r="AA26" s="1"/>
    </row>
    <row r="27" spans="1:28" ht="15.75" thickTop="1">
      <c r="A27" s="1"/>
      <c r="B27" s="648"/>
      <c r="C27" s="601" t="s">
        <v>17</v>
      </c>
      <c r="D27" s="375">
        <v>2024</v>
      </c>
      <c r="E27" s="415">
        <f>S29</f>
        <v>0</v>
      </c>
      <c r="F27" s="376">
        <v>251</v>
      </c>
      <c r="G27" s="376">
        <v>1</v>
      </c>
      <c r="H27" s="377">
        <v>226080</v>
      </c>
      <c r="I27" s="581">
        <v>177557</v>
      </c>
      <c r="J27" s="199"/>
      <c r="K27" s="193"/>
      <c r="L27" s="194"/>
      <c r="M27" s="587" t="s">
        <v>44</v>
      </c>
      <c r="N27" s="590" t="s">
        <v>45</v>
      </c>
      <c r="O27" s="591"/>
      <c r="P27" s="591"/>
      <c r="Q27" s="591"/>
      <c r="R27" s="592"/>
      <c r="S27" s="593" t="s">
        <v>23</v>
      </c>
      <c r="T27" s="1"/>
      <c r="U27" s="1"/>
      <c r="V27" s="1"/>
      <c r="W27" s="1"/>
      <c r="X27" s="1"/>
      <c r="Y27" s="1"/>
      <c r="Z27" s="1"/>
      <c r="AA27" s="1"/>
    </row>
    <row r="28" spans="1:28" ht="15" customHeight="1" thickBot="1">
      <c r="A28" s="1"/>
      <c r="B28" s="648"/>
      <c r="C28" s="602"/>
      <c r="D28" s="372">
        <v>2025</v>
      </c>
      <c r="E28" s="416">
        <f>S30</f>
        <v>0</v>
      </c>
      <c r="F28" s="308"/>
      <c r="G28" s="308"/>
      <c r="H28" s="283">
        <f>((N29*'עלות השירותים'!H17)+(O29*'תכנון תקציבי'!H17*2)+('תכנון תקציבי'!P29*'עלות השירותים'!H18)+('תכנון תקציבי'!Q29*'עלות השירותים'!H19)+('תכנון תקציבי'!R29*'עלות השירותים'!H20))*12</f>
        <v>0</v>
      </c>
      <c r="I28" s="582"/>
      <c r="J28" s="186">
        <f>K28</f>
        <v>0</v>
      </c>
      <c r="K28" s="113">
        <f>H28/I27</f>
        <v>0</v>
      </c>
      <c r="L28" s="168"/>
      <c r="M28" s="588"/>
      <c r="N28" s="378">
        <v>1</v>
      </c>
      <c r="O28" s="379">
        <v>2</v>
      </c>
      <c r="P28" s="380">
        <v>3</v>
      </c>
      <c r="Q28" s="379">
        <v>4</v>
      </c>
      <c r="R28" s="381">
        <v>5</v>
      </c>
      <c r="S28" s="594"/>
      <c r="T28" s="1"/>
      <c r="U28" s="1"/>
      <c r="V28" s="1"/>
      <c r="W28" s="1"/>
      <c r="X28" s="1"/>
      <c r="Y28" s="1"/>
      <c r="Z28" s="1"/>
      <c r="AA28" s="1"/>
      <c r="AB28" s="1"/>
    </row>
    <row r="29" spans="1:28" ht="15.6" customHeight="1" thickTop="1" thickBot="1">
      <c r="A29" s="1"/>
      <c r="B29" s="648"/>
      <c r="C29" s="601" t="s">
        <v>18</v>
      </c>
      <c r="D29" s="375">
        <v>2024</v>
      </c>
      <c r="E29" s="415">
        <v>102</v>
      </c>
      <c r="F29" s="384"/>
      <c r="G29" s="376">
        <v>5</v>
      </c>
      <c r="H29" s="377">
        <v>866880</v>
      </c>
      <c r="I29" s="581">
        <v>642436</v>
      </c>
      <c r="J29" s="199"/>
      <c r="K29" s="193"/>
      <c r="L29" s="194"/>
      <c r="M29" s="312">
        <v>2024</v>
      </c>
      <c r="N29" s="466">
        <v>0</v>
      </c>
      <c r="O29" s="467">
        <v>0</v>
      </c>
      <c r="P29" s="468">
        <v>0</v>
      </c>
      <c r="Q29" s="469">
        <v>0</v>
      </c>
      <c r="R29" s="469">
        <v>0</v>
      </c>
      <c r="S29" s="383">
        <f>SUM(N29:R29)</f>
        <v>0</v>
      </c>
      <c r="T29" s="1"/>
      <c r="U29" s="1"/>
      <c r="V29" s="1"/>
      <c r="W29" s="1"/>
      <c r="X29" s="1"/>
      <c r="Y29" s="1"/>
      <c r="Z29" s="1"/>
      <c r="AA29" s="1"/>
    </row>
    <row r="30" spans="1:28" ht="15" customHeight="1" thickTop="1" thickBot="1">
      <c r="A30" s="1"/>
      <c r="B30" s="648"/>
      <c r="C30" s="602"/>
      <c r="D30" s="372">
        <v>2025</v>
      </c>
      <c r="E30" s="306"/>
      <c r="F30" s="385"/>
      <c r="G30" s="308"/>
      <c r="H30" s="283">
        <f>E30*'עלות השירותים'!H13*12</f>
        <v>0</v>
      </c>
      <c r="I30" s="582"/>
      <c r="J30" s="186">
        <f>K30</f>
        <v>0</v>
      </c>
      <c r="K30" s="113">
        <f>H30/I29</f>
        <v>0</v>
      </c>
      <c r="L30" s="168"/>
      <c r="M30" s="382">
        <v>2025</v>
      </c>
      <c r="N30" s="301">
        <v>0</v>
      </c>
      <c r="O30" s="256">
        <v>0</v>
      </c>
      <c r="P30" s="302">
        <v>0</v>
      </c>
      <c r="Q30" s="303">
        <v>0</v>
      </c>
      <c r="R30" s="303">
        <v>0</v>
      </c>
      <c r="S30" s="386">
        <f>SUM(N30:R30)</f>
        <v>0</v>
      </c>
      <c r="T30" s="580"/>
      <c r="U30" s="580"/>
      <c r="V30" s="580"/>
      <c r="W30" s="580"/>
      <c r="X30" s="1"/>
      <c r="Y30" s="1"/>
      <c r="Z30" s="1"/>
      <c r="AA30" s="1"/>
    </row>
    <row r="31" spans="1:28" ht="15.6" customHeight="1" thickTop="1">
      <c r="A31" s="1"/>
      <c r="B31" s="648"/>
      <c r="C31" s="601" t="s">
        <v>7</v>
      </c>
      <c r="D31" s="375">
        <v>2024</v>
      </c>
      <c r="E31" s="417">
        <v>0</v>
      </c>
      <c r="F31" s="384"/>
      <c r="G31" s="376"/>
      <c r="H31" s="377">
        <v>5700</v>
      </c>
      <c r="I31" s="581">
        <v>876905</v>
      </c>
      <c r="J31" s="199"/>
      <c r="K31" s="193"/>
      <c r="L31" s="194"/>
      <c r="M31" s="388" t="s">
        <v>46</v>
      </c>
      <c r="N31" s="232"/>
      <c r="O31" s="389"/>
      <c r="P31" s="127"/>
      <c r="Q31" s="125"/>
      <c r="R31" s="125"/>
      <c r="S31" s="1"/>
      <c r="T31" s="390" t="s">
        <v>8</v>
      </c>
      <c r="U31" s="391">
        <f>E25</f>
        <v>305</v>
      </c>
      <c r="V31" s="391">
        <f>E26</f>
        <v>12</v>
      </c>
      <c r="W31" s="391" t="e">
        <f>#REF!</f>
        <v>#REF!</v>
      </c>
      <c r="X31" s="1"/>
      <c r="Y31" s="1"/>
      <c r="Z31" s="1"/>
      <c r="AA31" s="1"/>
    </row>
    <row r="32" spans="1:28" ht="15" customHeight="1" thickBot="1">
      <c r="A32" s="1"/>
      <c r="B32" s="648"/>
      <c r="C32" s="612"/>
      <c r="D32" s="392">
        <v>2025</v>
      </c>
      <c r="E32" s="310"/>
      <c r="F32" s="385"/>
      <c r="G32" s="190"/>
      <c r="H32" s="431">
        <f>E32*'עלות השירותים'!H14*12</f>
        <v>0</v>
      </c>
      <c r="I32" s="582"/>
      <c r="J32" s="187">
        <f>K32</f>
        <v>0</v>
      </c>
      <c r="K32" s="501">
        <f>H32/I31</f>
        <v>0</v>
      </c>
      <c r="L32" s="188"/>
      <c r="M32" s="388" t="s">
        <v>47</v>
      </c>
      <c r="N32" s="232"/>
      <c r="O32" s="389"/>
      <c r="P32" s="127"/>
      <c r="Q32" s="125"/>
      <c r="R32" s="125"/>
      <c r="S32" s="1"/>
      <c r="T32" s="390" t="s">
        <v>17</v>
      </c>
      <c r="U32" s="391">
        <f>E27</f>
        <v>0</v>
      </c>
      <c r="V32" s="391">
        <f>E28</f>
        <v>0</v>
      </c>
      <c r="W32" s="391" t="e">
        <f>#REF!</f>
        <v>#REF!</v>
      </c>
      <c r="X32" s="1"/>
      <c r="Y32" s="1"/>
      <c r="Z32" s="1"/>
      <c r="AA32" s="1"/>
    </row>
    <row r="33" spans="1:27" ht="15" customHeight="1">
      <c r="A33" s="1"/>
      <c r="B33" s="648"/>
      <c r="C33" s="618" t="s">
        <v>1537</v>
      </c>
      <c r="D33" s="375">
        <v>2024</v>
      </c>
      <c r="E33" s="470">
        <v>300</v>
      </c>
      <c r="F33" s="384"/>
      <c r="G33" s="502"/>
      <c r="H33" s="377">
        <v>5700</v>
      </c>
      <c r="I33" s="581"/>
      <c r="J33" s="596"/>
      <c r="K33" s="597"/>
      <c r="L33" s="598"/>
      <c r="M33" s="388"/>
      <c r="N33" s="232"/>
      <c r="O33" s="389"/>
      <c r="P33" s="127"/>
      <c r="Q33" s="125"/>
      <c r="R33" s="125"/>
      <c r="S33" s="1"/>
      <c r="T33" s="390"/>
      <c r="U33" s="391"/>
      <c r="V33" s="391"/>
      <c r="W33" s="391"/>
      <c r="X33" s="1"/>
      <c r="Y33" s="1"/>
      <c r="Z33" s="1"/>
      <c r="AA33" s="1"/>
    </row>
    <row r="34" spans="1:27" ht="15" customHeight="1" thickBot="1">
      <c r="A34" s="1"/>
      <c r="B34" s="648"/>
      <c r="C34" s="619"/>
      <c r="D34" s="374">
        <v>2025</v>
      </c>
      <c r="E34" s="464">
        <v>20</v>
      </c>
      <c r="F34" s="387"/>
      <c r="G34" s="465"/>
      <c r="H34" s="433"/>
      <c r="I34" s="589"/>
      <c r="J34" s="498"/>
      <c r="K34" s="499"/>
      <c r="L34" s="500"/>
      <c r="M34" s="388"/>
      <c r="N34" s="232"/>
      <c r="O34" s="389"/>
      <c r="P34" s="127"/>
      <c r="Q34" s="125"/>
      <c r="R34" s="125"/>
      <c r="S34" s="1"/>
      <c r="T34" s="390"/>
      <c r="U34" s="391"/>
      <c r="V34" s="391"/>
      <c r="W34" s="391"/>
      <c r="X34" s="1"/>
      <c r="Y34" s="1"/>
      <c r="Z34" s="1"/>
      <c r="AA34" s="1"/>
    </row>
    <row r="35" spans="1:27" ht="15.6" customHeight="1">
      <c r="A35" s="1"/>
      <c r="B35" s="648"/>
      <c r="C35" s="617" t="s">
        <v>9</v>
      </c>
      <c r="D35" s="394">
        <v>2024</v>
      </c>
      <c r="E35" s="414">
        <v>2</v>
      </c>
      <c r="F35" s="385"/>
      <c r="G35" s="370">
        <v>1</v>
      </c>
      <c r="H35" s="432">
        <v>49050</v>
      </c>
      <c r="I35" s="582">
        <v>97673</v>
      </c>
      <c r="J35" s="201"/>
      <c r="K35" s="196"/>
      <c r="L35" s="197"/>
      <c r="M35" s="388" t="s">
        <v>48</v>
      </c>
      <c r="N35" s="232"/>
      <c r="O35" s="389"/>
      <c r="P35" s="127"/>
      <c r="Q35" s="125"/>
      <c r="R35" s="125"/>
      <c r="S35" s="1"/>
      <c r="T35" s="390" t="s">
        <v>7</v>
      </c>
      <c r="U35" s="391">
        <f>E31</f>
        <v>0</v>
      </c>
      <c r="V35" s="391">
        <f>E32</f>
        <v>0</v>
      </c>
      <c r="W35" s="391" t="e">
        <f>#REF!</f>
        <v>#REF!</v>
      </c>
      <c r="X35" s="1"/>
      <c r="Y35" s="1"/>
      <c r="Z35" s="1"/>
      <c r="AA35" s="1"/>
    </row>
    <row r="36" spans="1:27" ht="15" customHeight="1" thickBot="1">
      <c r="A36" s="1"/>
      <c r="B36" s="648"/>
      <c r="C36" s="602"/>
      <c r="D36" s="400">
        <v>2025</v>
      </c>
      <c r="E36" s="306"/>
      <c r="F36" s="385"/>
      <c r="G36" s="308"/>
      <c r="H36" s="283">
        <f>E36*'עלות השירותים'!H16*12</f>
        <v>0</v>
      </c>
      <c r="I36" s="582"/>
      <c r="J36" s="186">
        <f>K36</f>
        <v>0</v>
      </c>
      <c r="K36" s="113">
        <f>H36/I35</f>
        <v>0</v>
      </c>
      <c r="L36" s="168"/>
      <c r="M36" s="388" t="s">
        <v>49</v>
      </c>
      <c r="N36" s="232"/>
      <c r="O36" s="389"/>
      <c r="P36" s="127"/>
      <c r="Q36" s="125"/>
      <c r="R36" s="125"/>
      <c r="S36" s="1"/>
      <c r="T36" s="390" t="s">
        <v>9</v>
      </c>
      <c r="U36" s="391">
        <f>E35</f>
        <v>2</v>
      </c>
      <c r="V36" s="391">
        <f>E36</f>
        <v>0</v>
      </c>
      <c r="W36" s="391" t="e">
        <f>#REF!</f>
        <v>#REF!</v>
      </c>
      <c r="X36" s="1"/>
      <c r="Y36" s="1"/>
      <c r="Z36" s="1"/>
      <c r="AA36" s="1"/>
    </row>
    <row r="37" spans="1:27" ht="15.6" customHeight="1" thickTop="1">
      <c r="A37" s="1"/>
      <c r="B37" s="647" t="s">
        <v>19</v>
      </c>
      <c r="C37" s="615" t="s">
        <v>1538</v>
      </c>
      <c r="D37" s="394">
        <v>2024</v>
      </c>
      <c r="E37" s="418"/>
      <c r="F37" s="606"/>
      <c r="G37" s="607"/>
      <c r="H37" s="393">
        <v>12801</v>
      </c>
      <c r="I37" s="595">
        <v>9602</v>
      </c>
      <c r="J37" s="284"/>
      <c r="K37" s="285"/>
      <c r="L37" s="286"/>
      <c r="M37" s="366" t="s">
        <v>50</v>
      </c>
      <c r="N37" s="232"/>
      <c r="O37" s="389"/>
      <c r="P37" s="127"/>
      <c r="Q37" s="125"/>
      <c r="R37" s="125"/>
      <c r="S37" s="1"/>
      <c r="T37" s="390"/>
      <c r="U37" s="391"/>
      <c r="V37" s="391"/>
      <c r="W37" s="391"/>
      <c r="X37" s="1"/>
      <c r="Y37" s="1"/>
      <c r="Z37" s="1"/>
      <c r="AA37" s="1"/>
    </row>
    <row r="38" spans="1:27" ht="15.6" customHeight="1" thickBot="1">
      <c r="A38" s="1"/>
      <c r="B38" s="648"/>
      <c r="C38" s="616"/>
      <c r="D38" s="372">
        <v>2025</v>
      </c>
      <c r="E38" s="306"/>
      <c r="F38" s="608"/>
      <c r="G38" s="609"/>
      <c r="H38" s="275">
        <v>0</v>
      </c>
      <c r="I38" s="582"/>
      <c r="J38" s="186">
        <f>K38</f>
        <v>0</v>
      </c>
      <c r="K38" s="113">
        <f>H38/I37</f>
        <v>0</v>
      </c>
      <c r="L38" s="168"/>
      <c r="M38" s="366" t="s">
        <v>51</v>
      </c>
      <c r="N38" s="232"/>
      <c r="O38" s="389"/>
      <c r="P38" s="127"/>
      <c r="Q38" s="125"/>
      <c r="R38" s="125"/>
      <c r="S38" s="1"/>
      <c r="T38" s="390"/>
      <c r="U38" s="391"/>
      <c r="V38" s="391"/>
      <c r="W38" s="391"/>
      <c r="X38" s="1"/>
      <c r="Y38" s="1"/>
      <c r="Z38" s="1"/>
      <c r="AA38" s="1"/>
    </row>
    <row r="39" spans="1:27" ht="25.5" customHeight="1">
      <c r="A39" s="1"/>
      <c r="B39" s="648"/>
      <c r="C39" s="630" t="s">
        <v>1539</v>
      </c>
      <c r="D39" s="375">
        <v>2024</v>
      </c>
      <c r="E39" s="454">
        <v>2322</v>
      </c>
      <c r="F39" s="610"/>
      <c r="G39" s="611"/>
      <c r="H39" s="377">
        <v>420902</v>
      </c>
      <c r="I39" s="581">
        <v>315683</v>
      </c>
      <c r="J39" s="200"/>
      <c r="K39" s="191"/>
      <c r="L39" s="192"/>
      <c r="M39" s="366" t="s">
        <v>52</v>
      </c>
      <c r="N39" s="232"/>
      <c r="O39" s="389"/>
      <c r="P39" s="127"/>
      <c r="Q39" s="125"/>
      <c r="R39" s="125"/>
      <c r="S39" s="1"/>
      <c r="T39" s="390"/>
      <c r="U39" s="391"/>
      <c r="V39" s="391"/>
      <c r="W39" s="391"/>
      <c r="X39" s="1"/>
      <c r="Y39" s="1"/>
      <c r="Z39" s="1"/>
      <c r="AA39" s="1"/>
    </row>
    <row r="40" spans="1:27" ht="27" customHeight="1" thickBot="1">
      <c r="A40" s="1"/>
      <c r="B40" s="648"/>
      <c r="C40" s="613"/>
      <c r="D40" s="372">
        <v>2025</v>
      </c>
      <c r="E40" s="304"/>
      <c r="F40" s="608"/>
      <c r="G40" s="609"/>
      <c r="H40" s="275">
        <v>0</v>
      </c>
      <c r="I40" s="589"/>
      <c r="J40" s="187">
        <f>K40</f>
        <v>0</v>
      </c>
      <c r="K40" s="189">
        <f>H40/I39</f>
        <v>0</v>
      </c>
      <c r="L40" s="188"/>
      <c r="M40" s="366" t="s">
        <v>53</v>
      </c>
      <c r="N40" s="232"/>
      <c r="O40" s="389"/>
      <c r="P40" s="127"/>
      <c r="Q40" s="125"/>
      <c r="R40" s="125"/>
      <c r="S40" s="1"/>
      <c r="T40" s="390"/>
      <c r="U40" s="391"/>
      <c r="V40" s="391"/>
      <c r="W40" s="391"/>
      <c r="X40" s="1"/>
      <c r="Y40" s="1"/>
      <c r="Z40" s="1"/>
      <c r="AA40" s="1"/>
    </row>
    <row r="41" spans="1:27" ht="15.75" thickBot="1">
      <c r="A41" s="1"/>
      <c r="B41" s="648"/>
      <c r="C41" s="613" t="s">
        <v>20</v>
      </c>
      <c r="D41" s="375">
        <v>2024</v>
      </c>
      <c r="E41" s="415">
        <v>133</v>
      </c>
      <c r="F41" s="610"/>
      <c r="G41" s="611"/>
      <c r="H41" s="395">
        <v>14605</v>
      </c>
      <c r="I41" s="582">
        <v>10952</v>
      </c>
      <c r="J41" s="201"/>
      <c r="K41" s="196"/>
      <c r="L41" s="197"/>
      <c r="M41" s="396"/>
      <c r="N41" s="232"/>
      <c r="O41" s="389"/>
      <c r="P41" s="127"/>
      <c r="Q41" s="125"/>
      <c r="R41" s="125"/>
      <c r="S41" s="1"/>
      <c r="T41" s="390" t="s">
        <v>21</v>
      </c>
      <c r="U41" s="391" t="e">
        <f>#REF!</f>
        <v>#REF!</v>
      </c>
      <c r="V41" s="391" t="e">
        <f>#REF!</f>
        <v>#REF!</v>
      </c>
      <c r="W41" s="391" t="e">
        <f>#REF!</f>
        <v>#REF!</v>
      </c>
      <c r="X41" s="1"/>
      <c r="Y41" s="1"/>
      <c r="Z41" s="1"/>
      <c r="AA41" s="1"/>
    </row>
    <row r="42" spans="1:27" ht="15.75" thickBot="1">
      <c r="A42" s="1"/>
      <c r="B42" s="648"/>
      <c r="C42" s="614"/>
      <c r="D42" s="372">
        <v>2025</v>
      </c>
      <c r="E42" s="304"/>
      <c r="F42" s="608"/>
      <c r="G42" s="609"/>
      <c r="H42" s="275">
        <v>0</v>
      </c>
      <c r="I42" s="582"/>
      <c r="J42" s="186">
        <f>K42</f>
        <v>0</v>
      </c>
      <c r="K42" s="113">
        <f>H42/I41</f>
        <v>0</v>
      </c>
      <c r="L42" s="168"/>
      <c r="M42" s="6"/>
      <c r="N42" s="127"/>
      <c r="O42" s="144"/>
      <c r="P42" s="127"/>
      <c r="Q42" s="125"/>
      <c r="R42" s="125"/>
      <c r="S42" s="1"/>
      <c r="T42" s="390" t="s">
        <v>6</v>
      </c>
      <c r="U42" s="391">
        <f>E45</f>
        <v>0</v>
      </c>
      <c r="V42" s="391">
        <f>E46</f>
        <v>0</v>
      </c>
      <c r="W42" s="391" t="e">
        <f>#REF!</f>
        <v>#REF!</v>
      </c>
      <c r="X42" s="1"/>
      <c r="Y42" s="1"/>
      <c r="Z42" s="1"/>
      <c r="AA42" s="1"/>
    </row>
    <row r="43" spans="1:27" ht="15.95" customHeight="1" thickTop="1" thickBot="1">
      <c r="A43" s="1"/>
      <c r="B43" s="648"/>
      <c r="C43" s="614" t="s">
        <v>22</v>
      </c>
      <c r="D43" s="375">
        <v>2024</v>
      </c>
      <c r="E43" s="419"/>
      <c r="F43" s="397"/>
      <c r="G43" s="398"/>
      <c r="H43" s="399"/>
      <c r="I43" s="620"/>
      <c r="J43" s="622"/>
      <c r="K43" s="622"/>
      <c r="L43" s="623"/>
      <c r="M43" s="637" t="s">
        <v>1548</v>
      </c>
      <c r="N43" s="638"/>
      <c r="O43" s="638"/>
      <c r="P43" s="638"/>
      <c r="Q43" s="638"/>
      <c r="R43" s="638"/>
      <c r="S43" s="639"/>
      <c r="T43" s="1"/>
      <c r="U43" s="1"/>
      <c r="V43" s="1"/>
      <c r="W43" s="1"/>
      <c r="X43" s="1"/>
      <c r="Y43" s="1"/>
      <c r="Z43" s="1"/>
      <c r="AA43" s="1"/>
    </row>
    <row r="44" spans="1:27" ht="15.95" customHeight="1" thickTop="1" thickBot="1">
      <c r="A44" s="1"/>
      <c r="B44" s="648"/>
      <c r="C44" s="614"/>
      <c r="D44" s="372">
        <v>2025</v>
      </c>
      <c r="E44" s="306"/>
      <c r="F44" s="385"/>
      <c r="G44" s="313">
        <f>$S$45</f>
        <v>0</v>
      </c>
      <c r="H44" s="413">
        <f>(N47*'עלות השירותים'!F21)+(P47*'עלות השירותים'!F22)+(Q47*'עלות השירותים'!F23)*12</f>
        <v>10554</v>
      </c>
      <c r="I44" s="621"/>
      <c r="J44" s="521"/>
      <c r="K44" s="521"/>
      <c r="L44" s="522"/>
      <c r="M44" s="562"/>
      <c r="N44" s="640" t="s">
        <v>1549</v>
      </c>
      <c r="O44" s="575"/>
      <c r="P44" s="575"/>
      <c r="Q44" s="575"/>
      <c r="R44" s="641"/>
      <c r="S44" s="667" t="s">
        <v>23</v>
      </c>
      <c r="T44" s="1"/>
      <c r="U44" s="1"/>
      <c r="V44" s="1"/>
      <c r="W44" s="1"/>
      <c r="X44" s="1"/>
      <c r="Y44" s="1"/>
      <c r="Z44" s="1"/>
      <c r="AA44" s="1"/>
    </row>
    <row r="45" spans="1:27" ht="15.95" customHeight="1" thickTop="1" thickBot="1">
      <c r="A45" s="1"/>
      <c r="B45" s="648"/>
      <c r="C45" s="624" t="s">
        <v>1547</v>
      </c>
      <c r="D45" s="375">
        <v>2024</v>
      </c>
      <c r="E45" s="518"/>
      <c r="F45" s="516"/>
      <c r="G45" s="517"/>
      <c r="H45" s="515"/>
      <c r="I45" s="620"/>
      <c r="J45" s="622"/>
      <c r="K45" s="622"/>
      <c r="L45" s="623"/>
      <c r="M45" s="471" t="s">
        <v>44</v>
      </c>
      <c r="N45" s="660" t="s">
        <v>1550</v>
      </c>
      <c r="O45" s="579"/>
      <c r="P45" s="379" t="s">
        <v>1551</v>
      </c>
      <c r="Q45" s="649" t="s">
        <v>1552</v>
      </c>
      <c r="R45" s="650"/>
      <c r="S45" s="668"/>
      <c r="T45" s="1"/>
      <c r="U45" s="1"/>
      <c r="V45" s="1"/>
      <c r="W45" s="1"/>
      <c r="X45" s="1"/>
      <c r="Y45" s="1"/>
      <c r="Z45" s="1"/>
      <c r="AA45" s="1"/>
    </row>
    <row r="46" spans="1:27" ht="15.95" customHeight="1" thickTop="1" thickBot="1">
      <c r="A46" s="1"/>
      <c r="B46" s="648"/>
      <c r="C46" s="659"/>
      <c r="D46" s="392">
        <v>2025</v>
      </c>
      <c r="E46" s="310"/>
      <c r="F46" s="519"/>
      <c r="G46" s="520"/>
      <c r="H46" s="504">
        <v>0</v>
      </c>
      <c r="I46" s="621"/>
      <c r="J46" s="521"/>
      <c r="K46" s="521"/>
      <c r="L46" s="522"/>
      <c r="M46" s="471">
        <v>2024</v>
      </c>
      <c r="N46" s="666">
        <v>0</v>
      </c>
      <c r="O46" s="666"/>
      <c r="P46" s="563">
        <v>0</v>
      </c>
      <c r="Q46" s="651">
        <v>0</v>
      </c>
      <c r="R46" s="652"/>
      <c r="S46" s="383">
        <f>SUM(N46:R46)</f>
        <v>0</v>
      </c>
      <c r="T46" s="1"/>
      <c r="U46" s="1"/>
      <c r="V46" s="1"/>
      <c r="W46" s="1"/>
      <c r="X46" s="1"/>
      <c r="Y46" s="1"/>
      <c r="Z46" s="1"/>
      <c r="AA46" s="1"/>
    </row>
    <row r="47" spans="1:27" ht="15.95" customHeight="1" thickTop="1" thickBot="1">
      <c r="A47" s="1"/>
      <c r="B47" s="503"/>
      <c r="C47" s="624" t="s">
        <v>1543</v>
      </c>
      <c r="D47" s="375">
        <v>2024</v>
      </c>
      <c r="E47" s="505"/>
      <c r="F47" s="506"/>
      <c r="G47" s="507"/>
      <c r="H47" s="508"/>
      <c r="I47" s="620"/>
      <c r="J47" s="509"/>
      <c r="K47" s="509"/>
      <c r="L47" s="510"/>
      <c r="M47" s="382">
        <v>2025</v>
      </c>
      <c r="N47" s="570">
        <v>1</v>
      </c>
      <c r="O47" s="571"/>
      <c r="P47" s="472">
        <v>0</v>
      </c>
      <c r="Q47" s="572">
        <v>0</v>
      </c>
      <c r="R47" s="573"/>
      <c r="S47" s="386">
        <f>SUM(N47:R47)</f>
        <v>1</v>
      </c>
      <c r="T47" s="1"/>
      <c r="U47" s="1"/>
      <c r="V47" s="1"/>
      <c r="W47" s="1"/>
      <c r="X47" s="1"/>
      <c r="Y47" s="1"/>
      <c r="Z47" s="1"/>
      <c r="AA47" s="1"/>
    </row>
    <row r="48" spans="1:27" ht="15.95" customHeight="1" thickTop="1" thickBot="1">
      <c r="A48" s="1"/>
      <c r="B48" s="503"/>
      <c r="C48" s="625"/>
      <c r="D48" s="400">
        <v>2025</v>
      </c>
      <c r="E48" s="511"/>
      <c r="F48" s="512"/>
      <c r="G48" s="513"/>
      <c r="H48" s="514"/>
      <c r="I48" s="626"/>
      <c r="J48" s="523"/>
      <c r="K48" s="523"/>
      <c r="L48" s="524"/>
      <c r="M48" s="574" t="s">
        <v>1553</v>
      </c>
      <c r="N48" s="575"/>
      <c r="O48" s="575"/>
      <c r="P48" s="575"/>
      <c r="Q48" s="575"/>
      <c r="R48" s="575"/>
      <c r="S48" s="692" t="s">
        <v>1554</v>
      </c>
      <c r="T48" s="1"/>
      <c r="U48" s="1"/>
      <c r="V48" s="1"/>
      <c r="W48" s="1"/>
      <c r="X48" s="1"/>
      <c r="Y48" s="1"/>
      <c r="Z48" s="1"/>
      <c r="AA48" s="1"/>
    </row>
    <row r="49" spans="1:27" ht="15.95" customHeight="1" thickTop="1">
      <c r="A49" s="1"/>
      <c r="B49" s="655" t="s">
        <v>23</v>
      </c>
      <c r="C49" s="656"/>
      <c r="D49" s="369">
        <v>2024</v>
      </c>
      <c r="E49" s="420">
        <f>SUMIFS($E$25:$E$46,$D$25:$D$46,2022)</f>
        <v>0</v>
      </c>
      <c r="F49" s="401">
        <f>SUMIFS(F$25:F$46,$D$25:$D$46,2022)</f>
        <v>0</v>
      </c>
      <c r="G49" s="401">
        <f>SUMIFS(G$25:G$46,$D$25:$D$46,2022)</f>
        <v>0</v>
      </c>
      <c r="H49" s="406">
        <f>SUMIFS(H$25:H$46,$D$25:$D$46,2022)</f>
        <v>0</v>
      </c>
      <c r="I49" s="645">
        <f>SUM(I25:I46)</f>
        <v>2433658</v>
      </c>
      <c r="J49" s="631"/>
      <c r="K49" s="632"/>
      <c r="L49" s="633"/>
      <c r="M49" s="576"/>
      <c r="N49" s="577"/>
      <c r="O49" s="577"/>
      <c r="P49" s="577"/>
      <c r="Q49" s="577"/>
      <c r="R49" s="577"/>
      <c r="S49" s="693"/>
      <c r="T49" s="1"/>
      <c r="U49" s="1"/>
      <c r="V49" s="1"/>
      <c r="W49" s="1"/>
      <c r="X49" s="1"/>
      <c r="Y49" s="1"/>
      <c r="Z49" s="1"/>
      <c r="AA49" s="1"/>
    </row>
    <row r="50" spans="1:27" ht="15.95" customHeight="1" thickBot="1">
      <c r="A50" s="1"/>
      <c r="B50" s="657"/>
      <c r="C50" s="658"/>
      <c r="D50" s="400">
        <v>2025</v>
      </c>
      <c r="E50" s="421">
        <f>SUMIFS(E$25:E$46,$D$25:$D$46,2023)</f>
        <v>0</v>
      </c>
      <c r="F50" s="402">
        <f>SUMIFS(F$25:F$46,$D$25:$D$46,2023)</f>
        <v>0</v>
      </c>
      <c r="G50" s="402">
        <f>SUMIFS(G$25:G$46,$D$25:$D$46,2023)</f>
        <v>0</v>
      </c>
      <c r="H50" s="403">
        <f>SUMIFS(H$25:H$46,$D$25:$D$46,2023)</f>
        <v>0</v>
      </c>
      <c r="I50" s="646"/>
      <c r="J50" s="634"/>
      <c r="K50" s="635"/>
      <c r="L50" s="636"/>
      <c r="M50" s="576"/>
      <c r="N50" s="577"/>
      <c r="O50" s="577"/>
      <c r="P50" s="577"/>
      <c r="Q50" s="577"/>
      <c r="R50" s="577"/>
      <c r="S50" s="694" t="s">
        <v>54</v>
      </c>
      <c r="T50" s="1"/>
      <c r="U50" s="1"/>
      <c r="V50" s="1"/>
      <c r="W50" s="1"/>
      <c r="X50" s="1"/>
      <c r="Y50" s="1"/>
      <c r="Z50" s="1"/>
      <c r="AA50" s="1"/>
    </row>
    <row r="51" spans="1:27" ht="15.95" customHeight="1" thickTop="1" thickBot="1">
      <c r="A51" s="1"/>
      <c r="B51" s="125"/>
      <c r="C51" s="300"/>
      <c r="D51" s="10"/>
      <c r="E51" s="11"/>
      <c r="F51" s="12"/>
      <c r="G51" s="12"/>
      <c r="H51" s="12"/>
      <c r="I51" s="13"/>
      <c r="J51" s="13"/>
      <c r="K51" s="13"/>
      <c r="L51" s="13"/>
      <c r="M51" s="578"/>
      <c r="N51" s="579"/>
      <c r="O51" s="579"/>
      <c r="P51" s="579"/>
      <c r="Q51" s="579"/>
      <c r="R51" s="579"/>
      <c r="S51" s="650"/>
      <c r="T51" s="1"/>
      <c r="U51" s="1"/>
      <c r="V51" s="1"/>
      <c r="W51" s="1"/>
      <c r="X51" s="1"/>
      <c r="Y51" s="1"/>
      <c r="Z51" s="1"/>
      <c r="AA51" s="1"/>
    </row>
    <row r="52" spans="1:27" ht="30" customHeight="1" thickTop="1" thickBot="1">
      <c r="A52" s="1"/>
      <c r="B52" s="642" t="s">
        <v>10</v>
      </c>
      <c r="C52" s="643"/>
      <c r="D52" s="643"/>
      <c r="E52" s="643"/>
      <c r="F52" s="643"/>
      <c r="G52" s="643"/>
      <c r="H52" s="643"/>
      <c r="I52" s="643"/>
      <c r="J52" s="643"/>
      <c r="K52" s="643"/>
      <c r="L52" s="644"/>
      <c r="M52" s="6"/>
      <c r="N52" s="127"/>
      <c r="O52" s="144"/>
      <c r="P52" s="127"/>
      <c r="Q52" s="125"/>
      <c r="R52" s="125"/>
      <c r="S52" s="1"/>
      <c r="T52" s="368"/>
      <c r="U52" s="368">
        <v>2022</v>
      </c>
      <c r="V52" s="368">
        <v>2023</v>
      </c>
      <c r="W52" s="368">
        <v>2024</v>
      </c>
      <c r="X52" s="1"/>
      <c r="Y52" s="1"/>
      <c r="Z52" s="1"/>
      <c r="AA52" s="1"/>
    </row>
    <row r="53" spans="1:27" ht="15.95" customHeight="1" thickTop="1" thickBot="1">
      <c r="A53" s="1"/>
      <c r="B53" s="627" t="s">
        <v>16</v>
      </c>
      <c r="C53" s="599" t="s">
        <v>24</v>
      </c>
      <c r="D53" s="369">
        <v>2024</v>
      </c>
      <c r="E53" s="420">
        <v>868</v>
      </c>
      <c r="F53" s="401"/>
      <c r="G53" s="401">
        <v>6</v>
      </c>
      <c r="H53" s="393">
        <v>1447800</v>
      </c>
      <c r="I53" s="595">
        <v>1310435</v>
      </c>
      <c r="J53" s="603"/>
      <c r="K53" s="604"/>
      <c r="L53" s="605"/>
      <c r="M53" s="6"/>
      <c r="N53" s="127"/>
      <c r="O53" s="144"/>
      <c r="P53" s="127"/>
      <c r="Q53" s="125"/>
      <c r="R53" s="125"/>
      <c r="S53" s="1"/>
      <c r="T53" s="368" t="s">
        <v>24</v>
      </c>
      <c r="U53" s="391">
        <f>E53</f>
        <v>868</v>
      </c>
      <c r="V53" s="391">
        <f>E54</f>
        <v>0</v>
      </c>
      <c r="W53" s="391" t="e">
        <f>#REF!</f>
        <v>#REF!</v>
      </c>
      <c r="X53" s="1"/>
      <c r="Y53" s="1"/>
      <c r="Z53" s="1"/>
      <c r="AA53" s="1"/>
    </row>
    <row r="54" spans="1:27" ht="15.95" customHeight="1" thickTop="1" thickBot="1">
      <c r="A54" s="1"/>
      <c r="B54" s="627"/>
      <c r="C54" s="600"/>
      <c r="D54" s="374">
        <v>2025</v>
      </c>
      <c r="E54" s="304"/>
      <c r="F54" s="305"/>
      <c r="G54" s="305"/>
      <c r="H54" s="434">
        <f>E54*'עלות השירותים'!$H$44*12</f>
        <v>0</v>
      </c>
      <c r="I54" s="589"/>
      <c r="J54" s="189">
        <f>K54</f>
        <v>0</v>
      </c>
      <c r="K54" s="189">
        <f>H54/I53</f>
        <v>0</v>
      </c>
      <c r="L54" s="455"/>
      <c r="M54" s="6"/>
      <c r="N54" s="127"/>
      <c r="O54" s="144"/>
      <c r="P54" s="127"/>
      <c r="Q54" s="125"/>
      <c r="R54" s="125"/>
      <c r="S54" s="1"/>
      <c r="T54" s="368" t="s">
        <v>25</v>
      </c>
      <c r="U54" s="391">
        <f>E55</f>
        <v>51</v>
      </c>
      <c r="V54" s="391">
        <f>E56</f>
        <v>0</v>
      </c>
      <c r="W54" s="391" t="e">
        <f>#REF!</f>
        <v>#REF!</v>
      </c>
      <c r="X54" s="1"/>
      <c r="Y54" s="1"/>
      <c r="Z54" s="1"/>
      <c r="AA54" s="1"/>
    </row>
    <row r="55" spans="1:27" ht="15.95" customHeight="1" thickTop="1" thickBot="1">
      <c r="A55" s="1"/>
      <c r="B55" s="627"/>
      <c r="C55" s="653" t="s">
        <v>25</v>
      </c>
      <c r="D55" s="394">
        <v>2024</v>
      </c>
      <c r="E55" s="415">
        <v>51</v>
      </c>
      <c r="F55" s="664"/>
      <c r="G55" s="376">
        <v>3</v>
      </c>
      <c r="H55" s="377">
        <v>595560</v>
      </c>
      <c r="I55" s="581">
        <v>530067</v>
      </c>
      <c r="J55" s="661"/>
      <c r="K55" s="662"/>
      <c r="L55" s="663"/>
      <c r="M55" s="6"/>
      <c r="N55" s="127"/>
      <c r="O55" s="144"/>
      <c r="P55" s="127"/>
      <c r="Q55" s="125"/>
      <c r="R55" s="125"/>
      <c r="S55" s="1"/>
      <c r="T55" s="368" t="s">
        <v>26</v>
      </c>
      <c r="U55" s="391">
        <f>E63</f>
        <v>324</v>
      </c>
      <c r="V55" s="391">
        <f>E64</f>
        <v>0</v>
      </c>
      <c r="W55" s="391" t="e">
        <f>#REF!</f>
        <v>#REF!</v>
      </c>
      <c r="X55" s="1"/>
      <c r="Y55" s="1"/>
      <c r="Z55" s="1"/>
      <c r="AA55" s="1"/>
    </row>
    <row r="56" spans="1:27" ht="15.95" customHeight="1" thickTop="1" thickBot="1">
      <c r="A56" s="1"/>
      <c r="B56" s="627"/>
      <c r="C56" s="654"/>
      <c r="D56" s="372">
        <v>2025</v>
      </c>
      <c r="E56" s="456"/>
      <c r="F56" s="665"/>
      <c r="G56" s="457"/>
      <c r="H56" s="403">
        <f>E56*'עלות השירותים'!$H$43*12</f>
        <v>0</v>
      </c>
      <c r="I56" s="698"/>
      <c r="J56" s="114">
        <f>K56</f>
        <v>0</v>
      </c>
      <c r="K56" s="114">
        <f>H56/I55</f>
        <v>0</v>
      </c>
      <c r="L56" s="458"/>
      <c r="M56" s="6"/>
      <c r="N56" s="127"/>
      <c r="O56" s="144"/>
      <c r="P56" s="127"/>
      <c r="Q56" s="125"/>
      <c r="R56" s="125"/>
      <c r="S56" s="1"/>
      <c r="T56" s="368" t="s">
        <v>27</v>
      </c>
      <c r="U56" s="391">
        <f>E67</f>
        <v>637</v>
      </c>
      <c r="V56" s="391">
        <f>E68</f>
        <v>0</v>
      </c>
      <c r="W56" s="391" t="e">
        <f>#REF!</f>
        <v>#REF!</v>
      </c>
      <c r="X56" s="1"/>
      <c r="Y56" s="1"/>
      <c r="Z56" s="1"/>
      <c r="AA56" s="1"/>
    </row>
    <row r="57" spans="1:27" ht="21.6" customHeight="1" thickTop="1" thickBot="1">
      <c r="A57" s="1"/>
      <c r="B57" s="627" t="s">
        <v>19</v>
      </c>
      <c r="C57" s="671" t="s">
        <v>1540</v>
      </c>
      <c r="D57" s="369">
        <v>2024</v>
      </c>
      <c r="E57" s="459">
        <v>750</v>
      </c>
      <c r="F57" s="606"/>
      <c r="G57" s="607"/>
      <c r="H57" s="393">
        <v>65207</v>
      </c>
      <c r="I57" s="595">
        <v>65207</v>
      </c>
      <c r="J57" s="603"/>
      <c r="K57" s="604"/>
      <c r="L57" s="605"/>
      <c r="M57" s="6"/>
      <c r="N57" s="127"/>
      <c r="O57" s="144"/>
      <c r="P57" s="127"/>
      <c r="Q57" s="125"/>
      <c r="R57" s="125"/>
      <c r="S57" s="1"/>
      <c r="T57" s="1"/>
      <c r="U57" s="1"/>
      <c r="V57" s="1"/>
      <c r="W57" s="1"/>
      <c r="X57" s="1"/>
      <c r="Y57" s="1"/>
      <c r="Z57" s="1"/>
      <c r="AA57" s="1"/>
    </row>
    <row r="58" spans="1:27" ht="17.100000000000001" customHeight="1" thickTop="1" thickBot="1">
      <c r="A58" s="1"/>
      <c r="B58" s="627"/>
      <c r="C58" s="672"/>
      <c r="D58" s="392">
        <v>2025</v>
      </c>
      <c r="E58" s="309"/>
      <c r="F58" s="669"/>
      <c r="G58" s="670"/>
      <c r="H58" s="280"/>
      <c r="I58" s="589"/>
      <c r="J58" s="189">
        <f>K58</f>
        <v>0</v>
      </c>
      <c r="K58" s="189">
        <f>H58/I57</f>
        <v>0</v>
      </c>
      <c r="L58" s="455"/>
      <c r="M58" s="6"/>
      <c r="N58" s="127"/>
      <c r="O58" s="144"/>
      <c r="P58" s="127"/>
      <c r="Q58" s="125"/>
      <c r="R58" s="125"/>
      <c r="S58" s="1"/>
      <c r="T58" s="1"/>
      <c r="U58" s="1"/>
      <c r="V58" s="1"/>
      <c r="W58" s="1"/>
      <c r="X58" s="1"/>
      <c r="Y58" s="1"/>
      <c r="Z58" s="1"/>
      <c r="AA58" s="1"/>
    </row>
    <row r="59" spans="1:27" ht="17.100000000000001" customHeight="1" thickTop="1" thickBot="1">
      <c r="A59" s="1"/>
      <c r="B59" s="627"/>
      <c r="C59" s="628" t="s">
        <v>1541</v>
      </c>
      <c r="D59" s="375">
        <v>2024</v>
      </c>
      <c r="E59" s="492"/>
      <c r="F59" s="451"/>
      <c r="G59" s="452"/>
      <c r="H59" s="494"/>
      <c r="I59" s="581"/>
      <c r="J59" s="699"/>
      <c r="K59" s="700"/>
      <c r="L59" s="701"/>
      <c r="M59" s="6"/>
      <c r="N59" s="127"/>
      <c r="O59" s="144"/>
      <c r="P59" s="127"/>
      <c r="Q59" s="125"/>
      <c r="R59" s="125"/>
      <c r="S59" s="1"/>
      <c r="T59" s="1"/>
      <c r="U59" s="1"/>
      <c r="V59" s="1"/>
      <c r="W59" s="1"/>
      <c r="X59" s="1"/>
      <c r="Y59" s="1"/>
      <c r="Z59" s="1"/>
      <c r="AA59" s="1"/>
    </row>
    <row r="60" spans="1:27" ht="17.100000000000001" customHeight="1" thickTop="1" thickBot="1">
      <c r="A60" s="1"/>
      <c r="B60" s="627"/>
      <c r="C60" s="629"/>
      <c r="D60" s="374">
        <v>2025</v>
      </c>
      <c r="E60" s="464"/>
      <c r="F60" s="449"/>
      <c r="G60" s="450"/>
      <c r="H60" s="490"/>
      <c r="I60" s="589"/>
      <c r="J60" s="495"/>
      <c r="K60" s="496"/>
      <c r="L60" s="497"/>
      <c r="M60" s="6"/>
      <c r="N60" s="127"/>
      <c r="O60" s="144"/>
      <c r="P60" s="127"/>
      <c r="Q60" s="125"/>
      <c r="R60" s="125"/>
      <c r="S60" s="1"/>
      <c r="T60" s="1"/>
      <c r="U60" s="1"/>
      <c r="V60" s="1"/>
      <c r="W60" s="1"/>
      <c r="X60" s="1"/>
      <c r="Y60" s="1"/>
      <c r="Z60" s="1"/>
      <c r="AA60" s="1"/>
    </row>
    <row r="61" spans="1:27" ht="17.100000000000001" customHeight="1" thickTop="1" thickBot="1">
      <c r="A61" s="1"/>
      <c r="B61" s="627"/>
      <c r="C61" s="630" t="s">
        <v>1555</v>
      </c>
      <c r="D61" s="394">
        <v>2024</v>
      </c>
      <c r="E61" s="491"/>
      <c r="F61" s="447"/>
      <c r="G61" s="448"/>
      <c r="H61" s="493"/>
      <c r="I61" s="581"/>
      <c r="J61" s="699"/>
      <c r="K61" s="700"/>
      <c r="L61" s="701"/>
      <c r="M61" s="6"/>
      <c r="N61" s="127"/>
      <c r="O61" s="144"/>
      <c r="P61" s="127"/>
      <c r="Q61" s="125"/>
      <c r="R61" s="125"/>
      <c r="S61" s="1"/>
      <c r="T61" s="1"/>
      <c r="U61" s="1"/>
      <c r="V61" s="1"/>
      <c r="W61" s="1"/>
      <c r="X61" s="1"/>
      <c r="Y61" s="1"/>
      <c r="Z61" s="1"/>
      <c r="AA61" s="1"/>
    </row>
    <row r="62" spans="1:27" ht="17.100000000000001" customHeight="1" thickTop="1" thickBot="1">
      <c r="A62" s="1"/>
      <c r="B62" s="627"/>
      <c r="C62" s="613"/>
      <c r="D62" s="374">
        <v>2025</v>
      </c>
      <c r="E62" s="304"/>
      <c r="F62" s="447"/>
      <c r="G62" s="448"/>
      <c r="H62" s="489"/>
      <c r="I62" s="589"/>
      <c r="J62" s="495"/>
      <c r="K62" s="496"/>
      <c r="L62" s="497"/>
      <c r="M62" s="6"/>
      <c r="N62" s="127"/>
      <c r="O62" s="144"/>
      <c r="P62" s="127"/>
      <c r="Q62" s="125"/>
      <c r="R62" s="125"/>
      <c r="S62" s="1"/>
      <c r="T62" s="1"/>
      <c r="U62" s="1"/>
      <c r="V62" s="1"/>
      <c r="W62" s="1"/>
      <c r="X62" s="1"/>
      <c r="Y62" s="1"/>
      <c r="Z62" s="1"/>
      <c r="AA62" s="1"/>
    </row>
    <row r="63" spans="1:27" ht="16.5" thickTop="1" thickBot="1">
      <c r="A63" s="1"/>
      <c r="B63" s="627"/>
      <c r="C63" s="630" t="s">
        <v>1542</v>
      </c>
      <c r="D63" s="375">
        <v>2024</v>
      </c>
      <c r="E63" s="417">
        <v>324</v>
      </c>
      <c r="F63" s="610"/>
      <c r="G63" s="611"/>
      <c r="H63" s="377">
        <v>103615</v>
      </c>
      <c r="I63" s="581">
        <v>103615</v>
      </c>
      <c r="J63" s="661"/>
      <c r="K63" s="662"/>
      <c r="L63" s="663"/>
      <c r="M63" s="6"/>
      <c r="N63" s="127"/>
      <c r="O63" s="144"/>
      <c r="P63" s="127"/>
      <c r="Q63" s="125"/>
      <c r="R63" s="125"/>
      <c r="S63" s="1"/>
      <c r="T63" s="1"/>
      <c r="U63" s="1"/>
      <c r="V63" s="1"/>
      <c r="W63" s="1"/>
      <c r="X63" s="1"/>
      <c r="Y63" s="1"/>
      <c r="Z63" s="1"/>
      <c r="AA63" s="1"/>
    </row>
    <row r="64" spans="1:27" ht="16.5" thickTop="1" thickBot="1">
      <c r="A64" s="1"/>
      <c r="B64" s="627"/>
      <c r="C64" s="613"/>
      <c r="D64" s="374">
        <v>2025</v>
      </c>
      <c r="E64" s="309"/>
      <c r="F64" s="669"/>
      <c r="G64" s="670"/>
      <c r="H64" s="280"/>
      <c r="I64" s="589"/>
      <c r="J64" s="189">
        <f>K64</f>
        <v>0</v>
      </c>
      <c r="K64" s="189">
        <f>H64/I63</f>
        <v>0</v>
      </c>
      <c r="L64" s="455"/>
      <c r="M64" s="6"/>
      <c r="N64" s="127"/>
      <c r="O64" s="144"/>
      <c r="P64" s="127"/>
      <c r="Q64" s="125"/>
      <c r="R64" s="125"/>
      <c r="S64" s="1"/>
      <c r="T64" s="1"/>
      <c r="U64" s="1"/>
      <c r="V64" s="1"/>
      <c r="W64" s="1"/>
      <c r="X64" s="1"/>
      <c r="Y64" s="1"/>
      <c r="Z64" s="1"/>
      <c r="AA64" s="1"/>
    </row>
    <row r="65" spans="1:27" ht="24.75" customHeight="1" thickTop="1" thickBot="1">
      <c r="A65" s="1"/>
      <c r="B65" s="627"/>
      <c r="C65" s="630" t="s">
        <v>1539</v>
      </c>
      <c r="D65" s="488">
        <v>2024</v>
      </c>
      <c r="E65" s="492"/>
      <c r="F65" s="451"/>
      <c r="G65" s="452"/>
      <c r="H65" s="494"/>
      <c r="I65" s="581"/>
      <c r="J65" s="699"/>
      <c r="K65" s="700"/>
      <c r="L65" s="701"/>
      <c r="M65" s="6"/>
      <c r="N65" s="127"/>
      <c r="O65" s="144"/>
      <c r="P65" s="127"/>
      <c r="Q65" s="125"/>
      <c r="R65" s="125"/>
      <c r="S65" s="1"/>
      <c r="T65" s="1"/>
      <c r="U65" s="1"/>
      <c r="V65" s="1"/>
      <c r="W65" s="1"/>
      <c r="X65" s="1"/>
      <c r="Y65" s="1"/>
      <c r="Z65" s="1"/>
      <c r="AA65" s="1"/>
    </row>
    <row r="66" spans="1:27" ht="23.25" customHeight="1" thickTop="1" thickBot="1">
      <c r="A66" s="1"/>
      <c r="B66" s="627"/>
      <c r="C66" s="613"/>
      <c r="D66" s="374">
        <v>2025</v>
      </c>
      <c r="E66" s="464"/>
      <c r="F66" s="449"/>
      <c r="G66" s="450"/>
      <c r="H66" s="490"/>
      <c r="I66" s="589"/>
      <c r="J66" s="495"/>
      <c r="K66" s="496"/>
      <c r="L66" s="497"/>
      <c r="M66" s="6"/>
      <c r="N66" s="127"/>
      <c r="O66" s="144"/>
      <c r="P66" s="127"/>
      <c r="Q66" s="125"/>
      <c r="R66" s="125"/>
      <c r="S66" s="1"/>
      <c r="T66" s="1"/>
      <c r="U66" s="1"/>
      <c r="V66" s="1"/>
      <c r="W66" s="1"/>
      <c r="X66" s="1"/>
      <c r="Y66" s="1"/>
      <c r="Z66" s="1"/>
      <c r="AA66" s="1"/>
    </row>
    <row r="67" spans="1:27" ht="15.95" customHeight="1" thickTop="1" thickBot="1">
      <c r="A67" s="1"/>
      <c r="B67" s="627"/>
      <c r="C67" s="618" t="s">
        <v>27</v>
      </c>
      <c r="D67" s="375">
        <v>2024</v>
      </c>
      <c r="E67" s="414">
        <v>637</v>
      </c>
      <c r="F67" s="608"/>
      <c r="G67" s="609"/>
      <c r="H67" s="432">
        <v>224240</v>
      </c>
      <c r="I67" s="582">
        <v>224240</v>
      </c>
      <c r="J67" s="695"/>
      <c r="K67" s="696"/>
      <c r="L67" s="697"/>
      <c r="M67" s="6"/>
      <c r="N67" s="127"/>
      <c r="O67" s="144"/>
      <c r="P67" s="127"/>
      <c r="Q67" s="125"/>
      <c r="R67" s="125"/>
      <c r="S67" s="1"/>
      <c r="T67" s="1"/>
      <c r="U67" s="1"/>
      <c r="V67" s="1"/>
      <c r="W67" s="1"/>
      <c r="X67" s="1"/>
      <c r="Y67" s="1"/>
      <c r="Z67" s="1"/>
      <c r="AA67" s="1"/>
    </row>
    <row r="68" spans="1:27" ht="15.95" customHeight="1" thickTop="1" thickBot="1">
      <c r="A68" s="1"/>
      <c r="B68" s="627"/>
      <c r="C68" s="653"/>
      <c r="D68" s="372">
        <v>2025</v>
      </c>
      <c r="E68" s="306"/>
      <c r="F68" s="608"/>
      <c r="G68" s="609"/>
      <c r="H68" s="275"/>
      <c r="I68" s="582"/>
      <c r="J68" s="113">
        <f>K68</f>
        <v>0</v>
      </c>
      <c r="K68" s="113">
        <f>H68/I67</f>
        <v>0</v>
      </c>
      <c r="L68" s="407"/>
      <c r="M68" s="8"/>
      <c r="N68" s="127"/>
      <c r="O68" s="144"/>
      <c r="P68" s="127"/>
      <c r="Q68" s="125"/>
      <c r="R68" s="125"/>
      <c r="S68" s="1"/>
      <c r="T68" s="1"/>
      <c r="U68" s="1"/>
      <c r="V68" s="1"/>
      <c r="W68" s="1"/>
      <c r="X68" s="1"/>
      <c r="Y68" s="1"/>
      <c r="Z68" s="1"/>
      <c r="AA68" s="1"/>
    </row>
    <row r="69" spans="1:27" ht="15.95" customHeight="1" thickTop="1">
      <c r="A69" s="1"/>
      <c r="B69" s="655" t="s">
        <v>23</v>
      </c>
      <c r="C69" s="656"/>
      <c r="D69" s="369">
        <v>2024</v>
      </c>
      <c r="E69" s="420">
        <f>SUMIFS($E$53:$E$68,$D$53:$D$68,2022)</f>
        <v>0</v>
      </c>
      <c r="F69" s="404">
        <f>SUMIFS(F$53:F$68,$D$53:$D$68,2022)</f>
        <v>0</v>
      </c>
      <c r="G69" s="404">
        <f>SUMIFS(G$53:G$68,$D$53:$D$68,2022)</f>
        <v>0</v>
      </c>
      <c r="H69" s="404">
        <f>SUMIFS(H$53:H$68,$D$53:$D$68,2022)</f>
        <v>0</v>
      </c>
      <c r="I69" s="645">
        <f>SUM(I53:I68)</f>
        <v>2233564</v>
      </c>
      <c r="J69" s="631"/>
      <c r="K69" s="632"/>
      <c r="L69" s="633"/>
      <c r="M69" s="8"/>
      <c r="N69" s="127"/>
      <c r="O69" s="144"/>
      <c r="P69" s="127"/>
      <c r="Q69" s="125"/>
      <c r="R69" s="125"/>
      <c r="S69" s="1"/>
      <c r="T69" s="1"/>
      <c r="U69" s="1"/>
      <c r="V69" s="1"/>
      <c r="W69" s="1"/>
      <c r="X69" s="1"/>
      <c r="Y69" s="1"/>
      <c r="Z69" s="1"/>
      <c r="AA69" s="1"/>
    </row>
    <row r="70" spans="1:27" ht="15.95" customHeight="1" thickBot="1">
      <c r="A70" s="1"/>
      <c r="B70" s="657"/>
      <c r="C70" s="658"/>
      <c r="D70" s="400">
        <v>2025</v>
      </c>
      <c r="E70" s="421">
        <f>SUMIFS(E$53:E$68,$D$53:$D$68,2023)</f>
        <v>0</v>
      </c>
      <c r="F70" s="405">
        <f>SUMIFS(F$53:F$68,$D$53:$D$68,2023)</f>
        <v>0</v>
      </c>
      <c r="G70" s="405">
        <f>SUMIFS(G$53:G$68,$D$53:$D$68,2023)</f>
        <v>0</v>
      </c>
      <c r="H70" s="405">
        <f>SUMIFS(H$53:H$68,$D$53:$D$68,2023)</f>
        <v>0</v>
      </c>
      <c r="I70" s="646"/>
      <c r="J70" s="634"/>
      <c r="K70" s="635"/>
      <c r="L70" s="636"/>
      <c r="M70" s="8"/>
      <c r="N70" s="127"/>
      <c r="O70" s="144"/>
      <c r="P70" s="127"/>
      <c r="Q70" s="125"/>
      <c r="R70" s="125"/>
      <c r="S70" s="1"/>
      <c r="T70" s="1"/>
      <c r="U70" s="1"/>
      <c r="V70" s="1"/>
      <c r="W70" s="1"/>
      <c r="X70" s="1"/>
      <c r="Y70" s="1"/>
      <c r="Z70" s="1"/>
      <c r="AA70" s="1"/>
    </row>
    <row r="71" spans="1:27" ht="15.75" thickTop="1">
      <c r="A71" s="1"/>
      <c r="B71" s="145"/>
      <c r="C71" s="9"/>
      <c r="D71" s="9"/>
      <c r="E71" s="7"/>
      <c r="F71" s="7"/>
      <c r="G71" s="7"/>
      <c r="H71" s="7"/>
      <c r="I71" s="7"/>
      <c r="J71" s="8"/>
      <c r="K71" s="8"/>
      <c r="L71" s="8"/>
      <c r="M71" s="8"/>
      <c r="N71" s="127"/>
      <c r="O71" s="144"/>
      <c r="P71" s="127"/>
      <c r="Q71" s="125"/>
      <c r="R71" s="125"/>
      <c r="S71" s="1"/>
      <c r="T71" s="1"/>
      <c r="U71" s="1"/>
      <c r="V71" s="1"/>
      <c r="W71" s="1"/>
      <c r="X71" s="1"/>
      <c r="Y71" s="1"/>
      <c r="Z71" s="1"/>
      <c r="AA71" s="1"/>
    </row>
    <row r="72" spans="1:27" ht="15">
      <c r="A72" s="1"/>
      <c r="B72" s="145"/>
      <c r="C72" s="9"/>
      <c r="D72" s="9"/>
      <c r="E72" s="7"/>
      <c r="F72" s="7"/>
      <c r="G72" s="7"/>
      <c r="H72" s="7"/>
      <c r="I72" s="7"/>
      <c r="J72" s="8"/>
      <c r="K72" s="8"/>
      <c r="L72" s="8"/>
      <c r="M72" s="8"/>
      <c r="N72" s="127"/>
      <c r="O72" s="144"/>
      <c r="P72" s="127"/>
      <c r="Q72" s="125"/>
      <c r="R72" s="125"/>
      <c r="S72" s="1"/>
      <c r="T72" s="1"/>
      <c r="U72" s="1"/>
      <c r="V72" s="1"/>
      <c r="W72" s="1"/>
      <c r="X72" s="1"/>
      <c r="Y72" s="1"/>
      <c r="Z72" s="1"/>
      <c r="AA72" s="1"/>
    </row>
    <row r="73" spans="1:27" ht="15">
      <c r="A73" s="1"/>
      <c r="B73" s="145"/>
      <c r="C73" s="9"/>
      <c r="D73" s="9"/>
      <c r="E73" s="7"/>
      <c r="F73" s="7"/>
      <c r="G73" s="7"/>
      <c r="H73" s="7"/>
      <c r="I73" s="7"/>
      <c r="J73" s="8"/>
      <c r="K73" s="8"/>
      <c r="L73" s="8"/>
      <c r="M73" s="8"/>
      <c r="N73" s="127"/>
      <c r="O73" s="144"/>
      <c r="P73" s="127"/>
      <c r="Q73" s="125"/>
      <c r="R73" s="125"/>
      <c r="S73" s="1"/>
      <c r="T73" s="1"/>
      <c r="U73" s="1"/>
      <c r="V73" s="1"/>
      <c r="W73" s="1"/>
      <c r="X73" s="1"/>
      <c r="Y73" s="1"/>
      <c r="Z73" s="1"/>
      <c r="AA73" s="1"/>
    </row>
    <row r="74" spans="1:27" ht="15">
      <c r="A74" s="1"/>
      <c r="B74" s="145"/>
      <c r="C74" s="9"/>
      <c r="D74" s="9"/>
      <c r="E74" s="7"/>
      <c r="F74" s="7"/>
      <c r="G74" s="7"/>
      <c r="H74" s="7"/>
      <c r="I74" s="7"/>
      <c r="J74" s="8"/>
      <c r="K74" s="8"/>
      <c r="L74" s="8"/>
      <c r="M74" s="8"/>
      <c r="N74" s="127"/>
      <c r="O74" s="144"/>
      <c r="P74" s="127"/>
      <c r="Q74" s="125"/>
      <c r="R74" s="125"/>
      <c r="S74" s="1"/>
      <c r="T74" s="1"/>
      <c r="U74" s="1"/>
      <c r="V74" s="1"/>
      <c r="W74" s="1"/>
      <c r="X74" s="1"/>
      <c r="Y74" s="1"/>
      <c r="Z74" s="1"/>
      <c r="AA74" s="1"/>
    </row>
    <row r="75" spans="1:27" ht="15">
      <c r="A75" s="1"/>
      <c r="B75" s="145"/>
      <c r="C75" s="9"/>
      <c r="D75" s="9"/>
      <c r="E75" s="7"/>
      <c r="F75" s="7"/>
      <c r="G75" s="7"/>
      <c r="H75" s="7"/>
      <c r="I75" s="7"/>
      <c r="J75" s="8"/>
      <c r="K75" s="8"/>
      <c r="L75" s="8"/>
      <c r="M75" s="8"/>
      <c r="N75" s="127"/>
      <c r="O75" s="144"/>
      <c r="P75" s="127"/>
      <c r="Q75" s="125"/>
      <c r="R75" s="125"/>
      <c r="S75" s="1"/>
      <c r="T75" s="1"/>
      <c r="U75" s="1"/>
      <c r="V75" s="1"/>
      <c r="W75" s="1"/>
      <c r="X75" s="1"/>
      <c r="Y75" s="1"/>
      <c r="Z75" s="1"/>
      <c r="AA75" s="1"/>
    </row>
    <row r="76" spans="1:27" ht="15">
      <c r="A76" s="1"/>
      <c r="B76" s="145"/>
      <c r="C76" s="9"/>
      <c r="D76" s="9"/>
      <c r="E76" s="7"/>
      <c r="F76" s="7"/>
      <c r="G76" s="7"/>
      <c r="H76" s="7"/>
      <c r="I76" s="7"/>
      <c r="J76" s="8"/>
      <c r="K76" s="8"/>
      <c r="L76" s="8"/>
      <c r="M76" s="8"/>
      <c r="N76" s="127"/>
      <c r="O76" s="144"/>
      <c r="P76" s="127"/>
      <c r="Q76" s="125"/>
      <c r="R76" s="125"/>
      <c r="S76" s="1"/>
      <c r="T76" s="1"/>
      <c r="U76" s="1"/>
      <c r="V76" s="1"/>
      <c r="W76" s="1"/>
      <c r="X76" s="1"/>
      <c r="Y76" s="1"/>
      <c r="Z76" s="1"/>
      <c r="AA76" s="1"/>
    </row>
    <row r="77" spans="1:27" ht="15">
      <c r="A77" s="1"/>
      <c r="B77" s="145"/>
      <c r="C77" s="9"/>
      <c r="D77" s="9"/>
      <c r="E77" s="7"/>
      <c r="F77" s="7"/>
      <c r="G77" s="7"/>
      <c r="H77" s="7"/>
      <c r="I77" s="7"/>
      <c r="J77" s="8"/>
      <c r="K77" s="8"/>
      <c r="L77" s="8"/>
      <c r="M77" s="8"/>
      <c r="N77" s="127"/>
      <c r="O77" s="144"/>
      <c r="P77" s="127"/>
      <c r="Q77" s="125"/>
      <c r="R77" s="125"/>
      <c r="S77" s="1"/>
      <c r="T77" s="1"/>
      <c r="U77" s="1"/>
      <c r="V77" s="1"/>
      <c r="W77" s="1"/>
      <c r="X77" s="1"/>
      <c r="Y77" s="1"/>
      <c r="Z77" s="1"/>
      <c r="AA77" s="1"/>
    </row>
    <row r="78" spans="1:27" ht="15">
      <c r="A78" s="1"/>
      <c r="B78" s="145"/>
      <c r="C78" s="9"/>
      <c r="D78" s="9"/>
      <c r="E78" s="7"/>
      <c r="F78" s="7"/>
      <c r="G78" s="7"/>
      <c r="H78" s="7"/>
      <c r="I78" s="7"/>
      <c r="J78" s="8"/>
      <c r="K78" s="8"/>
      <c r="L78" s="8"/>
      <c r="M78" s="8"/>
      <c r="N78" s="127"/>
      <c r="O78" s="144"/>
      <c r="P78" s="127"/>
      <c r="Q78" s="125"/>
      <c r="R78" s="125"/>
      <c r="S78" s="1"/>
      <c r="T78" s="1"/>
      <c r="U78" s="1"/>
      <c r="V78" s="1"/>
      <c r="W78" s="1"/>
      <c r="X78" s="1"/>
      <c r="Y78" s="1"/>
      <c r="Z78" s="1"/>
      <c r="AA78" s="1"/>
    </row>
    <row r="79" spans="1:27" ht="15">
      <c r="A79" s="1"/>
      <c r="B79" s="145"/>
      <c r="C79" s="9"/>
      <c r="D79" s="9"/>
      <c r="E79" s="7"/>
      <c r="F79" s="7"/>
      <c r="G79" s="7"/>
      <c r="H79" s="7"/>
      <c r="I79" s="7"/>
      <c r="J79" s="8"/>
      <c r="K79" s="8"/>
      <c r="L79" s="8"/>
      <c r="M79" s="8"/>
      <c r="N79" s="127"/>
      <c r="O79" s="144"/>
      <c r="P79" s="127"/>
      <c r="Q79" s="125"/>
      <c r="R79" s="125"/>
      <c r="S79" s="1"/>
      <c r="T79" s="1"/>
      <c r="U79" s="1"/>
      <c r="V79" s="1"/>
      <c r="W79" s="1"/>
      <c r="X79" s="1"/>
      <c r="Y79" s="1"/>
      <c r="Z79" s="1"/>
      <c r="AA79" s="1"/>
    </row>
    <row r="80" spans="1:27" ht="15">
      <c r="A80" s="1"/>
      <c r="B80" s="145"/>
      <c r="C80" s="9"/>
      <c r="D80" s="9"/>
      <c r="E80" s="7"/>
      <c r="F80" s="7"/>
      <c r="G80" s="7"/>
      <c r="H80" s="7"/>
      <c r="I80" s="7"/>
      <c r="J80" s="8"/>
      <c r="K80" s="8"/>
      <c r="L80" s="8"/>
      <c r="M80" s="8"/>
      <c r="N80" s="127"/>
      <c r="O80" s="144"/>
      <c r="P80" s="127"/>
      <c r="Q80" s="125"/>
      <c r="R80" s="125"/>
      <c r="S80" s="1"/>
      <c r="T80" s="1"/>
      <c r="U80" s="1"/>
      <c r="V80" s="1"/>
      <c r="W80" s="1"/>
      <c r="X80" s="1"/>
      <c r="Y80" s="1"/>
      <c r="Z80" s="1"/>
      <c r="AA80" s="1"/>
    </row>
    <row r="81" spans="1:27" ht="15">
      <c r="A81" s="1"/>
      <c r="B81" s="145"/>
      <c r="C81" s="9"/>
      <c r="D81" s="9"/>
      <c r="E81" s="7"/>
      <c r="F81" s="7"/>
      <c r="G81" s="7"/>
      <c r="H81" s="7"/>
      <c r="I81" s="7"/>
      <c r="J81" s="8"/>
      <c r="K81" s="8"/>
      <c r="L81" s="8"/>
      <c r="M81" s="8"/>
      <c r="N81" s="127"/>
      <c r="O81" s="144"/>
      <c r="P81" s="127"/>
      <c r="Q81" s="125"/>
      <c r="R81" s="125"/>
      <c r="S81" s="1"/>
      <c r="T81" s="1"/>
      <c r="U81" s="1"/>
      <c r="V81" s="1"/>
      <c r="W81" s="1"/>
      <c r="X81" s="1"/>
      <c r="Y81" s="1"/>
      <c r="Z81" s="1"/>
      <c r="AA81" s="1"/>
    </row>
    <row r="82" spans="1:27" ht="15">
      <c r="A82" s="1"/>
      <c r="B82" s="145"/>
      <c r="C82" s="9"/>
      <c r="D82" s="9"/>
      <c r="E82" s="7"/>
      <c r="F82" s="7"/>
      <c r="G82" s="7"/>
      <c r="H82" s="7"/>
      <c r="I82" s="7"/>
      <c r="J82" s="8"/>
      <c r="K82" s="8"/>
      <c r="L82" s="8"/>
      <c r="M82" s="8"/>
      <c r="N82" s="127"/>
      <c r="O82" s="144"/>
      <c r="P82" s="127"/>
      <c r="Q82" s="125"/>
      <c r="R82" s="125"/>
      <c r="S82" s="1"/>
      <c r="T82" s="1"/>
      <c r="U82" s="1"/>
      <c r="V82" s="1"/>
      <c r="W82" s="1"/>
      <c r="X82" s="1"/>
      <c r="Y82" s="1"/>
      <c r="Z82" s="1"/>
      <c r="AA82" s="1"/>
    </row>
    <row r="83" spans="1:27" ht="15">
      <c r="A83" s="1"/>
      <c r="B83" s="145"/>
      <c r="C83" s="9"/>
      <c r="D83" s="9"/>
      <c r="E83" s="7"/>
      <c r="F83" s="7"/>
      <c r="G83" s="7"/>
      <c r="H83" s="7"/>
      <c r="I83" s="7"/>
      <c r="J83" s="8"/>
      <c r="K83" s="8"/>
      <c r="L83" s="8"/>
      <c r="M83" s="8"/>
      <c r="N83" s="127"/>
      <c r="O83" s="144"/>
      <c r="P83" s="127"/>
      <c r="Q83" s="125"/>
      <c r="R83" s="125"/>
      <c r="S83" s="1"/>
      <c r="T83" s="1"/>
      <c r="U83" s="1"/>
      <c r="V83" s="1"/>
      <c r="W83" s="1"/>
      <c r="X83" s="1"/>
      <c r="Y83" s="1"/>
      <c r="Z83" s="1"/>
      <c r="AA83" s="1"/>
    </row>
    <row r="84" spans="1:27" ht="15">
      <c r="A84" s="1"/>
      <c r="B84" s="145"/>
      <c r="C84" s="9"/>
      <c r="D84" s="9"/>
      <c r="E84" s="7"/>
      <c r="F84" s="7"/>
      <c r="G84" s="7"/>
      <c r="H84" s="7"/>
      <c r="I84" s="7"/>
      <c r="J84" s="8"/>
      <c r="K84" s="8"/>
      <c r="L84" s="8"/>
      <c r="M84" s="8"/>
      <c r="N84" s="127"/>
      <c r="O84" s="144"/>
      <c r="P84" s="127"/>
      <c r="Q84" s="125"/>
      <c r="R84" s="125"/>
      <c r="S84" s="1"/>
      <c r="T84" s="1"/>
      <c r="U84" s="1"/>
      <c r="V84" s="1"/>
      <c r="W84" s="1"/>
      <c r="X84" s="1"/>
      <c r="Y84" s="1"/>
      <c r="Z84" s="1"/>
      <c r="AA84" s="1"/>
    </row>
    <row r="85" spans="1:27" ht="15">
      <c r="A85" s="1"/>
      <c r="B85" s="145"/>
      <c r="C85" s="9"/>
      <c r="D85" s="9"/>
      <c r="E85" s="7"/>
      <c r="F85" s="7"/>
      <c r="G85" s="7"/>
      <c r="H85" s="7"/>
      <c r="I85" s="7"/>
      <c r="J85" s="8"/>
      <c r="K85" s="8"/>
      <c r="L85" s="8"/>
      <c r="M85" s="8"/>
      <c r="N85" s="127"/>
      <c r="O85" s="144"/>
      <c r="P85" s="127"/>
      <c r="Q85" s="125"/>
      <c r="R85" s="125"/>
      <c r="S85" s="1"/>
      <c r="T85" s="1"/>
      <c r="U85" s="1"/>
      <c r="V85" s="1"/>
      <c r="W85" s="1"/>
      <c r="X85" s="1"/>
      <c r="Y85" s="1"/>
      <c r="Z85" s="1"/>
      <c r="AA85" s="1"/>
    </row>
    <row r="86" spans="1:27" ht="15">
      <c r="A86" s="1"/>
      <c r="B86" s="145"/>
      <c r="C86" s="9"/>
      <c r="D86" s="9"/>
      <c r="E86" s="7"/>
      <c r="F86" s="7"/>
      <c r="G86" s="7"/>
      <c r="H86" s="7"/>
      <c r="I86" s="7"/>
      <c r="J86" s="8"/>
      <c r="K86" s="8"/>
      <c r="L86" s="8"/>
      <c r="M86" s="8"/>
      <c r="N86" s="127"/>
      <c r="O86" s="144"/>
      <c r="P86" s="127"/>
      <c r="Q86" s="125"/>
      <c r="R86" s="125"/>
      <c r="S86" s="1"/>
      <c r="T86" s="1"/>
      <c r="U86" s="1"/>
      <c r="V86" s="1"/>
      <c r="W86" s="1"/>
      <c r="X86" s="1"/>
      <c r="Y86" s="1"/>
      <c r="Z86" s="1"/>
      <c r="AA86" s="1"/>
    </row>
    <row r="87" spans="1:27" ht="15">
      <c r="A87" s="1"/>
      <c r="B87" s="145"/>
      <c r="C87" s="9"/>
      <c r="D87" s="9"/>
      <c r="E87" s="7"/>
      <c r="F87" s="7"/>
      <c r="G87" s="7"/>
      <c r="H87" s="7"/>
      <c r="I87" s="7"/>
      <c r="J87" s="8"/>
      <c r="K87" s="8"/>
      <c r="L87" s="8"/>
      <c r="M87" s="8"/>
      <c r="N87" s="127"/>
      <c r="O87" s="144"/>
      <c r="P87" s="127"/>
      <c r="Q87" s="125"/>
      <c r="R87" s="125"/>
      <c r="S87" s="1"/>
      <c r="T87" s="1"/>
      <c r="U87" s="1"/>
      <c r="V87" s="1"/>
      <c r="W87" s="1"/>
      <c r="X87" s="1"/>
      <c r="Y87" s="1"/>
      <c r="Z87" s="1"/>
      <c r="AA87" s="1"/>
    </row>
    <row r="88" spans="1:27" ht="15">
      <c r="A88" s="1"/>
      <c r="B88" s="145"/>
      <c r="C88" s="9"/>
      <c r="D88" s="9"/>
      <c r="E88" s="7"/>
      <c r="F88" s="7"/>
      <c r="G88" s="7"/>
      <c r="H88" s="7"/>
      <c r="I88" s="7"/>
      <c r="J88" s="8"/>
      <c r="K88" s="8"/>
      <c r="L88" s="8"/>
      <c r="M88" s="8"/>
      <c r="N88" s="127"/>
      <c r="O88" s="144"/>
      <c r="P88" s="127"/>
      <c r="Q88" s="125"/>
      <c r="R88" s="125"/>
      <c r="S88" s="1"/>
      <c r="T88" s="1"/>
      <c r="U88" s="1"/>
      <c r="V88" s="1"/>
      <c r="W88" s="1"/>
      <c r="X88" s="1"/>
      <c r="Y88" s="1"/>
      <c r="Z88" s="1"/>
      <c r="AA88" s="1"/>
    </row>
    <row r="89" spans="1:27" ht="15">
      <c r="A89" s="1"/>
      <c r="B89" s="145"/>
      <c r="C89" s="9"/>
      <c r="D89" s="9"/>
      <c r="E89" s="7"/>
      <c r="F89" s="7"/>
      <c r="G89" s="7"/>
      <c r="H89" s="7"/>
      <c r="I89" s="7"/>
      <c r="J89" s="8"/>
      <c r="K89" s="8"/>
      <c r="L89" s="8"/>
      <c r="M89" s="8"/>
      <c r="N89" s="127"/>
      <c r="O89" s="144"/>
      <c r="P89" s="127"/>
      <c r="Q89" s="125"/>
      <c r="R89" s="125"/>
      <c r="S89" s="1"/>
      <c r="T89" s="1"/>
      <c r="U89" s="1"/>
      <c r="V89" s="1"/>
      <c r="W89" s="1"/>
      <c r="X89" s="1"/>
      <c r="Y89" s="1"/>
      <c r="Z89" s="1"/>
      <c r="AA89" s="1"/>
    </row>
    <row r="90" spans="1:27" ht="15">
      <c r="A90" s="1"/>
      <c r="B90" s="145"/>
      <c r="C90" s="9"/>
      <c r="D90" s="9"/>
      <c r="E90" s="7"/>
      <c r="F90" s="7"/>
      <c r="G90" s="7"/>
      <c r="H90" s="7"/>
      <c r="I90" s="7"/>
      <c r="J90" s="8"/>
      <c r="K90" s="8"/>
      <c r="L90" s="8"/>
      <c r="M90" s="8"/>
      <c r="N90" s="127"/>
      <c r="O90" s="144"/>
      <c r="P90" s="127"/>
      <c r="Q90" s="125"/>
      <c r="R90" s="125"/>
      <c r="S90" s="1"/>
      <c r="T90" s="1"/>
      <c r="U90" s="1"/>
      <c r="V90" s="1"/>
      <c r="W90" s="1"/>
      <c r="X90" s="1"/>
      <c r="Y90" s="1"/>
      <c r="Z90" s="1"/>
      <c r="AA90" s="1"/>
    </row>
    <row r="91" spans="1:27" ht="15">
      <c r="A91" s="1"/>
      <c r="B91" s="145"/>
      <c r="C91" s="9"/>
      <c r="D91" s="9"/>
      <c r="E91" s="7"/>
      <c r="F91" s="7"/>
      <c r="G91" s="7"/>
      <c r="H91" s="7"/>
      <c r="I91" s="7"/>
      <c r="J91" s="8"/>
      <c r="K91" s="8"/>
      <c r="L91" s="8"/>
      <c r="M91" s="8"/>
      <c r="N91" s="127"/>
      <c r="O91" s="144"/>
      <c r="P91" s="127"/>
      <c r="Q91" s="125"/>
      <c r="R91" s="125"/>
      <c r="S91" s="1"/>
      <c r="T91" s="1"/>
      <c r="U91" s="1"/>
      <c r="V91" s="1"/>
      <c r="W91" s="1"/>
      <c r="X91" s="1"/>
      <c r="Y91" s="1"/>
      <c r="Z91" s="1"/>
      <c r="AA91" s="1"/>
    </row>
    <row r="92" spans="1:27" ht="15">
      <c r="A92" s="1"/>
      <c r="B92" s="145"/>
      <c r="C92" s="9"/>
      <c r="D92" s="9"/>
      <c r="E92" s="7"/>
      <c r="F92" s="7"/>
      <c r="G92" s="7"/>
      <c r="H92" s="7"/>
      <c r="I92" s="7"/>
      <c r="J92" s="8"/>
      <c r="K92" s="8"/>
      <c r="L92" s="8"/>
      <c r="M92" s="8"/>
      <c r="N92" s="127"/>
      <c r="O92" s="144"/>
      <c r="P92" s="127"/>
      <c r="Q92" s="125"/>
      <c r="R92" s="125"/>
      <c r="S92" s="1"/>
      <c r="T92" s="1"/>
      <c r="U92" s="1"/>
      <c r="V92" s="1"/>
      <c r="W92" s="1"/>
      <c r="X92" s="1"/>
      <c r="Y92" s="1"/>
      <c r="Z92" s="1"/>
      <c r="AA92" s="1"/>
    </row>
    <row r="93" spans="1:27" ht="15">
      <c r="A93" s="1"/>
      <c r="B93" s="145"/>
      <c r="C93" s="9"/>
      <c r="D93" s="9"/>
      <c r="E93" s="7"/>
      <c r="F93" s="7"/>
      <c r="G93" s="7"/>
      <c r="H93" s="7"/>
      <c r="I93" s="7"/>
      <c r="J93" s="8"/>
      <c r="K93" s="8"/>
      <c r="L93" s="8"/>
      <c r="M93" s="8"/>
      <c r="N93" s="127"/>
      <c r="O93" s="144"/>
      <c r="P93" s="127"/>
      <c r="Q93" s="125"/>
      <c r="R93" s="125"/>
      <c r="S93" s="1"/>
      <c r="T93" s="1"/>
      <c r="U93" s="1"/>
      <c r="V93" s="1"/>
      <c r="W93" s="1"/>
      <c r="X93" s="1"/>
      <c r="Y93" s="1"/>
      <c r="Z93" s="1"/>
      <c r="AA93" s="1"/>
    </row>
    <row r="94" spans="1:27" ht="15">
      <c r="A94" s="1"/>
      <c r="B94" s="145"/>
      <c r="C94" s="9"/>
      <c r="D94" s="9"/>
      <c r="E94" s="7"/>
      <c r="F94" s="7"/>
      <c r="G94" s="7"/>
      <c r="H94" s="7"/>
      <c r="I94" s="7"/>
      <c r="J94" s="8"/>
      <c r="K94" s="8"/>
      <c r="L94" s="8"/>
      <c r="M94" s="8"/>
      <c r="N94" s="127"/>
      <c r="O94" s="144"/>
      <c r="P94" s="127"/>
      <c r="Q94" s="125"/>
      <c r="R94" s="125"/>
      <c r="S94" s="1"/>
      <c r="T94" s="1"/>
      <c r="U94" s="1"/>
      <c r="V94" s="1"/>
      <c r="W94" s="1"/>
      <c r="X94" s="1"/>
      <c r="Y94" s="1"/>
      <c r="Z94" s="1"/>
      <c r="AA94" s="1"/>
    </row>
    <row r="95" spans="1:27" ht="15">
      <c r="A95" s="1"/>
      <c r="B95" s="145"/>
      <c r="C95" s="9"/>
      <c r="D95" s="9"/>
      <c r="E95" s="7"/>
      <c r="F95" s="7"/>
      <c r="G95" s="7"/>
      <c r="H95" s="7"/>
      <c r="I95" s="7"/>
      <c r="J95" s="8"/>
      <c r="K95" s="8"/>
      <c r="L95" s="8"/>
      <c r="M95" s="8"/>
      <c r="N95" s="127"/>
      <c r="O95" s="144"/>
      <c r="P95" s="127"/>
      <c r="Q95" s="125"/>
      <c r="R95" s="125"/>
      <c r="S95" s="1"/>
      <c r="T95" s="1"/>
      <c r="U95" s="1"/>
      <c r="V95" s="1"/>
      <c r="W95" s="1"/>
      <c r="X95" s="1"/>
      <c r="Y95" s="1"/>
      <c r="Z95" s="1"/>
      <c r="AA95" s="1"/>
    </row>
    <row r="96" spans="1:27" ht="15">
      <c r="A96" s="1"/>
      <c r="B96" s="145"/>
      <c r="C96" s="9"/>
      <c r="D96" s="9"/>
      <c r="E96" s="7"/>
      <c r="F96" s="7"/>
      <c r="G96" s="7"/>
      <c r="H96" s="7"/>
      <c r="I96" s="7"/>
      <c r="J96" s="8"/>
      <c r="K96" s="8"/>
      <c r="L96" s="8"/>
      <c r="M96" s="8"/>
      <c r="N96" s="127"/>
      <c r="O96" s="144"/>
      <c r="P96" s="127"/>
      <c r="Q96" s="125"/>
      <c r="R96" s="125"/>
      <c r="S96" s="1"/>
      <c r="T96" s="1"/>
      <c r="U96" s="1"/>
      <c r="V96" s="1"/>
      <c r="W96" s="1"/>
      <c r="X96" s="1"/>
      <c r="Y96" s="1"/>
      <c r="Z96" s="1"/>
      <c r="AA96" s="1"/>
    </row>
    <row r="97" spans="1:27" ht="15">
      <c r="A97" s="1"/>
      <c r="B97" s="145"/>
      <c r="C97" s="9"/>
      <c r="D97" s="9"/>
      <c r="E97" s="7"/>
      <c r="F97" s="7"/>
      <c r="G97" s="7"/>
      <c r="H97" s="7"/>
      <c r="I97" s="7"/>
      <c r="J97" s="8"/>
      <c r="K97" s="8"/>
      <c r="L97" s="8"/>
      <c r="M97" s="8"/>
      <c r="N97" s="127"/>
      <c r="O97" s="144"/>
      <c r="P97" s="127"/>
      <c r="Q97" s="125"/>
      <c r="R97" s="125"/>
      <c r="S97" s="1"/>
      <c r="T97" s="1"/>
      <c r="U97" s="1"/>
      <c r="V97" s="1"/>
      <c r="W97" s="1"/>
      <c r="X97" s="1"/>
      <c r="Y97" s="1"/>
      <c r="Z97" s="1"/>
      <c r="AA97" s="1"/>
    </row>
    <row r="98" spans="1:27" ht="15">
      <c r="A98" s="1"/>
      <c r="B98" s="145"/>
      <c r="C98" s="9"/>
      <c r="D98" s="9"/>
      <c r="E98" s="7"/>
      <c r="F98" s="7"/>
      <c r="G98" s="7"/>
      <c r="H98" s="7"/>
      <c r="I98" s="7"/>
      <c r="J98" s="8"/>
      <c r="K98" s="8"/>
      <c r="L98" s="8"/>
      <c r="M98" s="8"/>
      <c r="N98" s="127"/>
      <c r="O98" s="144"/>
      <c r="P98" s="127"/>
      <c r="Q98" s="125"/>
      <c r="R98" s="125"/>
      <c r="S98" s="1"/>
      <c r="T98" s="1"/>
      <c r="U98" s="1"/>
      <c r="V98" s="1"/>
      <c r="W98" s="1"/>
      <c r="X98" s="1"/>
      <c r="Y98" s="1"/>
      <c r="Z98" s="1"/>
      <c r="AA98" s="1"/>
    </row>
    <row r="99" spans="1:27" ht="15">
      <c r="A99" s="1"/>
      <c r="B99" s="145"/>
      <c r="C99" s="9"/>
      <c r="D99" s="9"/>
      <c r="E99" s="7"/>
      <c r="F99" s="7"/>
      <c r="G99" s="7"/>
      <c r="H99" s="7"/>
      <c r="I99" s="7"/>
      <c r="J99" s="8"/>
      <c r="K99" s="8"/>
      <c r="L99" s="8"/>
      <c r="M99" s="8"/>
      <c r="N99" s="127"/>
      <c r="O99" s="144"/>
      <c r="P99" s="127"/>
      <c r="Q99" s="125"/>
      <c r="R99" s="125"/>
      <c r="S99" s="1"/>
      <c r="T99" s="1"/>
      <c r="U99" s="1"/>
      <c r="V99" s="1"/>
      <c r="W99" s="1"/>
      <c r="X99" s="1"/>
      <c r="Y99" s="1"/>
      <c r="Z99" s="1"/>
      <c r="AA99" s="1"/>
    </row>
    <row r="100" spans="1:27" ht="15">
      <c r="A100" s="1"/>
      <c r="B100" s="145"/>
      <c r="C100" s="9"/>
      <c r="D100" s="9"/>
      <c r="E100" s="7"/>
      <c r="F100" s="7"/>
      <c r="G100" s="7"/>
      <c r="H100" s="7"/>
      <c r="I100" s="7"/>
      <c r="J100" s="8"/>
      <c r="K100" s="8"/>
      <c r="L100" s="8"/>
      <c r="M100" s="8"/>
      <c r="N100" s="127"/>
      <c r="O100" s="144"/>
      <c r="P100" s="127"/>
      <c r="Q100" s="125"/>
      <c r="R100" s="125"/>
      <c r="S100" s="1"/>
      <c r="T100" s="1"/>
      <c r="U100" s="1"/>
      <c r="V100" s="1"/>
      <c r="W100" s="1"/>
      <c r="X100" s="1"/>
      <c r="Y100" s="1"/>
      <c r="Z100" s="1"/>
      <c r="AA100" s="1"/>
    </row>
    <row r="101" spans="1:27" ht="15">
      <c r="A101" s="1"/>
      <c r="B101" s="145"/>
      <c r="C101" s="9"/>
      <c r="D101" s="9"/>
      <c r="E101" s="7"/>
      <c r="F101" s="7"/>
      <c r="G101" s="7"/>
      <c r="H101" s="7"/>
      <c r="I101" s="7"/>
      <c r="J101" s="8"/>
      <c r="K101" s="8"/>
      <c r="L101" s="8"/>
      <c r="M101" s="8"/>
      <c r="N101" s="127"/>
      <c r="O101" s="144"/>
      <c r="P101" s="127"/>
      <c r="Q101" s="125"/>
      <c r="R101" s="125"/>
      <c r="S101" s="1"/>
      <c r="T101" s="1"/>
      <c r="U101" s="1"/>
      <c r="V101" s="1"/>
      <c r="W101" s="1"/>
      <c r="X101" s="1"/>
      <c r="Y101" s="1"/>
      <c r="Z101" s="1"/>
      <c r="AA101" s="1"/>
    </row>
    <row r="102" spans="1:27" ht="15">
      <c r="A102" s="1"/>
      <c r="B102" s="145"/>
      <c r="C102" s="9"/>
      <c r="D102" s="9"/>
      <c r="E102" s="7"/>
      <c r="F102" s="7"/>
      <c r="G102" s="7"/>
      <c r="H102" s="7"/>
      <c r="I102" s="7"/>
      <c r="J102" s="8"/>
      <c r="K102" s="8"/>
      <c r="L102" s="8"/>
      <c r="M102" s="8"/>
      <c r="N102" s="127"/>
      <c r="O102" s="144"/>
      <c r="P102" s="127"/>
      <c r="Q102" s="125"/>
      <c r="R102" s="125"/>
      <c r="S102" s="1"/>
      <c r="T102" s="1"/>
      <c r="U102" s="1"/>
      <c r="V102" s="1"/>
      <c r="W102" s="1"/>
      <c r="X102" s="1"/>
      <c r="Y102" s="1"/>
      <c r="Z102" s="1"/>
      <c r="AA102" s="1"/>
    </row>
    <row r="103" spans="1:27" ht="15">
      <c r="A103" s="1"/>
      <c r="B103" s="145"/>
      <c r="C103" s="9"/>
      <c r="D103" s="9"/>
      <c r="E103" s="7"/>
      <c r="F103" s="7"/>
      <c r="G103" s="7"/>
      <c r="H103" s="7"/>
      <c r="I103" s="7"/>
      <c r="J103" s="8"/>
      <c r="K103" s="8"/>
      <c r="L103" s="8"/>
      <c r="T103" s="1"/>
      <c r="U103" s="1"/>
      <c r="V103" s="1"/>
      <c r="W103" s="1"/>
      <c r="X103" s="1"/>
      <c r="Y103" s="1"/>
      <c r="Z103" s="1"/>
      <c r="AA103" s="1"/>
    </row>
    <row r="104" spans="1:27" ht="15">
      <c r="A104" s="1"/>
      <c r="B104" s="145"/>
      <c r="C104" s="9"/>
      <c r="D104" s="9"/>
      <c r="E104" s="7"/>
      <c r="F104" s="7"/>
      <c r="G104" s="7"/>
      <c r="H104" s="7"/>
      <c r="I104" s="7"/>
      <c r="J104" s="8"/>
      <c r="K104" s="8"/>
      <c r="L104" s="8"/>
      <c r="T104" s="1"/>
      <c r="U104" s="1"/>
      <c r="V104" s="1"/>
      <c r="W104" s="1"/>
      <c r="X104" s="1"/>
      <c r="Y104" s="1"/>
      <c r="Z104" s="1"/>
      <c r="AA104" s="1"/>
    </row>
    <row r="105" spans="1:27" ht="15">
      <c r="A105" s="1"/>
      <c r="B105" s="145"/>
      <c r="C105" s="9"/>
      <c r="D105" s="9"/>
      <c r="E105" s="7"/>
      <c r="F105" s="7"/>
      <c r="G105" s="7"/>
      <c r="H105" s="7"/>
      <c r="I105" s="7"/>
      <c r="J105" s="8"/>
      <c r="K105" s="8"/>
      <c r="L105" s="8"/>
      <c r="T105" s="1"/>
      <c r="U105" s="1"/>
      <c r="V105" s="1"/>
      <c r="W105" s="1"/>
      <c r="X105" s="1"/>
      <c r="Y105" s="1"/>
      <c r="Z105" s="1"/>
      <c r="AA105" s="1"/>
    </row>
    <row r="106" spans="1:27" ht="15">
      <c r="A106" s="1"/>
      <c r="B106" s="145"/>
      <c r="C106" s="9"/>
      <c r="D106" s="9"/>
      <c r="E106" s="7"/>
      <c r="F106" s="7"/>
      <c r="G106" s="7"/>
      <c r="H106" s="7"/>
      <c r="I106" s="7"/>
      <c r="J106" s="8"/>
      <c r="K106" s="8"/>
      <c r="L106" s="8"/>
      <c r="T106" s="1"/>
      <c r="U106" s="1"/>
      <c r="V106" s="1"/>
      <c r="W106" s="1"/>
      <c r="X106" s="1"/>
      <c r="Y106" s="1"/>
      <c r="Z106" s="1"/>
      <c r="AA106" s="1"/>
    </row>
  </sheetData>
  <sheetProtection algorithmName="SHA-512" hashValue="PreFfG2hUZy9Emt26L9lYWIfYTz/WxmmD4VYULm+KrKvaSFZ4gr9sNF5jkEyzue9FUtKx3k30eC+54oVXa6oXw==" saltValue="zFZpP01X97PIjQTPdNVrjg==" spinCount="100000" sheet="1" objects="1" formatRows="0"/>
  <dataConsolidate/>
  <mergeCells count="101">
    <mergeCell ref="J57:L57"/>
    <mergeCell ref="J63:L63"/>
    <mergeCell ref="J67:L67"/>
    <mergeCell ref="I55:I56"/>
    <mergeCell ref="I59:I60"/>
    <mergeCell ref="I61:I62"/>
    <mergeCell ref="J59:L59"/>
    <mergeCell ref="J61:L61"/>
    <mergeCell ref="J65:L65"/>
    <mergeCell ref="B5:E6"/>
    <mergeCell ref="B12:E13"/>
    <mergeCell ref="D11:E11"/>
    <mergeCell ref="C25:C26"/>
    <mergeCell ref="B24:L24"/>
    <mergeCell ref="J22:J23"/>
    <mergeCell ref="F22:F23"/>
    <mergeCell ref="K22:K23"/>
    <mergeCell ref="L22:L23"/>
    <mergeCell ref="G22:G23"/>
    <mergeCell ref="H22:H23"/>
    <mergeCell ref="I22:I23"/>
    <mergeCell ref="E21:L21"/>
    <mergeCell ref="B23:C23"/>
    <mergeCell ref="B20:C20"/>
    <mergeCell ref="E22:E23"/>
    <mergeCell ref="B25:B36"/>
    <mergeCell ref="I69:I70"/>
    <mergeCell ref="I63:I64"/>
    <mergeCell ref="F57:G58"/>
    <mergeCell ref="F63:G64"/>
    <mergeCell ref="F67:G68"/>
    <mergeCell ref="I57:I58"/>
    <mergeCell ref="I65:I66"/>
    <mergeCell ref="C57:C58"/>
    <mergeCell ref="C63:C64"/>
    <mergeCell ref="I67:I68"/>
    <mergeCell ref="C67:C68"/>
    <mergeCell ref="B57:B68"/>
    <mergeCell ref="C59:C60"/>
    <mergeCell ref="C61:C62"/>
    <mergeCell ref="C65:C66"/>
    <mergeCell ref="J69:L70"/>
    <mergeCell ref="M43:S43"/>
    <mergeCell ref="N44:R44"/>
    <mergeCell ref="B52:L52"/>
    <mergeCell ref="I49:I50"/>
    <mergeCell ref="J49:L50"/>
    <mergeCell ref="B37:B46"/>
    <mergeCell ref="Q45:R45"/>
    <mergeCell ref="Q46:R46"/>
    <mergeCell ref="C55:C56"/>
    <mergeCell ref="B53:B56"/>
    <mergeCell ref="B49:C50"/>
    <mergeCell ref="C45:C46"/>
    <mergeCell ref="C39:C40"/>
    <mergeCell ref="N45:O45"/>
    <mergeCell ref="B69:C70"/>
    <mergeCell ref="J55:L55"/>
    <mergeCell ref="F55:F56"/>
    <mergeCell ref="N46:O46"/>
    <mergeCell ref="S44:S45"/>
    <mergeCell ref="C53:C54"/>
    <mergeCell ref="C27:C28"/>
    <mergeCell ref="I53:I54"/>
    <mergeCell ref="J53:L53"/>
    <mergeCell ref="F37:G38"/>
    <mergeCell ref="F39:G40"/>
    <mergeCell ref="F41:G42"/>
    <mergeCell ref="C31:C32"/>
    <mergeCell ref="C29:C30"/>
    <mergeCell ref="C41:C42"/>
    <mergeCell ref="C37:C38"/>
    <mergeCell ref="C35:C36"/>
    <mergeCell ref="C43:C44"/>
    <mergeCell ref="C33:C34"/>
    <mergeCell ref="I35:I36"/>
    <mergeCell ref="I43:I44"/>
    <mergeCell ref="J43:L43"/>
    <mergeCell ref="C47:C48"/>
    <mergeCell ref="J45:L45"/>
    <mergeCell ref="I45:I46"/>
    <mergeCell ref="I47:I48"/>
    <mergeCell ref="N47:O47"/>
    <mergeCell ref="Q47:R47"/>
    <mergeCell ref="M48:R51"/>
    <mergeCell ref="T30:W30"/>
    <mergeCell ref="I27:I28"/>
    <mergeCell ref="I25:I26"/>
    <mergeCell ref="I29:I30"/>
    <mergeCell ref="I31:I32"/>
    <mergeCell ref="M26:S26"/>
    <mergeCell ref="M27:M28"/>
    <mergeCell ref="I39:I40"/>
    <mergeCell ref="I41:I42"/>
    <mergeCell ref="N27:R27"/>
    <mergeCell ref="S27:S28"/>
    <mergeCell ref="I37:I38"/>
    <mergeCell ref="J33:L33"/>
    <mergeCell ref="I33:I34"/>
    <mergeCell ref="S48:S49"/>
    <mergeCell ref="S50:S51"/>
  </mergeCells>
  <phoneticPr fontId="12" type="noConversion"/>
  <conditionalFormatting sqref="C10:E10">
    <cfRule type="cellIs" dxfId="7" priority="10" operator="lessThan">
      <formula>0</formula>
    </cfRule>
    <cfRule type="cellIs" dxfId="6" priority="11" operator="greaterThan">
      <formula>0</formula>
    </cfRule>
  </conditionalFormatting>
  <conditionalFormatting sqref="C17:E17">
    <cfRule type="cellIs" dxfId="5" priority="12" operator="greaterThan">
      <formula>0</formula>
    </cfRule>
    <cfRule type="cellIs" dxfId="4" priority="13" operator="lessThan">
      <formula>0</formula>
    </cfRule>
  </conditionalFormatting>
  <conditionalFormatting sqref="H7:H10">
    <cfRule type="iconSet" priority="60">
      <iconSet showValue="0" reverse="1">
        <cfvo type="percent" val="0"/>
        <cfvo type="num" val="0.05"/>
        <cfvo type="num" val="0.15"/>
      </iconSet>
    </cfRule>
  </conditionalFormatting>
  <conditionalFormatting sqref="O21">
    <cfRule type="iconSet" priority="63">
      <iconSet showValue="0" reverse="1">
        <cfvo type="percent" val="0"/>
        <cfvo type="num" val="0.05"/>
        <cfvo type="num" val="0.15"/>
      </iconSet>
    </cfRule>
  </conditionalFormatting>
  <conditionalFormatting sqref="O22">
    <cfRule type="iconSet" priority="288">
      <iconSet showValue="0" reverse="1">
        <cfvo type="percent" val="0"/>
        <cfvo type="num" val="0.05"/>
        <cfvo type="num" val="0.15"/>
      </iconSet>
    </cfRule>
  </conditionalFormatting>
  <conditionalFormatting sqref="L28">
    <cfRule type="iconSet" priority="294">
      <iconSet showValue="0" reverse="1">
        <cfvo type="percent" val="0"/>
        <cfvo type="num" val="0.1"/>
        <cfvo type="num" val="0.3"/>
      </iconSet>
    </cfRule>
  </conditionalFormatting>
  <conditionalFormatting sqref="L42">
    <cfRule type="iconSet" priority="296">
      <iconSet showValue="0" reverse="1">
        <cfvo type="percent" val="0"/>
        <cfvo type="num" val="0.1"/>
        <cfvo type="num" val="0.3"/>
      </iconSet>
    </cfRule>
    <cfRule type="iconSet" priority="297">
      <iconSet showValue="0" reverse="1">
        <cfvo type="percent" val="0"/>
        <cfvo type="num" val="0.1"/>
        <cfvo type="num" val="0.3"/>
      </iconSet>
    </cfRule>
  </conditionalFormatting>
  <conditionalFormatting sqref="L36:L40">
    <cfRule type="iconSet" priority="329">
      <iconSet showValue="0" reverse="1">
        <cfvo type="percent" val="0"/>
        <cfvo type="num" val="0.1"/>
        <cfvo type="num" val="0.3"/>
      </iconSet>
    </cfRule>
    <cfRule type="iconSet" priority="330">
      <iconSet showValue="0" reverse="1">
        <cfvo type="percent" val="0"/>
        <cfvo type="num" val="0.1"/>
        <cfvo type="num" val="0.3"/>
      </iconSet>
    </cfRule>
  </conditionalFormatting>
  <conditionalFormatting sqref="L54">
    <cfRule type="iconSet" priority="332">
      <iconSet showValue="0" reverse="1">
        <cfvo type="percent" val="0"/>
        <cfvo type="num" val="0.1"/>
        <cfvo type="num" val="0.3"/>
      </iconSet>
    </cfRule>
    <cfRule type="iconSet" priority="333">
      <iconSet showValue="0" reverse="1">
        <cfvo type="percent" val="0"/>
        <cfvo type="num" val="0.1"/>
        <cfvo type="num" val="0.3"/>
      </iconSet>
    </cfRule>
  </conditionalFormatting>
  <conditionalFormatting sqref="L58 L60 L62">
    <cfRule type="iconSet" priority="335">
      <iconSet showValue="0" reverse="1">
        <cfvo type="percent" val="0"/>
        <cfvo type="num" val="0.1"/>
        <cfvo type="num" val="0.3"/>
      </iconSet>
    </cfRule>
    <cfRule type="iconSet" priority="336">
      <iconSet showValue="0" reverse="1">
        <cfvo type="percent" val="0"/>
        <cfvo type="num" val="0.1"/>
        <cfvo type="num" val="0.3"/>
      </iconSet>
    </cfRule>
  </conditionalFormatting>
  <conditionalFormatting sqref="L64 L66">
    <cfRule type="iconSet" priority="338">
      <iconSet showValue="0" reverse="1">
        <cfvo type="percent" val="0"/>
        <cfvo type="num" val="0.1"/>
        <cfvo type="num" val="0.3"/>
      </iconSet>
    </cfRule>
    <cfRule type="iconSet" priority="339">
      <iconSet showValue="0" reverse="1">
        <cfvo type="percent" val="0"/>
        <cfvo type="num" val="0.1"/>
        <cfvo type="num" val="0.3"/>
      </iconSet>
    </cfRule>
  </conditionalFormatting>
  <conditionalFormatting sqref="L68">
    <cfRule type="iconSet" priority="341">
      <iconSet showValue="0" reverse="1">
        <cfvo type="percent" val="0"/>
        <cfvo type="num" val="0.1"/>
        <cfvo type="num" val="0.3"/>
      </iconSet>
    </cfRule>
    <cfRule type="iconSet" priority="342">
      <iconSet showValue="0" reverse="1">
        <cfvo type="percent" val="0"/>
        <cfvo type="num" val="0.1"/>
        <cfvo type="num" val="0.3"/>
      </iconSet>
    </cfRule>
  </conditionalFormatting>
  <dataValidations count="3">
    <dataValidation allowBlank="1" showInputMessage="1" showErrorMessage="1" errorTitle="סיבה לא מוכרת" sqref="L39 L26 L28 L37"/>
    <dataValidation type="whole" allowBlank="1" showInputMessage="1" showErrorMessage="1" errorTitle="ערך לא נכון" error="יש להכניס מספר שלם בלבד!" sqref="N29:R30 E53:G68 P46:R47 N46:N47">
      <formula1>0</formula1>
      <formula2>1000000</formula2>
    </dataValidation>
    <dataValidation type="whole" allowBlank="1" showInputMessage="1" showErrorMessage="1" errorTitle="ערך לא נכון" error="יש להכניס מספר שלם בלבד!" sqref="E25:G50">
      <formula1>0</formula1>
      <formula2>100000000</formula2>
    </dataValidation>
  </dataValidations>
  <hyperlinks>
    <hyperlink ref="C25:C26" location="'מאגר השירותים'!B12" display="קהילה תומכת"/>
    <hyperlink ref="C27:C28" location="'מאגר השירותים'!B17" display="מרכזי היום"/>
    <hyperlink ref="C29:C30" location="'מאגר השירותים'!B13" display="מועדון מופת"/>
    <hyperlink ref="C31:C32" location="'מאגר השירותים'!B14" display="מועדון מועשר"/>
    <hyperlink ref="C35:C36" location="'מאגר השירותים'!B15" display="נופשונים"/>
    <hyperlink ref="C37:C38" location="'מאגר השירותים'!B19" display="מניעת התעללות והזנחה"/>
    <hyperlink ref="C39:C40" location="'מאגר השירותים'!B20" display="תוכניות לשם: הפגת בדידות וקידום שייכות, מניעת סיכון, שימור ושיפור תפקוד"/>
    <hyperlink ref="C41:C42" location="'מאגר השירותים'!B18" display="בני משפחה מטפלים"/>
    <hyperlink ref="C53:C54" location="'מאגר השירותים'!B26" display="קהילה תומכת ניצולי שואה"/>
    <hyperlink ref="C55:C56" location="'מאגר השירותים'!B25" display="מופ&quot;ת ניצולי שואה"/>
    <hyperlink ref="C57:C58" location="'מאגר השירותים'!B27" display="מועדון נצל&quot;ש (קפה אירופה, קפה בריטניה, בתים חמים וכדו')"/>
    <hyperlink ref="C63:C64" location="'מאגר השירותים'!B30" display="הפגת בדידות בסופ&quot;ש"/>
    <hyperlink ref="C43:C44" location="'מאגר השירותים'!B21" display="מוקד שייכות"/>
    <hyperlink ref="C61:C62" location="'מאגר השירותים'!B29" display="הפגות לניצולי שואה"/>
    <hyperlink ref="C33:C34" location="'מאגר השירותים'!B16" display="תוכנית מז&quot;ל"/>
    <hyperlink ref="C45:C46" location="'מאגר השירותים'!B22" display="סל תכנון בגישה קהילתית"/>
    <hyperlink ref="C47:C48" location="'מאגר השירותים'!B23" display="חרבות ברזל"/>
    <hyperlink ref="C59:C60" location="'מאגר השירותים'!B28" display="סל&quot;ב"/>
    <hyperlink ref="C65:C66" location="'מאגר השירותים'!B31" display="תוכניות לשם: הפגת בדידות וקידום שייכות, מניעת סיכון, שימור ושיפור תפקוד"/>
    <hyperlink ref="C67:C68" location="'מאגר השירותים'!B32" display="מרותקי בית נצלש"/>
  </hyperlinks>
  <pageMargins left="0.7" right="0.7" top="0.75" bottom="0.75" header="0.3" footer="0.3"/>
  <pageSetup paperSize="9" scale="55" orientation="portrait" r:id="rId1"/>
  <ignoredErrors>
    <ignoredError sqref="S29:S30 S46:S47" formulaRange="1"/>
    <ignoredError sqref="K36 J36 K41:K42 J41:J42 K39:K40 J39:J40 K37:K38 J37:J38" evalError="1"/>
  </ignoredErrors>
  <drawing r:id="rId2"/>
  <extLst>
    <ext xmlns:x14="http://schemas.microsoft.com/office/spreadsheetml/2009/9/main" uri="{78C0D931-6437-407d-A8EE-F0AAD7539E65}">
      <x14:conditionalFormattings>
        <x14:conditionalFormatting xmlns:xm="http://schemas.microsoft.com/office/excel/2006/main">
          <x14:cfRule type="iconSet" priority="289" id="{4007B128-5172-4BD6-80C2-3BE2F3D821B7}">
            <x14:iconSet iconSet="4Arrows" custom="1">
              <x14:cfvo type="percent">
                <xm:f>0</xm:f>
              </x14:cfvo>
              <x14:cfvo type="num">
                <xm:f>0.75</xm:f>
              </x14:cfvo>
              <x14:cfvo type="num">
                <xm:f>1</xm:f>
              </x14:cfvo>
              <x14:cfvo type="num">
                <xm:f>1.25</xm:f>
              </x14:cfvo>
              <x14:cfIcon iconSet="3ArrowsGray" iconId="0"/>
              <x14:cfIcon iconSet="4ArrowsGray" iconId="1"/>
              <x14:cfIcon iconSet="4ArrowsGray" iconId="2"/>
              <x14:cfIcon iconSet="3ArrowsGray" iconId="2"/>
            </x14:iconSet>
          </x14:cfRule>
          <xm:sqref>J71:L106</xm:sqref>
        </x14:conditionalFormatting>
        <x14:conditionalFormatting xmlns:xm="http://schemas.microsoft.com/office/excel/2006/main">
          <x14:cfRule type="iconSet" priority="343" id="{00000000-000E-0000-0200-0000F6000000}">
            <x14:iconSet iconSet="5Quarters" showValue="0" custom="1">
              <x14:cfvo type="percent">
                <xm:f>0</xm:f>
              </x14:cfvo>
              <x14:cfvo type="num">
                <xm:f>0.7</xm:f>
              </x14:cfvo>
              <x14:cfvo type="num">
                <xm:f>0.85</xm:f>
              </x14:cfvo>
              <x14:cfvo type="num" gte="0">
                <xm:f>1</xm:f>
              </x14:cfvo>
              <x14:cfvo type="num">
                <xm:f>1.3</xm:f>
              </x14:cfvo>
              <x14:cfIcon iconSet="3TrafficLights1" iconId="0"/>
              <x14:cfIcon iconSet="3TrafficLights1" iconId="1"/>
              <x14:cfIcon iconSet="3TrafficLights1" iconId="2"/>
              <x14:cfIcon iconSet="3TrafficLights1" iconId="1"/>
              <x14:cfIcon iconSet="3TrafficLights1" iconId="0"/>
            </x14:iconSet>
          </x14:cfRule>
          <xm:sqref>K68 K64 K58 K56 K54 K30 K28 K26 K32 K36 K38 K40 K42 K60 K62 K66 K34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299"/>
  <sheetViews>
    <sheetView rightToLeft="1" workbookViewId="0">
      <selection activeCell="D11" sqref="D11"/>
    </sheetView>
  </sheetViews>
  <sheetFormatPr defaultRowHeight="14.25"/>
  <cols>
    <col min="1" max="1" width="26.375" bestFit="1" customWidth="1"/>
    <col min="2" max="2" width="6.75" bestFit="1" customWidth="1"/>
    <col min="3" max="3" width="4.875" bestFit="1" customWidth="1"/>
    <col min="5" max="5" width="26.375" bestFit="1" customWidth="1"/>
    <col min="6" max="6" width="9.75" bestFit="1" customWidth="1"/>
    <col min="7" max="7" width="9.875" bestFit="1" customWidth="1"/>
    <col min="8" max="8" width="9.75" bestFit="1" customWidth="1"/>
    <col min="10" max="10" width="9.875" customWidth="1"/>
    <col min="11" max="11" width="21.125" bestFit="1" customWidth="1"/>
    <col min="12" max="12" width="22.125" customWidth="1"/>
    <col min="15" max="15" width="14.125" customWidth="1"/>
  </cols>
  <sheetData>
    <row r="1" spans="1:12" ht="15">
      <c r="A1" s="702" t="s">
        <v>55</v>
      </c>
      <c r="B1" s="703"/>
      <c r="C1" s="704"/>
      <c r="E1" s="702" t="s">
        <v>56</v>
      </c>
      <c r="F1" s="703"/>
      <c r="G1" s="703"/>
      <c r="H1" s="704"/>
      <c r="J1" s="702" t="s">
        <v>57</v>
      </c>
      <c r="K1" s="703"/>
      <c r="L1" s="704"/>
    </row>
    <row r="2" spans="1:12" ht="15">
      <c r="A2" s="408" t="s">
        <v>15</v>
      </c>
      <c r="B2" s="460">
        <v>2024</v>
      </c>
      <c r="C2" s="410">
        <v>2025</v>
      </c>
      <c r="E2" s="408" t="s">
        <v>15</v>
      </c>
      <c r="F2" s="460" t="s">
        <v>255</v>
      </c>
      <c r="G2" s="460" t="s">
        <v>256</v>
      </c>
      <c r="H2" s="410" t="s">
        <v>257</v>
      </c>
      <c r="J2" s="411"/>
      <c r="K2" s="409">
        <v>2021</v>
      </c>
      <c r="L2" s="410">
        <v>2022</v>
      </c>
    </row>
    <row r="3" spans="1:12">
      <c r="A3" s="411" t="s">
        <v>8</v>
      </c>
      <c r="B3" s="461">
        <f>'תכנון תקציבי'!E25</f>
        <v>305</v>
      </c>
      <c r="C3" s="104">
        <f>'תכנון תקציבי'!E26</f>
        <v>12</v>
      </c>
      <c r="E3" s="411" t="s">
        <v>8</v>
      </c>
      <c r="F3" s="461">
        <f>'תכנון תקציבי'!I25</f>
        <v>302850</v>
      </c>
      <c r="G3" s="461"/>
      <c r="H3" s="104">
        <f>'תכנון תקציבי'!H26</f>
        <v>19872</v>
      </c>
      <c r="J3" s="411" t="s">
        <v>29</v>
      </c>
      <c r="K3">
        <v>200000</v>
      </c>
      <c r="L3" s="104">
        <v>2097186</v>
      </c>
    </row>
    <row r="4" spans="1:12" ht="15" thickBot="1">
      <c r="A4" s="411" t="s">
        <v>17</v>
      </c>
      <c r="B4" s="461">
        <f>'תכנון תקציבי'!E27</f>
        <v>0</v>
      </c>
      <c r="C4" s="104">
        <f>'תכנון תקציבי'!E28</f>
        <v>0</v>
      </c>
      <c r="E4" s="411" t="s">
        <v>17</v>
      </c>
      <c r="F4" s="461">
        <f>'תכנון תקציבי'!I27</f>
        <v>177557</v>
      </c>
      <c r="G4" s="461"/>
      <c r="H4" s="104">
        <f>'תכנון תקציבי'!H28</f>
        <v>0</v>
      </c>
      <c r="J4" s="412" t="s">
        <v>14</v>
      </c>
      <c r="K4" s="112">
        <v>150000</v>
      </c>
      <c r="L4" s="108">
        <v>2433658</v>
      </c>
    </row>
    <row r="5" spans="1:12">
      <c r="A5" s="411" t="s">
        <v>18</v>
      </c>
      <c r="B5" s="461">
        <f>'תכנון תקציבי'!E29</f>
        <v>102</v>
      </c>
      <c r="C5" s="104">
        <f>'תכנון תקציבי'!E30</f>
        <v>0</v>
      </c>
      <c r="E5" s="411" t="s">
        <v>18</v>
      </c>
      <c r="F5" s="461">
        <f>'תכנון תקציבי'!I29</f>
        <v>642436</v>
      </c>
      <c r="G5" s="461"/>
      <c r="H5" s="104">
        <f>'תכנון תקציבי'!H30</f>
        <v>0</v>
      </c>
    </row>
    <row r="6" spans="1:12" ht="15" thickBot="1">
      <c r="A6" s="411" t="s">
        <v>7</v>
      </c>
      <c r="B6" s="461">
        <f>'תכנון תקציבי'!E31</f>
        <v>0</v>
      </c>
      <c r="C6" s="104">
        <f>'תכנון תקציבי'!E32</f>
        <v>0</v>
      </c>
      <c r="E6" s="411" t="s">
        <v>7</v>
      </c>
      <c r="F6" s="461">
        <f>'תכנון תקציבי'!I31</f>
        <v>876905</v>
      </c>
      <c r="G6" s="461"/>
      <c r="H6" s="104">
        <f>'תכנון תקציבי'!H32</f>
        <v>0</v>
      </c>
    </row>
    <row r="7" spans="1:12" ht="15">
      <c r="A7" s="411" t="s">
        <v>1537</v>
      </c>
      <c r="B7" s="461">
        <f>'תכנון תקציבי'!E33</f>
        <v>300</v>
      </c>
      <c r="C7" s="104">
        <f>'תכנון תקציבי'!E34</f>
        <v>20</v>
      </c>
      <c r="E7" s="411" t="s">
        <v>1537</v>
      </c>
      <c r="F7" s="461">
        <f>'תכנון תקציבי'!H33</f>
        <v>5700</v>
      </c>
      <c r="G7" s="461" cm="1">
        <f t="array" ref="G7:G8">'תכנון תקציבי'!I33:I34</f>
        <v>0</v>
      </c>
      <c r="H7" s="104">
        <f>'תכנון תקציבי'!H34</f>
        <v>0</v>
      </c>
      <c r="J7" s="702" t="s">
        <v>58</v>
      </c>
      <c r="K7" s="703"/>
      <c r="L7" s="704"/>
    </row>
    <row r="8" spans="1:12" ht="15" thickBot="1">
      <c r="A8" s="412" t="s">
        <v>9</v>
      </c>
      <c r="B8" s="112">
        <f>'תכנון תקציבי'!E35</f>
        <v>2</v>
      </c>
      <c r="C8" s="108">
        <f>'תכנון תקציבי'!E36</f>
        <v>0</v>
      </c>
      <c r="E8" s="412" t="s">
        <v>9</v>
      </c>
      <c r="F8" s="112">
        <f>'תכנון תקציבי'!I35</f>
        <v>97673</v>
      </c>
      <c r="G8" s="112">
        <v>0</v>
      </c>
      <c r="H8" s="108">
        <f>'תכנון תקציבי'!H36</f>
        <v>0</v>
      </c>
      <c r="J8" s="411"/>
      <c r="K8">
        <v>2023</v>
      </c>
      <c r="L8" s="104">
        <v>2024</v>
      </c>
    </row>
    <row r="9" spans="1:12">
      <c r="A9" s="461"/>
      <c r="B9" s="461"/>
      <c r="C9" s="461"/>
      <c r="E9" s="461"/>
      <c r="F9" s="461"/>
      <c r="G9" s="461"/>
      <c r="H9" s="461"/>
      <c r="J9" s="411" t="s">
        <v>29</v>
      </c>
      <c r="K9">
        <v>2621483</v>
      </c>
      <c r="L9" s="104">
        <v>2621483</v>
      </c>
    </row>
    <row r="10" spans="1:12" ht="15" thickBot="1">
      <c r="A10" s="461"/>
      <c r="B10" s="461"/>
      <c r="C10" s="461"/>
      <c r="E10" s="461"/>
      <c r="F10" s="461"/>
      <c r="G10" s="461"/>
      <c r="H10" s="461"/>
      <c r="J10" s="412" t="s">
        <v>59</v>
      </c>
      <c r="K10" s="425">
        <f>K9-L3</f>
        <v>524297</v>
      </c>
      <c r="L10" s="426">
        <f>L9-L3</f>
        <v>524297</v>
      </c>
    </row>
    <row r="11" spans="1:12">
      <c r="A11" s="461"/>
      <c r="B11" s="461"/>
      <c r="C11" s="461"/>
      <c r="E11" s="461"/>
      <c r="F11" s="461"/>
      <c r="G11" s="461"/>
      <c r="H11" s="461"/>
    </row>
    <row r="12" spans="1:12">
      <c r="A12" s="461"/>
      <c r="B12" s="461"/>
      <c r="C12" s="461"/>
      <c r="E12" s="461"/>
      <c r="F12" s="461"/>
      <c r="G12" s="461"/>
      <c r="H12" s="461"/>
    </row>
    <row r="13" spans="1:12">
      <c r="A13" s="461"/>
      <c r="B13" s="461"/>
      <c r="C13" s="461"/>
      <c r="E13" s="461"/>
      <c r="F13" s="461"/>
      <c r="G13" s="461"/>
      <c r="H13" s="461"/>
    </row>
    <row r="14" spans="1:12" ht="15" thickBot="1"/>
    <row r="15" spans="1:12" ht="15.75" thickBot="1">
      <c r="J15" s="702" t="s">
        <v>62</v>
      </c>
      <c r="K15" s="703"/>
      <c r="L15" s="704"/>
    </row>
    <row r="16" spans="1:12" ht="15">
      <c r="A16" s="702" t="s">
        <v>60</v>
      </c>
      <c r="B16" s="703"/>
      <c r="C16" s="704"/>
      <c r="E16" s="702" t="s">
        <v>61</v>
      </c>
      <c r="F16" s="703"/>
      <c r="G16" s="703"/>
      <c r="H16" s="704"/>
      <c r="J16" s="411"/>
      <c r="K16" s="409">
        <v>2023</v>
      </c>
      <c r="L16" s="410">
        <v>2024</v>
      </c>
    </row>
    <row r="17" spans="1:12" ht="15">
      <c r="A17" s="408" t="s">
        <v>15</v>
      </c>
      <c r="B17" s="460">
        <v>2024</v>
      </c>
      <c r="C17" s="410">
        <v>2025</v>
      </c>
      <c r="E17" s="408" t="s">
        <v>15</v>
      </c>
      <c r="F17" s="460" t="s">
        <v>255</v>
      </c>
      <c r="G17" s="460" t="s">
        <v>256</v>
      </c>
      <c r="H17" s="410" t="s">
        <v>257</v>
      </c>
      <c r="J17" s="411" t="s">
        <v>29</v>
      </c>
      <c r="K17">
        <v>200000</v>
      </c>
      <c r="L17" s="104">
        <v>1333200</v>
      </c>
    </row>
    <row r="18" spans="1:12" ht="15" thickBot="1">
      <c r="A18" s="411" t="s">
        <v>24</v>
      </c>
      <c r="B18" s="461">
        <f>'תכנון תקציבי'!E53</f>
        <v>868</v>
      </c>
      <c r="C18" s="104">
        <f>'תכנון תקציבי'!E54</f>
        <v>0</v>
      </c>
      <c r="E18" s="411" t="s">
        <v>24</v>
      </c>
      <c r="F18" s="461">
        <f>'תכנון תקציבי'!I53</f>
        <v>1310435</v>
      </c>
      <c r="G18" s="461"/>
      <c r="H18" s="104">
        <f>'תכנון תקציבי'!H54</f>
        <v>0</v>
      </c>
      <c r="J18" s="412" t="s">
        <v>14</v>
      </c>
      <c r="K18" s="112">
        <v>150000</v>
      </c>
      <c r="L18" s="108">
        <v>2233564</v>
      </c>
    </row>
    <row r="19" spans="1:12" ht="15" thickBot="1">
      <c r="A19" s="412" t="s">
        <v>25</v>
      </c>
      <c r="B19" s="112">
        <f>'תכנון תקציבי'!E55</f>
        <v>51</v>
      </c>
      <c r="C19" s="108">
        <f>'תכנון תקציבי'!E56</f>
        <v>0</v>
      </c>
      <c r="E19" s="412" t="s">
        <v>25</v>
      </c>
      <c r="F19" s="112">
        <f>'תכנון תקציבי'!I55</f>
        <v>530067</v>
      </c>
      <c r="G19" s="112"/>
      <c r="H19" s="108">
        <f>'תכנון תקציבי'!H56</f>
        <v>0</v>
      </c>
    </row>
    <row r="20" spans="1:12" ht="15">
      <c r="A20" s="462"/>
      <c r="B20" s="461"/>
      <c r="C20" s="461"/>
      <c r="E20" s="462"/>
      <c r="F20" s="461"/>
      <c r="G20" s="461"/>
      <c r="H20" s="461"/>
      <c r="J20" s="702" t="s">
        <v>63</v>
      </c>
      <c r="K20" s="703"/>
      <c r="L20" s="704"/>
    </row>
    <row r="21" spans="1:12">
      <c r="A21" s="461"/>
      <c r="B21" s="461"/>
      <c r="C21" s="461"/>
      <c r="E21" s="461"/>
      <c r="F21" s="461"/>
      <c r="G21" s="461"/>
      <c r="H21" s="461"/>
      <c r="J21" s="411"/>
      <c r="K21">
        <v>2023</v>
      </c>
      <c r="L21" s="104">
        <v>2024</v>
      </c>
    </row>
    <row r="22" spans="1:12">
      <c r="A22" s="461"/>
      <c r="B22" s="461"/>
      <c r="C22" s="461"/>
      <c r="E22" s="461"/>
      <c r="F22" s="461"/>
      <c r="G22" s="461"/>
      <c r="H22" s="461"/>
      <c r="J22" s="411" t="s">
        <v>29</v>
      </c>
      <c r="K22" s="427">
        <v>2333200</v>
      </c>
      <c r="L22" s="428">
        <v>2233200</v>
      </c>
    </row>
    <row r="23" spans="1:12" ht="15" thickBot="1">
      <c r="J23" s="412" t="s">
        <v>59</v>
      </c>
      <c r="K23" s="429">
        <f>K22-L17</f>
        <v>1000000</v>
      </c>
      <c r="L23" s="430">
        <f>L22-L17</f>
        <v>900000</v>
      </c>
    </row>
    <row r="25" spans="1:12" ht="15" thickBot="1"/>
    <row r="26" spans="1:12" ht="15">
      <c r="A26" s="478" t="s">
        <v>1536</v>
      </c>
    </row>
    <row r="27" spans="1:12">
      <c r="A27" s="479" t="s">
        <v>263</v>
      </c>
    </row>
    <row r="28" spans="1:12">
      <c r="A28" s="479" t="s">
        <v>264</v>
      </c>
    </row>
    <row r="29" spans="1:12">
      <c r="A29" s="479" t="s">
        <v>265</v>
      </c>
    </row>
    <row r="30" spans="1:12">
      <c r="A30" s="479" t="s">
        <v>266</v>
      </c>
    </row>
    <row r="31" spans="1:12">
      <c r="A31" s="479" t="s">
        <v>267</v>
      </c>
    </row>
    <row r="32" spans="1:12">
      <c r="A32" s="479" t="s">
        <v>268</v>
      </c>
    </row>
    <row r="33" spans="1:1">
      <c r="A33" s="479" t="s">
        <v>269</v>
      </c>
    </row>
    <row r="34" spans="1:1">
      <c r="A34" s="479" t="s">
        <v>270</v>
      </c>
    </row>
    <row r="35" spans="1:1">
      <c r="A35" s="479" t="s">
        <v>271</v>
      </c>
    </row>
    <row r="36" spans="1:1">
      <c r="A36" s="479" t="s">
        <v>272</v>
      </c>
    </row>
    <row r="37" spans="1:1">
      <c r="A37" s="479" t="s">
        <v>273</v>
      </c>
    </row>
    <row r="38" spans="1:1">
      <c r="A38" s="479" t="s">
        <v>274</v>
      </c>
    </row>
    <row r="39" spans="1:1">
      <c r="A39" s="479" t="s">
        <v>275</v>
      </c>
    </row>
    <row r="40" spans="1:1">
      <c r="A40" s="479" t="s">
        <v>276</v>
      </c>
    </row>
    <row r="41" spans="1:1">
      <c r="A41" s="479" t="s">
        <v>277</v>
      </c>
    </row>
    <row r="42" spans="1:1">
      <c r="A42" s="479" t="s">
        <v>278</v>
      </c>
    </row>
    <row r="43" spans="1:1">
      <c r="A43" s="479" t="s">
        <v>279</v>
      </c>
    </row>
    <row r="44" spans="1:1">
      <c r="A44" s="479" t="s">
        <v>280</v>
      </c>
    </row>
    <row r="45" spans="1:1">
      <c r="A45" s="479" t="s">
        <v>281</v>
      </c>
    </row>
    <row r="46" spans="1:1">
      <c r="A46" s="479" t="s">
        <v>282</v>
      </c>
    </row>
    <row r="47" spans="1:1">
      <c r="A47" s="479" t="s">
        <v>283</v>
      </c>
    </row>
    <row r="48" spans="1:1">
      <c r="A48" s="479" t="s">
        <v>284</v>
      </c>
    </row>
    <row r="49" spans="1:1">
      <c r="A49" s="479" t="s">
        <v>285</v>
      </c>
    </row>
    <row r="50" spans="1:1">
      <c r="A50" s="479" t="s">
        <v>286</v>
      </c>
    </row>
    <row r="51" spans="1:1">
      <c r="A51" s="479" t="s">
        <v>287</v>
      </c>
    </row>
    <row r="52" spans="1:1">
      <c r="A52" s="479" t="s">
        <v>288</v>
      </c>
    </row>
    <row r="53" spans="1:1">
      <c r="A53" s="479" t="s">
        <v>289</v>
      </c>
    </row>
    <row r="54" spans="1:1">
      <c r="A54" s="479" t="s">
        <v>290</v>
      </c>
    </row>
    <row r="55" spans="1:1">
      <c r="A55" s="479" t="s">
        <v>291</v>
      </c>
    </row>
    <row r="56" spans="1:1">
      <c r="A56" s="479" t="s">
        <v>292</v>
      </c>
    </row>
    <row r="57" spans="1:1">
      <c r="A57" s="479" t="s">
        <v>293</v>
      </c>
    </row>
    <row r="58" spans="1:1">
      <c r="A58" s="479" t="s">
        <v>294</v>
      </c>
    </row>
    <row r="59" spans="1:1">
      <c r="A59" s="479" t="s">
        <v>295</v>
      </c>
    </row>
    <row r="60" spans="1:1">
      <c r="A60" s="479" t="s">
        <v>296</v>
      </c>
    </row>
    <row r="61" spans="1:1">
      <c r="A61" s="479" t="s">
        <v>297</v>
      </c>
    </row>
    <row r="62" spans="1:1">
      <c r="A62" s="479" t="s">
        <v>298</v>
      </c>
    </row>
    <row r="63" spans="1:1">
      <c r="A63" s="479" t="s">
        <v>299</v>
      </c>
    </row>
    <row r="64" spans="1:1">
      <c r="A64" s="479" t="s">
        <v>300</v>
      </c>
    </row>
    <row r="65" spans="1:1">
      <c r="A65" s="479" t="s">
        <v>301</v>
      </c>
    </row>
    <row r="66" spans="1:1">
      <c r="A66" s="479" t="s">
        <v>302</v>
      </c>
    </row>
    <row r="67" spans="1:1">
      <c r="A67" s="479" t="s">
        <v>303</v>
      </c>
    </row>
    <row r="68" spans="1:1">
      <c r="A68" s="479" t="s">
        <v>304</v>
      </c>
    </row>
    <row r="69" spans="1:1">
      <c r="A69" s="479" t="s">
        <v>305</v>
      </c>
    </row>
    <row r="70" spans="1:1">
      <c r="A70" s="479" t="s">
        <v>306</v>
      </c>
    </row>
    <row r="71" spans="1:1">
      <c r="A71" s="479" t="s">
        <v>307</v>
      </c>
    </row>
    <row r="72" spans="1:1">
      <c r="A72" s="479" t="s">
        <v>308</v>
      </c>
    </row>
    <row r="73" spans="1:1">
      <c r="A73" s="479" t="s">
        <v>309</v>
      </c>
    </row>
    <row r="74" spans="1:1">
      <c r="A74" s="479" t="s">
        <v>310</v>
      </c>
    </row>
    <row r="75" spans="1:1">
      <c r="A75" s="479" t="s">
        <v>311</v>
      </c>
    </row>
    <row r="76" spans="1:1">
      <c r="A76" s="479" t="s">
        <v>312</v>
      </c>
    </row>
    <row r="77" spans="1:1">
      <c r="A77" s="479" t="s">
        <v>313</v>
      </c>
    </row>
    <row r="78" spans="1:1">
      <c r="A78" s="479" t="s">
        <v>314</v>
      </c>
    </row>
    <row r="79" spans="1:1">
      <c r="A79" s="479" t="s">
        <v>315</v>
      </c>
    </row>
    <row r="80" spans="1:1">
      <c r="A80" s="479" t="s">
        <v>316</v>
      </c>
    </row>
    <row r="81" spans="1:1">
      <c r="A81" s="479" t="s">
        <v>317</v>
      </c>
    </row>
    <row r="82" spans="1:1">
      <c r="A82" s="479" t="s">
        <v>318</v>
      </c>
    </row>
    <row r="83" spans="1:1">
      <c r="A83" s="479" t="s">
        <v>319</v>
      </c>
    </row>
    <row r="84" spans="1:1">
      <c r="A84" s="479" t="s">
        <v>320</v>
      </c>
    </row>
    <row r="85" spans="1:1">
      <c r="A85" s="479" t="s">
        <v>321</v>
      </c>
    </row>
    <row r="86" spans="1:1">
      <c r="A86" s="479" t="s">
        <v>322</v>
      </c>
    </row>
    <row r="87" spans="1:1">
      <c r="A87" s="479" t="s">
        <v>323</v>
      </c>
    </row>
    <row r="88" spans="1:1">
      <c r="A88" s="479" t="s">
        <v>324</v>
      </c>
    </row>
    <row r="89" spans="1:1">
      <c r="A89" s="479" t="s">
        <v>325</v>
      </c>
    </row>
    <row r="90" spans="1:1">
      <c r="A90" s="479" t="s">
        <v>326</v>
      </c>
    </row>
    <row r="91" spans="1:1">
      <c r="A91" s="479" t="s">
        <v>327</v>
      </c>
    </row>
    <row r="92" spans="1:1">
      <c r="A92" s="479" t="s">
        <v>328</v>
      </c>
    </row>
    <row r="93" spans="1:1">
      <c r="A93" s="479" t="s">
        <v>329</v>
      </c>
    </row>
    <row r="94" spans="1:1">
      <c r="A94" s="479" t="s">
        <v>330</v>
      </c>
    </row>
    <row r="95" spans="1:1">
      <c r="A95" s="479" t="s">
        <v>331</v>
      </c>
    </row>
    <row r="96" spans="1:1">
      <c r="A96" s="479" t="s">
        <v>332</v>
      </c>
    </row>
    <row r="97" spans="1:1">
      <c r="A97" s="479" t="s">
        <v>333</v>
      </c>
    </row>
    <row r="98" spans="1:1">
      <c r="A98" s="479" t="s">
        <v>334</v>
      </c>
    </row>
    <row r="99" spans="1:1">
      <c r="A99" s="479" t="s">
        <v>335</v>
      </c>
    </row>
    <row r="100" spans="1:1">
      <c r="A100" s="479" t="s">
        <v>336</v>
      </c>
    </row>
    <row r="101" spans="1:1">
      <c r="A101" s="479" t="s">
        <v>337</v>
      </c>
    </row>
    <row r="102" spans="1:1">
      <c r="A102" s="479" t="s">
        <v>338</v>
      </c>
    </row>
    <row r="103" spans="1:1">
      <c r="A103" s="479" t="s">
        <v>339</v>
      </c>
    </row>
    <row r="104" spans="1:1">
      <c r="A104" s="479" t="s">
        <v>340</v>
      </c>
    </row>
    <row r="105" spans="1:1">
      <c r="A105" s="479" t="s">
        <v>341</v>
      </c>
    </row>
    <row r="106" spans="1:1">
      <c r="A106" s="479" t="s">
        <v>342</v>
      </c>
    </row>
    <row r="107" spans="1:1">
      <c r="A107" s="479" t="s">
        <v>343</v>
      </c>
    </row>
    <row r="108" spans="1:1">
      <c r="A108" s="479" t="s">
        <v>344</v>
      </c>
    </row>
    <row r="109" spans="1:1">
      <c r="A109" s="479" t="s">
        <v>345</v>
      </c>
    </row>
    <row r="110" spans="1:1">
      <c r="A110" s="479" t="s">
        <v>346</v>
      </c>
    </row>
    <row r="111" spans="1:1">
      <c r="A111" s="479" t="s">
        <v>347</v>
      </c>
    </row>
    <row r="112" spans="1:1">
      <c r="A112" s="479" t="s">
        <v>348</v>
      </c>
    </row>
    <row r="113" spans="1:1">
      <c r="A113" s="479" t="s">
        <v>349</v>
      </c>
    </row>
    <row r="114" spans="1:1">
      <c r="A114" s="479" t="s">
        <v>350</v>
      </c>
    </row>
    <row r="115" spans="1:1">
      <c r="A115" s="479" t="s">
        <v>351</v>
      </c>
    </row>
    <row r="116" spans="1:1">
      <c r="A116" s="479" t="s">
        <v>352</v>
      </c>
    </row>
    <row r="117" spans="1:1">
      <c r="A117" s="479" t="s">
        <v>353</v>
      </c>
    </row>
    <row r="118" spans="1:1">
      <c r="A118" s="479" t="s">
        <v>354</v>
      </c>
    </row>
    <row r="119" spans="1:1">
      <c r="A119" s="479" t="s">
        <v>355</v>
      </c>
    </row>
    <row r="120" spans="1:1">
      <c r="A120" s="479" t="s">
        <v>356</v>
      </c>
    </row>
    <row r="121" spans="1:1">
      <c r="A121" s="479" t="s">
        <v>357</v>
      </c>
    </row>
    <row r="122" spans="1:1">
      <c r="A122" s="479" t="s">
        <v>358</v>
      </c>
    </row>
    <row r="123" spans="1:1">
      <c r="A123" s="479" t="s">
        <v>359</v>
      </c>
    </row>
    <row r="124" spans="1:1">
      <c r="A124" s="479" t="s">
        <v>360</v>
      </c>
    </row>
    <row r="125" spans="1:1">
      <c r="A125" s="479" t="s">
        <v>361</v>
      </c>
    </row>
    <row r="126" spans="1:1">
      <c r="A126" s="479" t="s">
        <v>362</v>
      </c>
    </row>
    <row r="127" spans="1:1">
      <c r="A127" s="479" t="s">
        <v>363</v>
      </c>
    </row>
    <row r="128" spans="1:1">
      <c r="A128" s="479" t="s">
        <v>364</v>
      </c>
    </row>
    <row r="129" spans="1:1">
      <c r="A129" s="479" t="s">
        <v>365</v>
      </c>
    </row>
    <row r="130" spans="1:1">
      <c r="A130" s="479" t="s">
        <v>366</v>
      </c>
    </row>
    <row r="131" spans="1:1">
      <c r="A131" s="479" t="s">
        <v>367</v>
      </c>
    </row>
    <row r="132" spans="1:1">
      <c r="A132" s="479" t="s">
        <v>368</v>
      </c>
    </row>
    <row r="133" spans="1:1">
      <c r="A133" s="479" t="s">
        <v>369</v>
      </c>
    </row>
    <row r="134" spans="1:1">
      <c r="A134" s="479" t="s">
        <v>370</v>
      </c>
    </row>
    <row r="135" spans="1:1">
      <c r="A135" s="479" t="s">
        <v>371</v>
      </c>
    </row>
    <row r="136" spans="1:1">
      <c r="A136" s="479" t="s">
        <v>372</v>
      </c>
    </row>
    <row r="137" spans="1:1">
      <c r="A137" s="479" t="s">
        <v>373</v>
      </c>
    </row>
    <row r="138" spans="1:1">
      <c r="A138" s="479" t="s">
        <v>374</v>
      </c>
    </row>
    <row r="139" spans="1:1">
      <c r="A139" s="479" t="s">
        <v>375</v>
      </c>
    </row>
    <row r="140" spans="1:1">
      <c r="A140" s="479" t="s">
        <v>376</v>
      </c>
    </row>
    <row r="141" spans="1:1">
      <c r="A141" s="479" t="s">
        <v>377</v>
      </c>
    </row>
    <row r="142" spans="1:1">
      <c r="A142" s="479" t="s">
        <v>378</v>
      </c>
    </row>
    <row r="143" spans="1:1">
      <c r="A143" s="479" t="s">
        <v>379</v>
      </c>
    </row>
    <row r="144" spans="1:1">
      <c r="A144" s="479" t="s">
        <v>380</v>
      </c>
    </row>
    <row r="145" spans="1:1">
      <c r="A145" s="479" t="s">
        <v>381</v>
      </c>
    </row>
    <row r="146" spans="1:1">
      <c r="A146" s="479" t="s">
        <v>382</v>
      </c>
    </row>
    <row r="147" spans="1:1">
      <c r="A147" s="479" t="s">
        <v>383</v>
      </c>
    </row>
    <row r="148" spans="1:1">
      <c r="A148" s="479" t="s">
        <v>384</v>
      </c>
    </row>
    <row r="149" spans="1:1">
      <c r="A149" s="479" t="s">
        <v>385</v>
      </c>
    </row>
    <row r="150" spans="1:1">
      <c r="A150" s="479" t="s">
        <v>386</v>
      </c>
    </row>
    <row r="151" spans="1:1">
      <c r="A151" s="479" t="s">
        <v>387</v>
      </c>
    </row>
    <row r="152" spans="1:1">
      <c r="A152" s="479" t="s">
        <v>388</v>
      </c>
    </row>
    <row r="153" spans="1:1">
      <c r="A153" s="479" t="s">
        <v>389</v>
      </c>
    </row>
    <row r="154" spans="1:1">
      <c r="A154" s="479" t="s">
        <v>390</v>
      </c>
    </row>
    <row r="155" spans="1:1">
      <c r="A155" s="479" t="s">
        <v>391</v>
      </c>
    </row>
    <row r="156" spans="1:1">
      <c r="A156" s="479" t="s">
        <v>392</v>
      </c>
    </row>
    <row r="157" spans="1:1">
      <c r="A157" s="479" t="s">
        <v>393</v>
      </c>
    </row>
    <row r="158" spans="1:1">
      <c r="A158" s="479" t="s">
        <v>394</v>
      </c>
    </row>
    <row r="159" spans="1:1">
      <c r="A159" s="479" t="s">
        <v>395</v>
      </c>
    </row>
    <row r="160" spans="1:1">
      <c r="A160" s="479" t="s">
        <v>396</v>
      </c>
    </row>
    <row r="161" spans="1:1">
      <c r="A161" s="479" t="s">
        <v>397</v>
      </c>
    </row>
    <row r="162" spans="1:1">
      <c r="A162" s="479" t="s">
        <v>398</v>
      </c>
    </row>
    <row r="163" spans="1:1">
      <c r="A163" s="479" t="s">
        <v>399</v>
      </c>
    </row>
    <row r="164" spans="1:1">
      <c r="A164" s="479" t="s">
        <v>400</v>
      </c>
    </row>
    <row r="165" spans="1:1">
      <c r="A165" s="479" t="s">
        <v>401</v>
      </c>
    </row>
    <row r="166" spans="1:1">
      <c r="A166" s="479" t="s">
        <v>402</v>
      </c>
    </row>
    <row r="167" spans="1:1">
      <c r="A167" s="479" t="s">
        <v>403</v>
      </c>
    </row>
    <row r="168" spans="1:1">
      <c r="A168" s="479" t="s">
        <v>404</v>
      </c>
    </row>
    <row r="169" spans="1:1">
      <c r="A169" s="479" t="s">
        <v>405</v>
      </c>
    </row>
    <row r="170" spans="1:1">
      <c r="A170" s="479" t="s">
        <v>406</v>
      </c>
    </row>
    <row r="171" spans="1:1">
      <c r="A171" s="479" t="s">
        <v>407</v>
      </c>
    </row>
    <row r="172" spans="1:1">
      <c r="A172" s="479" t="s">
        <v>408</v>
      </c>
    </row>
    <row r="173" spans="1:1">
      <c r="A173" s="479" t="s">
        <v>409</v>
      </c>
    </row>
    <row r="174" spans="1:1">
      <c r="A174" s="479" t="s">
        <v>410</v>
      </c>
    </row>
    <row r="175" spans="1:1">
      <c r="A175" s="479" t="s">
        <v>411</v>
      </c>
    </row>
    <row r="176" spans="1:1">
      <c r="A176" s="479" t="s">
        <v>412</v>
      </c>
    </row>
    <row r="177" spans="1:1">
      <c r="A177" s="479" t="s">
        <v>413</v>
      </c>
    </row>
    <row r="178" spans="1:1">
      <c r="A178" s="479" t="s">
        <v>414</v>
      </c>
    </row>
    <row r="179" spans="1:1">
      <c r="A179" s="479" t="s">
        <v>415</v>
      </c>
    </row>
    <row r="180" spans="1:1">
      <c r="A180" s="479" t="s">
        <v>416</v>
      </c>
    </row>
    <row r="181" spans="1:1">
      <c r="A181" s="479" t="s">
        <v>417</v>
      </c>
    </row>
    <row r="182" spans="1:1">
      <c r="A182" s="479" t="s">
        <v>418</v>
      </c>
    </row>
    <row r="183" spans="1:1">
      <c r="A183" s="479" t="s">
        <v>419</v>
      </c>
    </row>
    <row r="184" spans="1:1">
      <c r="A184" s="479" t="s">
        <v>420</v>
      </c>
    </row>
    <row r="185" spans="1:1">
      <c r="A185" s="479" t="s">
        <v>421</v>
      </c>
    </row>
    <row r="186" spans="1:1">
      <c r="A186" s="479" t="s">
        <v>422</v>
      </c>
    </row>
    <row r="187" spans="1:1">
      <c r="A187" s="479" t="s">
        <v>423</v>
      </c>
    </row>
    <row r="188" spans="1:1">
      <c r="A188" s="479" t="s">
        <v>424</v>
      </c>
    </row>
    <row r="189" spans="1:1">
      <c r="A189" s="479" t="s">
        <v>425</v>
      </c>
    </row>
    <row r="190" spans="1:1">
      <c r="A190" s="479" t="s">
        <v>426</v>
      </c>
    </row>
    <row r="191" spans="1:1">
      <c r="A191" s="479" t="s">
        <v>427</v>
      </c>
    </row>
    <row r="192" spans="1:1">
      <c r="A192" s="479" t="s">
        <v>428</v>
      </c>
    </row>
    <row r="193" spans="1:1">
      <c r="A193" s="479" t="s">
        <v>429</v>
      </c>
    </row>
    <row r="194" spans="1:1">
      <c r="A194" s="479" t="s">
        <v>430</v>
      </c>
    </row>
    <row r="195" spans="1:1">
      <c r="A195" s="479" t="s">
        <v>431</v>
      </c>
    </row>
    <row r="196" spans="1:1">
      <c r="A196" s="479" t="s">
        <v>432</v>
      </c>
    </row>
    <row r="197" spans="1:1">
      <c r="A197" s="479" t="s">
        <v>433</v>
      </c>
    </row>
    <row r="198" spans="1:1">
      <c r="A198" s="479" t="s">
        <v>434</v>
      </c>
    </row>
    <row r="199" spans="1:1">
      <c r="A199" s="479" t="s">
        <v>435</v>
      </c>
    </row>
    <row r="200" spans="1:1">
      <c r="A200" s="479" t="s">
        <v>436</v>
      </c>
    </row>
    <row r="201" spans="1:1">
      <c r="A201" s="479" t="s">
        <v>437</v>
      </c>
    </row>
    <row r="202" spans="1:1">
      <c r="A202" s="479" t="s">
        <v>438</v>
      </c>
    </row>
    <row r="203" spans="1:1">
      <c r="A203" s="479" t="s">
        <v>439</v>
      </c>
    </row>
    <row r="204" spans="1:1">
      <c r="A204" s="479" t="s">
        <v>440</v>
      </c>
    </row>
    <row r="205" spans="1:1">
      <c r="A205" s="479" t="s">
        <v>441</v>
      </c>
    </row>
    <row r="206" spans="1:1">
      <c r="A206" s="479" t="s">
        <v>442</v>
      </c>
    </row>
    <row r="207" spans="1:1">
      <c r="A207" s="479" t="s">
        <v>443</v>
      </c>
    </row>
    <row r="208" spans="1:1">
      <c r="A208" s="479" t="s">
        <v>444</v>
      </c>
    </row>
    <row r="209" spans="1:1">
      <c r="A209" s="479" t="s">
        <v>445</v>
      </c>
    </row>
    <row r="210" spans="1:1">
      <c r="A210" s="479" t="s">
        <v>446</v>
      </c>
    </row>
    <row r="211" spans="1:1">
      <c r="A211" s="479" t="s">
        <v>447</v>
      </c>
    </row>
    <row r="212" spans="1:1">
      <c r="A212" s="479" t="s">
        <v>448</v>
      </c>
    </row>
    <row r="213" spans="1:1">
      <c r="A213" s="479" t="s">
        <v>449</v>
      </c>
    </row>
    <row r="214" spans="1:1">
      <c r="A214" s="479" t="s">
        <v>450</v>
      </c>
    </row>
    <row r="215" spans="1:1">
      <c r="A215" s="479" t="s">
        <v>451</v>
      </c>
    </row>
    <row r="216" spans="1:1">
      <c r="A216" s="479" t="s">
        <v>452</v>
      </c>
    </row>
    <row r="217" spans="1:1">
      <c r="A217" s="479" t="s">
        <v>453</v>
      </c>
    </row>
    <row r="218" spans="1:1">
      <c r="A218" s="479" t="s">
        <v>454</v>
      </c>
    </row>
    <row r="219" spans="1:1">
      <c r="A219" s="479" t="s">
        <v>455</v>
      </c>
    </row>
    <row r="220" spans="1:1">
      <c r="A220" s="479" t="s">
        <v>456</v>
      </c>
    </row>
    <row r="221" spans="1:1">
      <c r="A221" s="479" t="s">
        <v>457</v>
      </c>
    </row>
    <row r="222" spans="1:1">
      <c r="A222" s="479" t="s">
        <v>458</v>
      </c>
    </row>
    <row r="223" spans="1:1">
      <c r="A223" s="479" t="s">
        <v>459</v>
      </c>
    </row>
    <row r="224" spans="1:1">
      <c r="A224" s="479" t="s">
        <v>460</v>
      </c>
    </row>
    <row r="225" spans="1:1">
      <c r="A225" s="479" t="s">
        <v>461</v>
      </c>
    </row>
    <row r="226" spans="1:1">
      <c r="A226" s="479" t="s">
        <v>462</v>
      </c>
    </row>
    <row r="227" spans="1:1">
      <c r="A227" s="479" t="s">
        <v>463</v>
      </c>
    </row>
    <row r="228" spans="1:1">
      <c r="A228" s="479" t="s">
        <v>464</v>
      </c>
    </row>
    <row r="229" spans="1:1">
      <c r="A229" s="479" t="s">
        <v>465</v>
      </c>
    </row>
    <row r="230" spans="1:1">
      <c r="A230" s="479" t="s">
        <v>466</v>
      </c>
    </row>
    <row r="231" spans="1:1">
      <c r="A231" s="479" t="s">
        <v>467</v>
      </c>
    </row>
    <row r="232" spans="1:1">
      <c r="A232" s="479" t="s">
        <v>468</v>
      </c>
    </row>
    <row r="233" spans="1:1">
      <c r="A233" s="479" t="s">
        <v>469</v>
      </c>
    </row>
    <row r="234" spans="1:1">
      <c r="A234" s="479" t="s">
        <v>470</v>
      </c>
    </row>
    <row r="235" spans="1:1">
      <c r="A235" s="479" t="s">
        <v>471</v>
      </c>
    </row>
    <row r="236" spans="1:1">
      <c r="A236" s="479" t="s">
        <v>472</v>
      </c>
    </row>
    <row r="237" spans="1:1">
      <c r="A237" s="479" t="s">
        <v>473</v>
      </c>
    </row>
    <row r="238" spans="1:1">
      <c r="A238" s="479" t="s">
        <v>474</v>
      </c>
    </row>
    <row r="239" spans="1:1">
      <c r="A239" s="479" t="s">
        <v>475</v>
      </c>
    </row>
    <row r="240" spans="1:1">
      <c r="A240" s="479" t="s">
        <v>476</v>
      </c>
    </row>
    <row r="241" spans="1:1">
      <c r="A241" s="479" t="s">
        <v>477</v>
      </c>
    </row>
    <row r="242" spans="1:1">
      <c r="A242" s="479" t="s">
        <v>478</v>
      </c>
    </row>
    <row r="243" spans="1:1">
      <c r="A243" s="479" t="s">
        <v>479</v>
      </c>
    </row>
    <row r="244" spans="1:1">
      <c r="A244" s="479" t="s">
        <v>480</v>
      </c>
    </row>
    <row r="245" spans="1:1">
      <c r="A245" s="479" t="s">
        <v>481</v>
      </c>
    </row>
    <row r="246" spans="1:1">
      <c r="A246" s="479" t="s">
        <v>482</v>
      </c>
    </row>
    <row r="247" spans="1:1">
      <c r="A247" s="479" t="s">
        <v>483</v>
      </c>
    </row>
    <row r="248" spans="1:1">
      <c r="A248" s="479" t="s">
        <v>484</v>
      </c>
    </row>
    <row r="249" spans="1:1">
      <c r="A249" s="479" t="s">
        <v>485</v>
      </c>
    </row>
    <row r="250" spans="1:1">
      <c r="A250" s="479" t="s">
        <v>486</v>
      </c>
    </row>
    <row r="251" spans="1:1">
      <c r="A251" s="479" t="s">
        <v>487</v>
      </c>
    </row>
    <row r="252" spans="1:1">
      <c r="A252" s="479" t="s">
        <v>488</v>
      </c>
    </row>
    <row r="253" spans="1:1">
      <c r="A253" s="479" t="s">
        <v>489</v>
      </c>
    </row>
    <row r="254" spans="1:1">
      <c r="A254" s="479" t="s">
        <v>490</v>
      </c>
    </row>
    <row r="255" spans="1:1">
      <c r="A255" s="479" t="s">
        <v>491</v>
      </c>
    </row>
    <row r="256" spans="1:1">
      <c r="A256" s="479" t="s">
        <v>492</v>
      </c>
    </row>
    <row r="257" spans="1:1">
      <c r="A257" s="479" t="s">
        <v>493</v>
      </c>
    </row>
    <row r="258" spans="1:1">
      <c r="A258" s="479" t="s">
        <v>494</v>
      </c>
    </row>
    <row r="259" spans="1:1">
      <c r="A259" s="479" t="s">
        <v>495</v>
      </c>
    </row>
    <row r="260" spans="1:1">
      <c r="A260" s="479" t="s">
        <v>496</v>
      </c>
    </row>
    <row r="261" spans="1:1">
      <c r="A261" s="479" t="s">
        <v>497</v>
      </c>
    </row>
    <row r="262" spans="1:1">
      <c r="A262" s="479" t="s">
        <v>498</v>
      </c>
    </row>
    <row r="263" spans="1:1">
      <c r="A263" s="479" t="s">
        <v>499</v>
      </c>
    </row>
    <row r="264" spans="1:1">
      <c r="A264" s="479" t="s">
        <v>500</v>
      </c>
    </row>
    <row r="265" spans="1:1">
      <c r="A265" s="479" t="s">
        <v>501</v>
      </c>
    </row>
    <row r="266" spans="1:1">
      <c r="A266" s="479" t="s">
        <v>502</v>
      </c>
    </row>
    <row r="267" spans="1:1">
      <c r="A267" s="479" t="s">
        <v>503</v>
      </c>
    </row>
    <row r="268" spans="1:1">
      <c r="A268" s="479" t="s">
        <v>504</v>
      </c>
    </row>
    <row r="269" spans="1:1">
      <c r="A269" s="479" t="s">
        <v>505</v>
      </c>
    </row>
    <row r="270" spans="1:1">
      <c r="A270" s="479" t="s">
        <v>506</v>
      </c>
    </row>
    <row r="271" spans="1:1">
      <c r="A271" s="479" t="s">
        <v>507</v>
      </c>
    </row>
    <row r="272" spans="1:1">
      <c r="A272" s="479" t="s">
        <v>508</v>
      </c>
    </row>
    <row r="273" spans="1:1">
      <c r="A273" s="479" t="s">
        <v>509</v>
      </c>
    </row>
    <row r="274" spans="1:1">
      <c r="A274" s="479" t="s">
        <v>510</v>
      </c>
    </row>
    <row r="275" spans="1:1">
      <c r="A275" s="479" t="s">
        <v>511</v>
      </c>
    </row>
    <row r="276" spans="1:1">
      <c r="A276" s="479" t="s">
        <v>512</v>
      </c>
    </row>
    <row r="277" spans="1:1">
      <c r="A277" s="479" t="s">
        <v>513</v>
      </c>
    </row>
    <row r="278" spans="1:1">
      <c r="A278" s="479" t="s">
        <v>514</v>
      </c>
    </row>
    <row r="279" spans="1:1">
      <c r="A279" s="479" t="s">
        <v>515</v>
      </c>
    </row>
    <row r="280" spans="1:1">
      <c r="A280" s="479" t="s">
        <v>516</v>
      </c>
    </row>
    <row r="281" spans="1:1">
      <c r="A281" s="479" t="s">
        <v>517</v>
      </c>
    </row>
    <row r="282" spans="1:1">
      <c r="A282" s="479" t="s">
        <v>518</v>
      </c>
    </row>
    <row r="283" spans="1:1">
      <c r="A283" s="479" t="s">
        <v>519</v>
      </c>
    </row>
    <row r="284" spans="1:1">
      <c r="A284" s="479" t="s">
        <v>520</v>
      </c>
    </row>
    <row r="285" spans="1:1">
      <c r="A285" s="479" t="s">
        <v>521</v>
      </c>
    </row>
    <row r="286" spans="1:1">
      <c r="A286" s="479" t="s">
        <v>522</v>
      </c>
    </row>
    <row r="287" spans="1:1">
      <c r="A287" s="479" t="s">
        <v>523</v>
      </c>
    </row>
    <row r="288" spans="1:1">
      <c r="A288" s="479" t="s">
        <v>524</v>
      </c>
    </row>
    <row r="289" spans="1:1">
      <c r="A289" s="479" t="s">
        <v>525</v>
      </c>
    </row>
    <row r="290" spans="1:1">
      <c r="A290" s="479" t="s">
        <v>526</v>
      </c>
    </row>
    <row r="291" spans="1:1">
      <c r="A291" s="479" t="s">
        <v>527</v>
      </c>
    </row>
    <row r="292" spans="1:1">
      <c r="A292" s="479" t="s">
        <v>528</v>
      </c>
    </row>
    <row r="293" spans="1:1">
      <c r="A293" s="479" t="s">
        <v>529</v>
      </c>
    </row>
    <row r="294" spans="1:1">
      <c r="A294" s="479" t="s">
        <v>530</v>
      </c>
    </row>
    <row r="295" spans="1:1">
      <c r="A295" s="479" t="s">
        <v>531</v>
      </c>
    </row>
    <row r="296" spans="1:1">
      <c r="A296" s="479" t="s">
        <v>532</v>
      </c>
    </row>
    <row r="297" spans="1:1">
      <c r="A297" s="479" t="s">
        <v>533</v>
      </c>
    </row>
    <row r="298" spans="1:1">
      <c r="A298" s="479" t="s">
        <v>534</v>
      </c>
    </row>
    <row r="299" spans="1:1">
      <c r="A299" s="479" t="s">
        <v>535</v>
      </c>
    </row>
    <row r="300" spans="1:1">
      <c r="A300" s="479" t="s">
        <v>536</v>
      </c>
    </row>
    <row r="301" spans="1:1">
      <c r="A301" s="479" t="s">
        <v>537</v>
      </c>
    </row>
    <row r="302" spans="1:1">
      <c r="A302" s="479" t="s">
        <v>538</v>
      </c>
    </row>
    <row r="303" spans="1:1">
      <c r="A303" s="479" t="s">
        <v>539</v>
      </c>
    </row>
    <row r="304" spans="1:1">
      <c r="A304" s="479" t="s">
        <v>540</v>
      </c>
    </row>
    <row r="305" spans="1:1">
      <c r="A305" s="479" t="s">
        <v>541</v>
      </c>
    </row>
    <row r="306" spans="1:1">
      <c r="A306" s="479" t="s">
        <v>542</v>
      </c>
    </row>
    <row r="307" spans="1:1">
      <c r="A307" s="479" t="s">
        <v>543</v>
      </c>
    </row>
    <row r="308" spans="1:1">
      <c r="A308" s="479" t="s">
        <v>544</v>
      </c>
    </row>
    <row r="309" spans="1:1">
      <c r="A309" s="479" t="s">
        <v>545</v>
      </c>
    </row>
    <row r="310" spans="1:1">
      <c r="A310" s="479" t="s">
        <v>546</v>
      </c>
    </row>
    <row r="311" spans="1:1">
      <c r="A311" s="479" t="s">
        <v>547</v>
      </c>
    </row>
    <row r="312" spans="1:1">
      <c r="A312" s="479" t="s">
        <v>548</v>
      </c>
    </row>
    <row r="313" spans="1:1">
      <c r="A313" s="479" t="s">
        <v>549</v>
      </c>
    </row>
    <row r="314" spans="1:1">
      <c r="A314" s="479" t="s">
        <v>550</v>
      </c>
    </row>
    <row r="315" spans="1:1">
      <c r="A315" s="479" t="s">
        <v>551</v>
      </c>
    </row>
    <row r="316" spans="1:1">
      <c r="A316" s="479" t="s">
        <v>552</v>
      </c>
    </row>
    <row r="317" spans="1:1">
      <c r="A317" s="479" t="s">
        <v>553</v>
      </c>
    </row>
    <row r="318" spans="1:1">
      <c r="A318" s="479" t="s">
        <v>554</v>
      </c>
    </row>
    <row r="319" spans="1:1">
      <c r="A319" s="479" t="s">
        <v>555</v>
      </c>
    </row>
    <row r="320" spans="1:1">
      <c r="A320" s="479" t="s">
        <v>556</v>
      </c>
    </row>
    <row r="321" spans="1:1">
      <c r="A321" s="479" t="s">
        <v>557</v>
      </c>
    </row>
    <row r="322" spans="1:1">
      <c r="A322" s="479" t="s">
        <v>558</v>
      </c>
    </row>
    <row r="323" spans="1:1">
      <c r="A323" s="479" t="s">
        <v>559</v>
      </c>
    </row>
    <row r="324" spans="1:1">
      <c r="A324" s="479" t="s">
        <v>560</v>
      </c>
    </row>
    <row r="325" spans="1:1">
      <c r="A325" s="479" t="s">
        <v>561</v>
      </c>
    </row>
    <row r="326" spans="1:1">
      <c r="A326" s="479" t="s">
        <v>562</v>
      </c>
    </row>
    <row r="327" spans="1:1">
      <c r="A327" s="479" t="s">
        <v>563</v>
      </c>
    </row>
    <row r="328" spans="1:1">
      <c r="A328" s="479" t="s">
        <v>564</v>
      </c>
    </row>
    <row r="329" spans="1:1">
      <c r="A329" s="479" t="s">
        <v>565</v>
      </c>
    </row>
    <row r="330" spans="1:1">
      <c r="A330" s="479" t="s">
        <v>566</v>
      </c>
    </row>
    <row r="331" spans="1:1">
      <c r="A331" s="479" t="s">
        <v>567</v>
      </c>
    </row>
    <row r="332" spans="1:1">
      <c r="A332" s="479" t="s">
        <v>568</v>
      </c>
    </row>
    <row r="333" spans="1:1">
      <c r="A333" s="479" t="s">
        <v>569</v>
      </c>
    </row>
    <row r="334" spans="1:1">
      <c r="A334" s="479" t="s">
        <v>570</v>
      </c>
    </row>
    <row r="335" spans="1:1">
      <c r="A335" s="479" t="s">
        <v>571</v>
      </c>
    </row>
    <row r="336" spans="1:1">
      <c r="A336" s="479" t="s">
        <v>572</v>
      </c>
    </row>
    <row r="337" spans="1:1">
      <c r="A337" s="479" t="s">
        <v>573</v>
      </c>
    </row>
    <row r="338" spans="1:1">
      <c r="A338" s="479" t="s">
        <v>574</v>
      </c>
    </row>
    <row r="339" spans="1:1">
      <c r="A339" s="479" t="s">
        <v>575</v>
      </c>
    </row>
    <row r="340" spans="1:1">
      <c r="A340" s="479" t="s">
        <v>576</v>
      </c>
    </row>
    <row r="341" spans="1:1">
      <c r="A341" s="479" t="s">
        <v>577</v>
      </c>
    </row>
    <row r="342" spans="1:1">
      <c r="A342" s="479" t="s">
        <v>578</v>
      </c>
    </row>
    <row r="343" spans="1:1">
      <c r="A343" s="479" t="s">
        <v>579</v>
      </c>
    </row>
    <row r="344" spans="1:1">
      <c r="A344" s="479" t="s">
        <v>580</v>
      </c>
    </row>
    <row r="345" spans="1:1">
      <c r="A345" s="479" t="s">
        <v>581</v>
      </c>
    </row>
    <row r="346" spans="1:1">
      <c r="A346" s="479" t="s">
        <v>582</v>
      </c>
    </row>
    <row r="347" spans="1:1">
      <c r="A347" s="479" t="s">
        <v>583</v>
      </c>
    </row>
    <row r="348" spans="1:1">
      <c r="A348" s="479" t="s">
        <v>584</v>
      </c>
    </row>
    <row r="349" spans="1:1">
      <c r="A349" s="479" t="s">
        <v>585</v>
      </c>
    </row>
    <row r="350" spans="1:1">
      <c r="A350" s="479" t="s">
        <v>586</v>
      </c>
    </row>
    <row r="351" spans="1:1">
      <c r="A351" s="479" t="s">
        <v>587</v>
      </c>
    </row>
    <row r="352" spans="1:1">
      <c r="A352" s="479" t="s">
        <v>588</v>
      </c>
    </row>
    <row r="353" spans="1:1">
      <c r="A353" s="479" t="s">
        <v>589</v>
      </c>
    </row>
    <row r="354" spans="1:1">
      <c r="A354" s="479" t="s">
        <v>590</v>
      </c>
    </row>
    <row r="355" spans="1:1">
      <c r="A355" s="479" t="s">
        <v>591</v>
      </c>
    </row>
    <row r="356" spans="1:1">
      <c r="A356" s="479" t="s">
        <v>592</v>
      </c>
    </row>
    <row r="357" spans="1:1">
      <c r="A357" s="479" t="s">
        <v>593</v>
      </c>
    </row>
    <row r="358" spans="1:1">
      <c r="A358" s="479" t="s">
        <v>594</v>
      </c>
    </row>
    <row r="359" spans="1:1">
      <c r="A359" s="479" t="s">
        <v>595</v>
      </c>
    </row>
    <row r="360" spans="1:1">
      <c r="A360" s="479" t="s">
        <v>596</v>
      </c>
    </row>
    <row r="361" spans="1:1">
      <c r="A361" s="479" t="s">
        <v>597</v>
      </c>
    </row>
    <row r="362" spans="1:1">
      <c r="A362" s="479" t="s">
        <v>598</v>
      </c>
    </row>
    <row r="363" spans="1:1">
      <c r="A363" s="479" t="s">
        <v>599</v>
      </c>
    </row>
    <row r="364" spans="1:1">
      <c r="A364" s="479" t="s">
        <v>600</v>
      </c>
    </row>
    <row r="365" spans="1:1">
      <c r="A365" s="479" t="s">
        <v>601</v>
      </c>
    </row>
    <row r="366" spans="1:1">
      <c r="A366" s="479" t="s">
        <v>602</v>
      </c>
    </row>
    <row r="367" spans="1:1">
      <c r="A367" s="479" t="s">
        <v>603</v>
      </c>
    </row>
    <row r="368" spans="1:1">
      <c r="A368" s="479" t="s">
        <v>604</v>
      </c>
    </row>
    <row r="369" spans="1:1">
      <c r="A369" s="479" t="s">
        <v>605</v>
      </c>
    </row>
    <row r="370" spans="1:1">
      <c r="A370" s="479" t="s">
        <v>606</v>
      </c>
    </row>
    <row r="371" spans="1:1">
      <c r="A371" s="479" t="s">
        <v>607</v>
      </c>
    </row>
    <row r="372" spans="1:1">
      <c r="A372" s="479" t="s">
        <v>608</v>
      </c>
    </row>
    <row r="373" spans="1:1">
      <c r="A373" s="479" t="s">
        <v>609</v>
      </c>
    </row>
    <row r="374" spans="1:1">
      <c r="A374" s="479" t="s">
        <v>610</v>
      </c>
    </row>
    <row r="375" spans="1:1">
      <c r="A375" s="479" t="s">
        <v>611</v>
      </c>
    </row>
    <row r="376" spans="1:1">
      <c r="A376" s="479" t="s">
        <v>612</v>
      </c>
    </row>
    <row r="377" spans="1:1">
      <c r="A377" s="479" t="s">
        <v>613</v>
      </c>
    </row>
    <row r="378" spans="1:1">
      <c r="A378" s="479" t="s">
        <v>614</v>
      </c>
    </row>
    <row r="379" spans="1:1">
      <c r="A379" s="479" t="s">
        <v>615</v>
      </c>
    </row>
    <row r="380" spans="1:1">
      <c r="A380" s="479" t="s">
        <v>616</v>
      </c>
    </row>
    <row r="381" spans="1:1">
      <c r="A381" s="479" t="s">
        <v>617</v>
      </c>
    </row>
    <row r="382" spans="1:1">
      <c r="A382" s="479" t="s">
        <v>618</v>
      </c>
    </row>
    <row r="383" spans="1:1">
      <c r="A383" s="479" t="s">
        <v>619</v>
      </c>
    </row>
    <row r="384" spans="1:1">
      <c r="A384" s="479" t="s">
        <v>620</v>
      </c>
    </row>
    <row r="385" spans="1:1">
      <c r="A385" s="479" t="s">
        <v>621</v>
      </c>
    </row>
    <row r="386" spans="1:1">
      <c r="A386" s="479" t="s">
        <v>622</v>
      </c>
    </row>
    <row r="387" spans="1:1">
      <c r="A387" s="479" t="s">
        <v>623</v>
      </c>
    </row>
    <row r="388" spans="1:1">
      <c r="A388" s="479" t="s">
        <v>624</v>
      </c>
    </row>
    <row r="389" spans="1:1">
      <c r="A389" s="479" t="s">
        <v>625</v>
      </c>
    </row>
    <row r="390" spans="1:1">
      <c r="A390" s="479" t="s">
        <v>626</v>
      </c>
    </row>
    <row r="391" spans="1:1">
      <c r="A391" s="479" t="s">
        <v>627</v>
      </c>
    </row>
    <row r="392" spans="1:1">
      <c r="A392" s="479" t="s">
        <v>628</v>
      </c>
    </row>
    <row r="393" spans="1:1">
      <c r="A393" s="479" t="s">
        <v>629</v>
      </c>
    </row>
    <row r="394" spans="1:1">
      <c r="A394" s="479" t="s">
        <v>630</v>
      </c>
    </row>
    <row r="395" spans="1:1">
      <c r="A395" s="479" t="s">
        <v>631</v>
      </c>
    </row>
    <row r="396" spans="1:1">
      <c r="A396" s="479" t="s">
        <v>632</v>
      </c>
    </row>
    <row r="397" spans="1:1">
      <c r="A397" s="479" t="s">
        <v>633</v>
      </c>
    </row>
    <row r="398" spans="1:1">
      <c r="A398" s="479" t="s">
        <v>634</v>
      </c>
    </row>
    <row r="399" spans="1:1">
      <c r="A399" s="479" t="s">
        <v>635</v>
      </c>
    </row>
    <row r="400" spans="1:1">
      <c r="A400" s="479" t="s">
        <v>636</v>
      </c>
    </row>
    <row r="401" spans="1:1">
      <c r="A401" s="479" t="s">
        <v>637</v>
      </c>
    </row>
    <row r="402" spans="1:1">
      <c r="A402" s="479" t="s">
        <v>638</v>
      </c>
    </row>
    <row r="403" spans="1:1">
      <c r="A403" s="479" t="s">
        <v>639</v>
      </c>
    </row>
    <row r="404" spans="1:1">
      <c r="A404" s="479" t="s">
        <v>640</v>
      </c>
    </row>
    <row r="405" spans="1:1">
      <c r="A405" s="479" t="s">
        <v>641</v>
      </c>
    </row>
    <row r="406" spans="1:1">
      <c r="A406" s="479" t="s">
        <v>642</v>
      </c>
    </row>
    <row r="407" spans="1:1">
      <c r="A407" s="479" t="s">
        <v>643</v>
      </c>
    </row>
    <row r="408" spans="1:1">
      <c r="A408" s="479" t="s">
        <v>644</v>
      </c>
    </row>
    <row r="409" spans="1:1">
      <c r="A409" s="479" t="s">
        <v>645</v>
      </c>
    </row>
    <row r="410" spans="1:1">
      <c r="A410" s="479" t="s">
        <v>646</v>
      </c>
    </row>
    <row r="411" spans="1:1">
      <c r="A411" s="479" t="s">
        <v>647</v>
      </c>
    </row>
    <row r="412" spans="1:1">
      <c r="A412" s="479" t="s">
        <v>648</v>
      </c>
    </row>
    <row r="413" spans="1:1">
      <c r="A413" s="479" t="s">
        <v>649</v>
      </c>
    </row>
    <row r="414" spans="1:1">
      <c r="A414" s="479" t="s">
        <v>650</v>
      </c>
    </row>
    <row r="415" spans="1:1">
      <c r="A415" s="479" t="s">
        <v>651</v>
      </c>
    </row>
    <row r="416" spans="1:1">
      <c r="A416" s="479" t="s">
        <v>652</v>
      </c>
    </row>
    <row r="417" spans="1:1">
      <c r="A417" s="479" t="s">
        <v>653</v>
      </c>
    </row>
    <row r="418" spans="1:1">
      <c r="A418" s="479" t="s">
        <v>654</v>
      </c>
    </row>
    <row r="419" spans="1:1">
      <c r="A419" s="479" t="s">
        <v>655</v>
      </c>
    </row>
    <row r="420" spans="1:1">
      <c r="A420" s="479" t="s">
        <v>656</v>
      </c>
    </row>
    <row r="421" spans="1:1">
      <c r="A421" s="479" t="s">
        <v>657</v>
      </c>
    </row>
    <row r="422" spans="1:1">
      <c r="A422" s="479" t="s">
        <v>658</v>
      </c>
    </row>
    <row r="423" spans="1:1">
      <c r="A423" s="479" t="s">
        <v>659</v>
      </c>
    </row>
    <row r="424" spans="1:1">
      <c r="A424" s="479" t="s">
        <v>660</v>
      </c>
    </row>
    <row r="425" spans="1:1">
      <c r="A425" s="479" t="s">
        <v>661</v>
      </c>
    </row>
    <row r="426" spans="1:1">
      <c r="A426" s="479" t="s">
        <v>662</v>
      </c>
    </row>
    <row r="427" spans="1:1">
      <c r="A427" s="479" t="s">
        <v>663</v>
      </c>
    </row>
    <row r="428" spans="1:1">
      <c r="A428" s="479" t="s">
        <v>664</v>
      </c>
    </row>
    <row r="429" spans="1:1">
      <c r="A429" s="479" t="s">
        <v>665</v>
      </c>
    </row>
    <row r="430" spans="1:1">
      <c r="A430" s="479" t="s">
        <v>666</v>
      </c>
    </row>
    <row r="431" spans="1:1">
      <c r="A431" s="479" t="s">
        <v>667</v>
      </c>
    </row>
    <row r="432" spans="1:1">
      <c r="A432" s="479" t="s">
        <v>668</v>
      </c>
    </row>
    <row r="433" spans="1:1">
      <c r="A433" s="479" t="s">
        <v>669</v>
      </c>
    </row>
    <row r="434" spans="1:1">
      <c r="A434" s="479" t="s">
        <v>670</v>
      </c>
    </row>
    <row r="435" spans="1:1">
      <c r="A435" s="479" t="s">
        <v>671</v>
      </c>
    </row>
    <row r="436" spans="1:1">
      <c r="A436" s="479" t="s">
        <v>672</v>
      </c>
    </row>
    <row r="437" spans="1:1">
      <c r="A437" s="479" t="s">
        <v>673</v>
      </c>
    </row>
    <row r="438" spans="1:1">
      <c r="A438" s="479" t="s">
        <v>674</v>
      </c>
    </row>
    <row r="439" spans="1:1">
      <c r="A439" s="479" t="s">
        <v>675</v>
      </c>
    </row>
    <row r="440" spans="1:1">
      <c r="A440" s="479" t="s">
        <v>676</v>
      </c>
    </row>
    <row r="441" spans="1:1">
      <c r="A441" s="479" t="s">
        <v>677</v>
      </c>
    </row>
    <row r="442" spans="1:1">
      <c r="A442" s="479" t="s">
        <v>678</v>
      </c>
    </row>
    <row r="443" spans="1:1">
      <c r="A443" s="479" t="s">
        <v>679</v>
      </c>
    </row>
    <row r="444" spans="1:1">
      <c r="A444" s="479" t="s">
        <v>680</v>
      </c>
    </row>
    <row r="445" spans="1:1">
      <c r="A445" s="479" t="s">
        <v>681</v>
      </c>
    </row>
    <row r="446" spans="1:1">
      <c r="A446" s="479" t="s">
        <v>682</v>
      </c>
    </row>
    <row r="447" spans="1:1">
      <c r="A447" s="479" t="s">
        <v>683</v>
      </c>
    </row>
    <row r="448" spans="1:1">
      <c r="A448" s="479" t="s">
        <v>684</v>
      </c>
    </row>
    <row r="449" spans="1:1">
      <c r="A449" s="479" t="s">
        <v>685</v>
      </c>
    </row>
    <row r="450" spans="1:1">
      <c r="A450" s="479" t="s">
        <v>686</v>
      </c>
    </row>
    <row r="451" spans="1:1">
      <c r="A451" s="479" t="s">
        <v>687</v>
      </c>
    </row>
    <row r="452" spans="1:1">
      <c r="A452" s="479" t="s">
        <v>688</v>
      </c>
    </row>
    <row r="453" spans="1:1">
      <c r="A453" s="479" t="s">
        <v>689</v>
      </c>
    </row>
    <row r="454" spans="1:1">
      <c r="A454" s="479" t="s">
        <v>690</v>
      </c>
    </row>
    <row r="455" spans="1:1">
      <c r="A455" s="479" t="s">
        <v>691</v>
      </c>
    </row>
    <row r="456" spans="1:1">
      <c r="A456" s="479" t="s">
        <v>692</v>
      </c>
    </row>
    <row r="457" spans="1:1">
      <c r="A457" s="479" t="s">
        <v>693</v>
      </c>
    </row>
    <row r="458" spans="1:1">
      <c r="A458" s="479" t="s">
        <v>694</v>
      </c>
    </row>
    <row r="459" spans="1:1">
      <c r="A459" s="479" t="s">
        <v>695</v>
      </c>
    </row>
    <row r="460" spans="1:1">
      <c r="A460" s="479" t="s">
        <v>696</v>
      </c>
    </row>
    <row r="461" spans="1:1">
      <c r="A461" s="479" t="s">
        <v>697</v>
      </c>
    </row>
    <row r="462" spans="1:1">
      <c r="A462" s="479" t="s">
        <v>698</v>
      </c>
    </row>
    <row r="463" spans="1:1">
      <c r="A463" s="479" t="s">
        <v>699</v>
      </c>
    </row>
    <row r="464" spans="1:1">
      <c r="A464" s="479" t="s">
        <v>700</v>
      </c>
    </row>
    <row r="465" spans="1:1">
      <c r="A465" s="479" t="s">
        <v>701</v>
      </c>
    </row>
    <row r="466" spans="1:1">
      <c r="A466" s="479" t="s">
        <v>702</v>
      </c>
    </row>
    <row r="467" spans="1:1">
      <c r="A467" s="479" t="s">
        <v>703</v>
      </c>
    </row>
    <row r="468" spans="1:1">
      <c r="A468" s="479" t="s">
        <v>704</v>
      </c>
    </row>
    <row r="469" spans="1:1">
      <c r="A469" s="479" t="s">
        <v>705</v>
      </c>
    </row>
    <row r="470" spans="1:1">
      <c r="A470" s="479" t="s">
        <v>706</v>
      </c>
    </row>
    <row r="471" spans="1:1">
      <c r="A471" s="479" t="s">
        <v>707</v>
      </c>
    </row>
    <row r="472" spans="1:1">
      <c r="A472" s="479" t="s">
        <v>708</v>
      </c>
    </row>
    <row r="473" spans="1:1">
      <c r="A473" s="479" t="s">
        <v>709</v>
      </c>
    </row>
    <row r="474" spans="1:1">
      <c r="A474" s="479" t="s">
        <v>710</v>
      </c>
    </row>
    <row r="475" spans="1:1">
      <c r="A475" s="479" t="s">
        <v>711</v>
      </c>
    </row>
    <row r="476" spans="1:1">
      <c r="A476" s="479" t="s">
        <v>712</v>
      </c>
    </row>
    <row r="477" spans="1:1">
      <c r="A477" s="479" t="s">
        <v>713</v>
      </c>
    </row>
    <row r="478" spans="1:1">
      <c r="A478" s="479" t="s">
        <v>714</v>
      </c>
    </row>
    <row r="479" spans="1:1">
      <c r="A479" s="479" t="s">
        <v>715</v>
      </c>
    </row>
    <row r="480" spans="1:1">
      <c r="A480" s="479" t="s">
        <v>716</v>
      </c>
    </row>
    <row r="481" spans="1:1">
      <c r="A481" s="479" t="s">
        <v>717</v>
      </c>
    </row>
    <row r="482" spans="1:1">
      <c r="A482" s="479" t="s">
        <v>718</v>
      </c>
    </row>
    <row r="483" spans="1:1">
      <c r="A483" s="479" t="s">
        <v>719</v>
      </c>
    </row>
    <row r="484" spans="1:1">
      <c r="A484" s="479" t="s">
        <v>720</v>
      </c>
    </row>
    <row r="485" spans="1:1">
      <c r="A485" s="479" t="s">
        <v>721</v>
      </c>
    </row>
    <row r="486" spans="1:1">
      <c r="A486" s="479" t="s">
        <v>722</v>
      </c>
    </row>
    <row r="487" spans="1:1">
      <c r="A487" s="479" t="s">
        <v>723</v>
      </c>
    </row>
    <row r="488" spans="1:1">
      <c r="A488" s="479" t="s">
        <v>724</v>
      </c>
    </row>
    <row r="489" spans="1:1">
      <c r="A489" s="479" t="s">
        <v>725</v>
      </c>
    </row>
    <row r="490" spans="1:1">
      <c r="A490" s="479" t="s">
        <v>726</v>
      </c>
    </row>
    <row r="491" spans="1:1">
      <c r="A491" s="479" t="s">
        <v>727</v>
      </c>
    </row>
    <row r="492" spans="1:1">
      <c r="A492" s="479" t="s">
        <v>728</v>
      </c>
    </row>
    <row r="493" spans="1:1">
      <c r="A493" s="479" t="s">
        <v>729</v>
      </c>
    </row>
    <row r="494" spans="1:1">
      <c r="A494" s="479" t="s">
        <v>730</v>
      </c>
    </row>
    <row r="495" spans="1:1">
      <c r="A495" s="479" t="s">
        <v>731</v>
      </c>
    </row>
    <row r="496" spans="1:1">
      <c r="A496" s="479" t="s">
        <v>732</v>
      </c>
    </row>
    <row r="497" spans="1:1">
      <c r="A497" s="479" t="s">
        <v>733</v>
      </c>
    </row>
    <row r="498" spans="1:1">
      <c r="A498" s="479" t="s">
        <v>734</v>
      </c>
    </row>
    <row r="499" spans="1:1">
      <c r="A499" s="479" t="s">
        <v>735</v>
      </c>
    </row>
    <row r="500" spans="1:1">
      <c r="A500" s="479" t="s">
        <v>736</v>
      </c>
    </row>
    <row r="501" spans="1:1">
      <c r="A501" s="479" t="s">
        <v>737</v>
      </c>
    </row>
    <row r="502" spans="1:1">
      <c r="A502" s="479" t="s">
        <v>738</v>
      </c>
    </row>
    <row r="503" spans="1:1">
      <c r="A503" s="479" t="s">
        <v>739</v>
      </c>
    </row>
    <row r="504" spans="1:1">
      <c r="A504" s="479" t="s">
        <v>740</v>
      </c>
    </row>
    <row r="505" spans="1:1">
      <c r="A505" s="479" t="s">
        <v>741</v>
      </c>
    </row>
    <row r="506" spans="1:1">
      <c r="A506" s="479" t="s">
        <v>742</v>
      </c>
    </row>
    <row r="507" spans="1:1">
      <c r="A507" s="479" t="s">
        <v>743</v>
      </c>
    </row>
    <row r="508" spans="1:1">
      <c r="A508" s="479" t="s">
        <v>744</v>
      </c>
    </row>
    <row r="509" spans="1:1">
      <c r="A509" s="479" t="s">
        <v>745</v>
      </c>
    </row>
    <row r="510" spans="1:1">
      <c r="A510" s="479" t="s">
        <v>746</v>
      </c>
    </row>
    <row r="511" spans="1:1">
      <c r="A511" s="479" t="s">
        <v>747</v>
      </c>
    </row>
    <row r="512" spans="1:1">
      <c r="A512" s="479" t="s">
        <v>748</v>
      </c>
    </row>
    <row r="513" spans="1:1">
      <c r="A513" s="479" t="s">
        <v>749</v>
      </c>
    </row>
    <row r="514" spans="1:1">
      <c r="A514" s="479" t="s">
        <v>750</v>
      </c>
    </row>
    <row r="515" spans="1:1">
      <c r="A515" s="479" t="s">
        <v>751</v>
      </c>
    </row>
    <row r="516" spans="1:1">
      <c r="A516" s="479" t="s">
        <v>752</v>
      </c>
    </row>
    <row r="517" spans="1:1">
      <c r="A517" s="479" t="s">
        <v>753</v>
      </c>
    </row>
    <row r="518" spans="1:1">
      <c r="A518" s="479" t="s">
        <v>754</v>
      </c>
    </row>
    <row r="519" spans="1:1">
      <c r="A519" s="479" t="s">
        <v>755</v>
      </c>
    </row>
    <row r="520" spans="1:1">
      <c r="A520" s="479" t="s">
        <v>756</v>
      </c>
    </row>
    <row r="521" spans="1:1">
      <c r="A521" s="479" t="s">
        <v>757</v>
      </c>
    </row>
    <row r="522" spans="1:1">
      <c r="A522" s="479" t="s">
        <v>758</v>
      </c>
    </row>
    <row r="523" spans="1:1">
      <c r="A523" s="479" t="s">
        <v>759</v>
      </c>
    </row>
    <row r="524" spans="1:1">
      <c r="A524" s="479" t="s">
        <v>760</v>
      </c>
    </row>
    <row r="525" spans="1:1">
      <c r="A525" s="479" t="s">
        <v>761</v>
      </c>
    </row>
    <row r="526" spans="1:1">
      <c r="A526" s="479" t="s">
        <v>762</v>
      </c>
    </row>
    <row r="527" spans="1:1">
      <c r="A527" s="479" t="s">
        <v>763</v>
      </c>
    </row>
    <row r="528" spans="1:1">
      <c r="A528" s="479" t="s">
        <v>764</v>
      </c>
    </row>
    <row r="529" spans="1:1">
      <c r="A529" s="479" t="s">
        <v>765</v>
      </c>
    </row>
    <row r="530" spans="1:1">
      <c r="A530" s="479" t="s">
        <v>766</v>
      </c>
    </row>
    <row r="531" spans="1:1">
      <c r="A531" s="479" t="s">
        <v>767</v>
      </c>
    </row>
    <row r="532" spans="1:1">
      <c r="A532" s="479" t="s">
        <v>768</v>
      </c>
    </row>
    <row r="533" spans="1:1">
      <c r="A533" s="479" t="s">
        <v>769</v>
      </c>
    </row>
    <row r="534" spans="1:1">
      <c r="A534" s="479" t="s">
        <v>770</v>
      </c>
    </row>
    <row r="535" spans="1:1">
      <c r="A535" s="479" t="s">
        <v>771</v>
      </c>
    </row>
    <row r="536" spans="1:1">
      <c r="A536" s="479" t="s">
        <v>772</v>
      </c>
    </row>
    <row r="537" spans="1:1">
      <c r="A537" s="479" t="s">
        <v>773</v>
      </c>
    </row>
    <row r="538" spans="1:1">
      <c r="A538" s="479" t="s">
        <v>774</v>
      </c>
    </row>
    <row r="539" spans="1:1">
      <c r="A539" s="479" t="s">
        <v>775</v>
      </c>
    </row>
    <row r="540" spans="1:1">
      <c r="A540" s="479" t="s">
        <v>776</v>
      </c>
    </row>
    <row r="541" spans="1:1">
      <c r="A541" s="479" t="s">
        <v>777</v>
      </c>
    </row>
    <row r="542" spans="1:1">
      <c r="A542" s="479" t="s">
        <v>778</v>
      </c>
    </row>
    <row r="543" spans="1:1">
      <c r="A543" s="479" t="s">
        <v>779</v>
      </c>
    </row>
    <row r="544" spans="1:1">
      <c r="A544" s="479" t="s">
        <v>780</v>
      </c>
    </row>
    <row r="545" spans="1:1">
      <c r="A545" s="479" t="s">
        <v>781</v>
      </c>
    </row>
    <row r="546" spans="1:1">
      <c r="A546" s="479" t="s">
        <v>782</v>
      </c>
    </row>
    <row r="547" spans="1:1">
      <c r="A547" s="479" t="s">
        <v>783</v>
      </c>
    </row>
    <row r="548" spans="1:1">
      <c r="A548" s="479" t="s">
        <v>784</v>
      </c>
    </row>
    <row r="549" spans="1:1">
      <c r="A549" s="479" t="s">
        <v>785</v>
      </c>
    </row>
    <row r="550" spans="1:1">
      <c r="A550" s="479" t="s">
        <v>786</v>
      </c>
    </row>
    <row r="551" spans="1:1">
      <c r="A551" s="479" t="s">
        <v>787</v>
      </c>
    </row>
    <row r="552" spans="1:1">
      <c r="A552" s="479" t="s">
        <v>788</v>
      </c>
    </row>
    <row r="553" spans="1:1">
      <c r="A553" s="479" t="s">
        <v>789</v>
      </c>
    </row>
    <row r="554" spans="1:1">
      <c r="A554" s="479" t="s">
        <v>790</v>
      </c>
    </row>
    <row r="555" spans="1:1">
      <c r="A555" s="479" t="s">
        <v>791</v>
      </c>
    </row>
    <row r="556" spans="1:1">
      <c r="A556" s="479" t="s">
        <v>792</v>
      </c>
    </row>
    <row r="557" spans="1:1">
      <c r="A557" s="479" t="s">
        <v>793</v>
      </c>
    </row>
    <row r="558" spans="1:1">
      <c r="A558" s="479" t="s">
        <v>794</v>
      </c>
    </row>
    <row r="559" spans="1:1">
      <c r="A559" s="479" t="s">
        <v>795</v>
      </c>
    </row>
    <row r="560" spans="1:1">
      <c r="A560" s="479" t="s">
        <v>796</v>
      </c>
    </row>
    <row r="561" spans="1:1">
      <c r="A561" s="479" t="s">
        <v>797</v>
      </c>
    </row>
    <row r="562" spans="1:1">
      <c r="A562" s="479" t="s">
        <v>798</v>
      </c>
    </row>
    <row r="563" spans="1:1">
      <c r="A563" s="479" t="s">
        <v>799</v>
      </c>
    </row>
    <row r="564" spans="1:1">
      <c r="A564" s="479" t="s">
        <v>800</v>
      </c>
    </row>
    <row r="565" spans="1:1">
      <c r="A565" s="479" t="s">
        <v>801</v>
      </c>
    </row>
    <row r="566" spans="1:1">
      <c r="A566" s="479" t="s">
        <v>802</v>
      </c>
    </row>
    <row r="567" spans="1:1">
      <c r="A567" s="479" t="s">
        <v>803</v>
      </c>
    </row>
    <row r="568" spans="1:1">
      <c r="A568" s="479" t="s">
        <v>804</v>
      </c>
    </row>
    <row r="569" spans="1:1">
      <c r="A569" s="479" t="s">
        <v>805</v>
      </c>
    </row>
    <row r="570" spans="1:1">
      <c r="A570" s="479" t="s">
        <v>806</v>
      </c>
    </row>
    <row r="571" spans="1:1">
      <c r="A571" s="479" t="s">
        <v>807</v>
      </c>
    </row>
    <row r="572" spans="1:1">
      <c r="A572" s="479" t="s">
        <v>808</v>
      </c>
    </row>
    <row r="573" spans="1:1">
      <c r="A573" s="479" t="s">
        <v>809</v>
      </c>
    </row>
    <row r="574" spans="1:1">
      <c r="A574" s="479" t="s">
        <v>810</v>
      </c>
    </row>
    <row r="575" spans="1:1">
      <c r="A575" s="479" t="s">
        <v>811</v>
      </c>
    </row>
    <row r="576" spans="1:1">
      <c r="A576" s="479" t="s">
        <v>812</v>
      </c>
    </row>
    <row r="577" spans="1:1">
      <c r="A577" s="479" t="s">
        <v>813</v>
      </c>
    </row>
    <row r="578" spans="1:1">
      <c r="A578" s="479" t="s">
        <v>814</v>
      </c>
    </row>
    <row r="579" spans="1:1">
      <c r="A579" s="479" t="s">
        <v>815</v>
      </c>
    </row>
    <row r="580" spans="1:1">
      <c r="A580" s="479" t="s">
        <v>816</v>
      </c>
    </row>
    <row r="581" spans="1:1">
      <c r="A581" s="479" t="s">
        <v>817</v>
      </c>
    </row>
    <row r="582" spans="1:1">
      <c r="A582" s="479" t="s">
        <v>818</v>
      </c>
    </row>
    <row r="583" spans="1:1">
      <c r="A583" s="479" t="s">
        <v>819</v>
      </c>
    </row>
    <row r="584" spans="1:1">
      <c r="A584" s="479" t="s">
        <v>820</v>
      </c>
    </row>
    <row r="585" spans="1:1">
      <c r="A585" s="479" t="s">
        <v>821</v>
      </c>
    </row>
    <row r="586" spans="1:1">
      <c r="A586" s="479" t="s">
        <v>822</v>
      </c>
    </row>
    <row r="587" spans="1:1">
      <c r="A587" s="479" t="s">
        <v>823</v>
      </c>
    </row>
    <row r="588" spans="1:1">
      <c r="A588" s="479" t="s">
        <v>824</v>
      </c>
    </row>
    <row r="589" spans="1:1">
      <c r="A589" s="479" t="s">
        <v>825</v>
      </c>
    </row>
    <row r="590" spans="1:1">
      <c r="A590" s="479" t="s">
        <v>826</v>
      </c>
    </row>
    <row r="591" spans="1:1">
      <c r="A591" s="479" t="s">
        <v>827</v>
      </c>
    </row>
    <row r="592" spans="1:1">
      <c r="A592" s="479" t="s">
        <v>828</v>
      </c>
    </row>
    <row r="593" spans="1:1">
      <c r="A593" s="479" t="s">
        <v>829</v>
      </c>
    </row>
    <row r="594" spans="1:1">
      <c r="A594" s="479" t="s">
        <v>830</v>
      </c>
    </row>
    <row r="595" spans="1:1">
      <c r="A595" s="479" t="s">
        <v>831</v>
      </c>
    </row>
    <row r="596" spans="1:1">
      <c r="A596" s="479" t="s">
        <v>832</v>
      </c>
    </row>
    <row r="597" spans="1:1">
      <c r="A597" s="479" t="s">
        <v>833</v>
      </c>
    </row>
    <row r="598" spans="1:1">
      <c r="A598" s="479" t="s">
        <v>834</v>
      </c>
    </row>
    <row r="599" spans="1:1">
      <c r="A599" s="479" t="s">
        <v>835</v>
      </c>
    </row>
    <row r="600" spans="1:1">
      <c r="A600" s="479" t="s">
        <v>836</v>
      </c>
    </row>
    <row r="601" spans="1:1">
      <c r="A601" s="479" t="s">
        <v>837</v>
      </c>
    </row>
    <row r="602" spans="1:1">
      <c r="A602" s="479" t="s">
        <v>838</v>
      </c>
    </row>
    <row r="603" spans="1:1">
      <c r="A603" s="479" t="s">
        <v>839</v>
      </c>
    </row>
    <row r="604" spans="1:1">
      <c r="A604" s="479" t="s">
        <v>840</v>
      </c>
    </row>
    <row r="605" spans="1:1">
      <c r="A605" s="479" t="s">
        <v>841</v>
      </c>
    </row>
    <row r="606" spans="1:1">
      <c r="A606" s="479" t="s">
        <v>842</v>
      </c>
    </row>
    <row r="607" spans="1:1">
      <c r="A607" s="479" t="s">
        <v>843</v>
      </c>
    </row>
    <row r="608" spans="1:1">
      <c r="A608" s="479" t="s">
        <v>844</v>
      </c>
    </row>
    <row r="609" spans="1:1">
      <c r="A609" s="479" t="s">
        <v>845</v>
      </c>
    </row>
    <row r="610" spans="1:1">
      <c r="A610" s="479" t="s">
        <v>846</v>
      </c>
    </row>
    <row r="611" spans="1:1">
      <c r="A611" s="479" t="s">
        <v>847</v>
      </c>
    </row>
    <row r="612" spans="1:1">
      <c r="A612" s="479" t="s">
        <v>848</v>
      </c>
    </row>
    <row r="613" spans="1:1">
      <c r="A613" s="479" t="s">
        <v>849</v>
      </c>
    </row>
    <row r="614" spans="1:1">
      <c r="A614" s="479" t="s">
        <v>850</v>
      </c>
    </row>
    <row r="615" spans="1:1">
      <c r="A615" s="479" t="s">
        <v>851</v>
      </c>
    </row>
    <row r="616" spans="1:1">
      <c r="A616" s="479" t="s">
        <v>852</v>
      </c>
    </row>
    <row r="617" spans="1:1">
      <c r="A617" s="479" t="s">
        <v>853</v>
      </c>
    </row>
    <row r="618" spans="1:1">
      <c r="A618" s="479" t="s">
        <v>854</v>
      </c>
    </row>
    <row r="619" spans="1:1">
      <c r="A619" s="479" t="s">
        <v>855</v>
      </c>
    </row>
    <row r="620" spans="1:1">
      <c r="A620" s="479" t="s">
        <v>856</v>
      </c>
    </row>
    <row r="621" spans="1:1">
      <c r="A621" s="479" t="s">
        <v>857</v>
      </c>
    </row>
    <row r="622" spans="1:1">
      <c r="A622" s="479" t="s">
        <v>858</v>
      </c>
    </row>
    <row r="623" spans="1:1">
      <c r="A623" s="479" t="s">
        <v>859</v>
      </c>
    </row>
    <row r="624" spans="1:1">
      <c r="A624" s="479" t="s">
        <v>860</v>
      </c>
    </row>
    <row r="625" spans="1:1">
      <c r="A625" s="479" t="s">
        <v>861</v>
      </c>
    </row>
    <row r="626" spans="1:1">
      <c r="A626" s="479" t="s">
        <v>862</v>
      </c>
    </row>
    <row r="627" spans="1:1">
      <c r="A627" s="479" t="s">
        <v>863</v>
      </c>
    </row>
    <row r="628" spans="1:1">
      <c r="A628" s="479" t="s">
        <v>864</v>
      </c>
    </row>
    <row r="629" spans="1:1">
      <c r="A629" s="479" t="s">
        <v>865</v>
      </c>
    </row>
    <row r="630" spans="1:1">
      <c r="A630" s="479" t="s">
        <v>866</v>
      </c>
    </row>
    <row r="631" spans="1:1">
      <c r="A631" s="479" t="s">
        <v>867</v>
      </c>
    </row>
    <row r="632" spans="1:1">
      <c r="A632" s="479" t="s">
        <v>868</v>
      </c>
    </row>
    <row r="633" spans="1:1">
      <c r="A633" s="479" t="s">
        <v>869</v>
      </c>
    </row>
    <row r="634" spans="1:1">
      <c r="A634" s="479" t="s">
        <v>870</v>
      </c>
    </row>
    <row r="635" spans="1:1">
      <c r="A635" s="479" t="s">
        <v>871</v>
      </c>
    </row>
    <row r="636" spans="1:1">
      <c r="A636" s="479" t="s">
        <v>872</v>
      </c>
    </row>
    <row r="637" spans="1:1">
      <c r="A637" s="479" t="s">
        <v>873</v>
      </c>
    </row>
    <row r="638" spans="1:1">
      <c r="A638" s="479" t="s">
        <v>874</v>
      </c>
    </row>
    <row r="639" spans="1:1">
      <c r="A639" s="479" t="s">
        <v>875</v>
      </c>
    </row>
    <row r="640" spans="1:1">
      <c r="A640" s="479" t="s">
        <v>876</v>
      </c>
    </row>
    <row r="641" spans="1:1">
      <c r="A641" s="479" t="s">
        <v>877</v>
      </c>
    </row>
    <row r="642" spans="1:1">
      <c r="A642" s="479" t="s">
        <v>878</v>
      </c>
    </row>
    <row r="643" spans="1:1">
      <c r="A643" s="479" t="s">
        <v>879</v>
      </c>
    </row>
    <row r="644" spans="1:1">
      <c r="A644" s="479" t="s">
        <v>880</v>
      </c>
    </row>
    <row r="645" spans="1:1">
      <c r="A645" s="479" t="s">
        <v>881</v>
      </c>
    </row>
    <row r="646" spans="1:1">
      <c r="A646" s="479" t="s">
        <v>882</v>
      </c>
    </row>
    <row r="647" spans="1:1">
      <c r="A647" s="479" t="s">
        <v>883</v>
      </c>
    </row>
    <row r="648" spans="1:1">
      <c r="A648" s="479" t="s">
        <v>884</v>
      </c>
    </row>
    <row r="649" spans="1:1">
      <c r="A649" s="479" t="s">
        <v>885</v>
      </c>
    </row>
    <row r="650" spans="1:1">
      <c r="A650" s="479" t="s">
        <v>886</v>
      </c>
    </row>
    <row r="651" spans="1:1">
      <c r="A651" s="479" t="s">
        <v>887</v>
      </c>
    </row>
    <row r="652" spans="1:1">
      <c r="A652" s="479" t="s">
        <v>888</v>
      </c>
    </row>
    <row r="653" spans="1:1">
      <c r="A653" s="479" t="s">
        <v>889</v>
      </c>
    </row>
    <row r="654" spans="1:1">
      <c r="A654" s="479" t="s">
        <v>890</v>
      </c>
    </row>
    <row r="655" spans="1:1">
      <c r="A655" s="479" t="s">
        <v>891</v>
      </c>
    </row>
    <row r="656" spans="1:1">
      <c r="A656" s="479" t="s">
        <v>892</v>
      </c>
    </row>
    <row r="657" spans="1:1">
      <c r="A657" s="479" t="s">
        <v>893</v>
      </c>
    </row>
    <row r="658" spans="1:1">
      <c r="A658" s="479" t="s">
        <v>894</v>
      </c>
    </row>
    <row r="659" spans="1:1">
      <c r="A659" s="479" t="s">
        <v>895</v>
      </c>
    </row>
    <row r="660" spans="1:1">
      <c r="A660" s="479" t="s">
        <v>896</v>
      </c>
    </row>
    <row r="661" spans="1:1">
      <c r="A661" s="479" t="s">
        <v>897</v>
      </c>
    </row>
    <row r="662" spans="1:1">
      <c r="A662" s="479" t="s">
        <v>898</v>
      </c>
    </row>
    <row r="663" spans="1:1">
      <c r="A663" s="479" t="s">
        <v>899</v>
      </c>
    </row>
    <row r="664" spans="1:1">
      <c r="A664" s="479" t="s">
        <v>900</v>
      </c>
    </row>
    <row r="665" spans="1:1">
      <c r="A665" s="479" t="s">
        <v>901</v>
      </c>
    </row>
    <row r="666" spans="1:1">
      <c r="A666" s="479" t="s">
        <v>902</v>
      </c>
    </row>
    <row r="667" spans="1:1">
      <c r="A667" s="479" t="s">
        <v>903</v>
      </c>
    </row>
    <row r="668" spans="1:1">
      <c r="A668" s="479" t="s">
        <v>904</v>
      </c>
    </row>
    <row r="669" spans="1:1">
      <c r="A669" s="479" t="s">
        <v>905</v>
      </c>
    </row>
    <row r="670" spans="1:1">
      <c r="A670" s="479" t="s">
        <v>906</v>
      </c>
    </row>
    <row r="671" spans="1:1">
      <c r="A671" s="479" t="s">
        <v>907</v>
      </c>
    </row>
    <row r="672" spans="1:1">
      <c r="A672" s="479" t="s">
        <v>908</v>
      </c>
    </row>
    <row r="673" spans="1:1">
      <c r="A673" s="479" t="s">
        <v>909</v>
      </c>
    </row>
    <row r="674" spans="1:1">
      <c r="A674" s="479" t="s">
        <v>910</v>
      </c>
    </row>
    <row r="675" spans="1:1">
      <c r="A675" s="479" t="s">
        <v>911</v>
      </c>
    </row>
    <row r="676" spans="1:1">
      <c r="A676" s="479" t="s">
        <v>912</v>
      </c>
    </row>
    <row r="677" spans="1:1">
      <c r="A677" s="479" t="s">
        <v>913</v>
      </c>
    </row>
    <row r="678" spans="1:1">
      <c r="A678" s="479" t="s">
        <v>914</v>
      </c>
    </row>
    <row r="679" spans="1:1">
      <c r="A679" s="479" t="s">
        <v>915</v>
      </c>
    </row>
    <row r="680" spans="1:1">
      <c r="A680" s="479" t="s">
        <v>916</v>
      </c>
    </row>
    <row r="681" spans="1:1">
      <c r="A681" s="479" t="s">
        <v>917</v>
      </c>
    </row>
    <row r="682" spans="1:1">
      <c r="A682" s="479" t="s">
        <v>918</v>
      </c>
    </row>
    <row r="683" spans="1:1">
      <c r="A683" s="479" t="s">
        <v>919</v>
      </c>
    </row>
    <row r="684" spans="1:1">
      <c r="A684" s="479" t="s">
        <v>920</v>
      </c>
    </row>
    <row r="685" spans="1:1">
      <c r="A685" s="479" t="s">
        <v>921</v>
      </c>
    </row>
    <row r="686" spans="1:1">
      <c r="A686" s="479" t="s">
        <v>922</v>
      </c>
    </row>
    <row r="687" spans="1:1">
      <c r="A687" s="479" t="s">
        <v>923</v>
      </c>
    </row>
    <row r="688" spans="1:1">
      <c r="A688" s="479" t="s">
        <v>924</v>
      </c>
    </row>
    <row r="689" spans="1:1">
      <c r="A689" s="479" t="s">
        <v>925</v>
      </c>
    </row>
    <row r="690" spans="1:1">
      <c r="A690" s="479" t="s">
        <v>926</v>
      </c>
    </row>
    <row r="691" spans="1:1">
      <c r="A691" s="479" t="s">
        <v>927</v>
      </c>
    </row>
    <row r="692" spans="1:1">
      <c r="A692" s="479" t="s">
        <v>928</v>
      </c>
    </row>
    <row r="693" spans="1:1">
      <c r="A693" s="479" t="s">
        <v>929</v>
      </c>
    </row>
    <row r="694" spans="1:1">
      <c r="A694" s="479" t="s">
        <v>930</v>
      </c>
    </row>
    <row r="695" spans="1:1">
      <c r="A695" s="479" t="s">
        <v>931</v>
      </c>
    </row>
    <row r="696" spans="1:1">
      <c r="A696" s="479" t="s">
        <v>932</v>
      </c>
    </row>
    <row r="697" spans="1:1">
      <c r="A697" s="479" t="s">
        <v>933</v>
      </c>
    </row>
    <row r="698" spans="1:1">
      <c r="A698" s="479" t="s">
        <v>934</v>
      </c>
    </row>
    <row r="699" spans="1:1">
      <c r="A699" s="479" t="s">
        <v>935</v>
      </c>
    </row>
    <row r="700" spans="1:1">
      <c r="A700" s="479" t="s">
        <v>936</v>
      </c>
    </row>
    <row r="701" spans="1:1">
      <c r="A701" s="479" t="s">
        <v>937</v>
      </c>
    </row>
    <row r="702" spans="1:1">
      <c r="A702" s="479" t="s">
        <v>938</v>
      </c>
    </row>
    <row r="703" spans="1:1">
      <c r="A703" s="479" t="s">
        <v>939</v>
      </c>
    </row>
    <row r="704" spans="1:1">
      <c r="A704" s="479" t="s">
        <v>940</v>
      </c>
    </row>
    <row r="705" spans="1:1">
      <c r="A705" s="479" t="s">
        <v>941</v>
      </c>
    </row>
    <row r="706" spans="1:1">
      <c r="A706" s="479" t="s">
        <v>942</v>
      </c>
    </row>
    <row r="707" spans="1:1">
      <c r="A707" s="479" t="s">
        <v>943</v>
      </c>
    </row>
    <row r="708" spans="1:1">
      <c r="A708" s="479" t="s">
        <v>944</v>
      </c>
    </row>
    <row r="709" spans="1:1">
      <c r="A709" s="479" t="s">
        <v>945</v>
      </c>
    </row>
    <row r="710" spans="1:1">
      <c r="A710" s="479" t="s">
        <v>946</v>
      </c>
    </row>
    <row r="711" spans="1:1">
      <c r="A711" s="479" t="s">
        <v>947</v>
      </c>
    </row>
    <row r="712" spans="1:1">
      <c r="A712" s="479" t="s">
        <v>948</v>
      </c>
    </row>
    <row r="713" spans="1:1">
      <c r="A713" s="479" t="s">
        <v>949</v>
      </c>
    </row>
    <row r="714" spans="1:1">
      <c r="A714" s="479" t="s">
        <v>950</v>
      </c>
    </row>
    <row r="715" spans="1:1">
      <c r="A715" s="479" t="s">
        <v>951</v>
      </c>
    </row>
    <row r="716" spans="1:1">
      <c r="A716" s="479" t="s">
        <v>952</v>
      </c>
    </row>
    <row r="717" spans="1:1">
      <c r="A717" s="479" t="s">
        <v>953</v>
      </c>
    </row>
    <row r="718" spans="1:1">
      <c r="A718" s="479" t="s">
        <v>954</v>
      </c>
    </row>
    <row r="719" spans="1:1">
      <c r="A719" s="479" t="s">
        <v>955</v>
      </c>
    </row>
    <row r="720" spans="1:1">
      <c r="A720" s="479" t="s">
        <v>956</v>
      </c>
    </row>
    <row r="721" spans="1:1">
      <c r="A721" s="479" t="s">
        <v>957</v>
      </c>
    </row>
    <row r="722" spans="1:1">
      <c r="A722" s="479" t="s">
        <v>958</v>
      </c>
    </row>
    <row r="723" spans="1:1">
      <c r="A723" s="479" t="s">
        <v>959</v>
      </c>
    </row>
    <row r="724" spans="1:1">
      <c r="A724" s="479" t="s">
        <v>960</v>
      </c>
    </row>
    <row r="725" spans="1:1">
      <c r="A725" s="479" t="s">
        <v>961</v>
      </c>
    </row>
    <row r="726" spans="1:1">
      <c r="A726" s="479" t="s">
        <v>962</v>
      </c>
    </row>
    <row r="727" spans="1:1">
      <c r="A727" s="479" t="s">
        <v>963</v>
      </c>
    </row>
    <row r="728" spans="1:1">
      <c r="A728" s="479" t="s">
        <v>964</v>
      </c>
    </row>
    <row r="729" spans="1:1">
      <c r="A729" s="479" t="s">
        <v>965</v>
      </c>
    </row>
    <row r="730" spans="1:1">
      <c r="A730" s="479" t="s">
        <v>966</v>
      </c>
    </row>
    <row r="731" spans="1:1">
      <c r="A731" s="479" t="s">
        <v>967</v>
      </c>
    </row>
    <row r="732" spans="1:1">
      <c r="A732" s="479" t="s">
        <v>968</v>
      </c>
    </row>
    <row r="733" spans="1:1">
      <c r="A733" s="479" t="s">
        <v>969</v>
      </c>
    </row>
    <row r="734" spans="1:1">
      <c r="A734" s="479" t="s">
        <v>970</v>
      </c>
    </row>
    <row r="735" spans="1:1">
      <c r="A735" s="479" t="s">
        <v>971</v>
      </c>
    </row>
    <row r="736" spans="1:1">
      <c r="A736" s="479" t="s">
        <v>972</v>
      </c>
    </row>
    <row r="737" spans="1:1">
      <c r="A737" s="479" t="s">
        <v>973</v>
      </c>
    </row>
    <row r="738" spans="1:1">
      <c r="A738" s="479" t="s">
        <v>974</v>
      </c>
    </row>
    <row r="739" spans="1:1">
      <c r="A739" s="479" t="s">
        <v>975</v>
      </c>
    </row>
    <row r="740" spans="1:1">
      <c r="A740" s="479" t="s">
        <v>976</v>
      </c>
    </row>
    <row r="741" spans="1:1">
      <c r="A741" s="479" t="s">
        <v>977</v>
      </c>
    </row>
    <row r="742" spans="1:1">
      <c r="A742" s="479" t="s">
        <v>978</v>
      </c>
    </row>
    <row r="743" spans="1:1">
      <c r="A743" s="479" t="s">
        <v>979</v>
      </c>
    </row>
    <row r="744" spans="1:1">
      <c r="A744" s="479" t="s">
        <v>980</v>
      </c>
    </row>
    <row r="745" spans="1:1">
      <c r="A745" s="479" t="s">
        <v>981</v>
      </c>
    </row>
    <row r="746" spans="1:1">
      <c r="A746" s="479" t="s">
        <v>982</v>
      </c>
    </row>
    <row r="747" spans="1:1">
      <c r="A747" s="479" t="s">
        <v>983</v>
      </c>
    </row>
    <row r="748" spans="1:1">
      <c r="A748" s="479" t="s">
        <v>984</v>
      </c>
    </row>
    <row r="749" spans="1:1">
      <c r="A749" s="479" t="s">
        <v>985</v>
      </c>
    </row>
    <row r="750" spans="1:1">
      <c r="A750" s="479" t="s">
        <v>986</v>
      </c>
    </row>
    <row r="751" spans="1:1">
      <c r="A751" s="479" t="s">
        <v>987</v>
      </c>
    </row>
    <row r="752" spans="1:1">
      <c r="A752" s="479" t="s">
        <v>988</v>
      </c>
    </row>
    <row r="753" spans="1:1">
      <c r="A753" s="479" t="s">
        <v>989</v>
      </c>
    </row>
    <row r="754" spans="1:1">
      <c r="A754" s="479" t="s">
        <v>990</v>
      </c>
    </row>
    <row r="755" spans="1:1">
      <c r="A755" s="479" t="s">
        <v>991</v>
      </c>
    </row>
    <row r="756" spans="1:1">
      <c r="A756" s="479" t="s">
        <v>992</v>
      </c>
    </row>
    <row r="757" spans="1:1">
      <c r="A757" s="479" t="s">
        <v>993</v>
      </c>
    </row>
    <row r="758" spans="1:1">
      <c r="A758" s="479" t="s">
        <v>994</v>
      </c>
    </row>
    <row r="759" spans="1:1">
      <c r="A759" s="479" t="s">
        <v>995</v>
      </c>
    </row>
    <row r="760" spans="1:1">
      <c r="A760" s="479" t="s">
        <v>996</v>
      </c>
    </row>
    <row r="761" spans="1:1">
      <c r="A761" s="479" t="s">
        <v>997</v>
      </c>
    </row>
    <row r="762" spans="1:1">
      <c r="A762" s="479" t="s">
        <v>998</v>
      </c>
    </row>
    <row r="763" spans="1:1">
      <c r="A763" s="479" t="s">
        <v>999</v>
      </c>
    </row>
    <row r="764" spans="1:1">
      <c r="A764" s="479" t="s">
        <v>1000</v>
      </c>
    </row>
    <row r="765" spans="1:1">
      <c r="A765" s="479" t="s">
        <v>1001</v>
      </c>
    </row>
    <row r="766" spans="1:1">
      <c r="A766" s="479" t="s">
        <v>1002</v>
      </c>
    </row>
    <row r="767" spans="1:1">
      <c r="A767" s="479" t="s">
        <v>1003</v>
      </c>
    </row>
    <row r="768" spans="1:1">
      <c r="A768" s="479" t="s">
        <v>1004</v>
      </c>
    </row>
    <row r="769" spans="1:1">
      <c r="A769" s="479" t="s">
        <v>1005</v>
      </c>
    </row>
    <row r="770" spans="1:1">
      <c r="A770" s="479" t="s">
        <v>1006</v>
      </c>
    </row>
    <row r="771" spans="1:1">
      <c r="A771" s="479" t="s">
        <v>1007</v>
      </c>
    </row>
    <row r="772" spans="1:1">
      <c r="A772" s="479" t="s">
        <v>1008</v>
      </c>
    </row>
    <row r="773" spans="1:1">
      <c r="A773" s="479" t="s">
        <v>1009</v>
      </c>
    </row>
    <row r="774" spans="1:1">
      <c r="A774" s="479" t="s">
        <v>1010</v>
      </c>
    </row>
    <row r="775" spans="1:1">
      <c r="A775" s="479" t="s">
        <v>1011</v>
      </c>
    </row>
    <row r="776" spans="1:1">
      <c r="A776" s="479" t="s">
        <v>1012</v>
      </c>
    </row>
    <row r="777" spans="1:1">
      <c r="A777" s="479" t="s">
        <v>1013</v>
      </c>
    </row>
    <row r="778" spans="1:1">
      <c r="A778" s="479" t="s">
        <v>1014</v>
      </c>
    </row>
    <row r="779" spans="1:1">
      <c r="A779" s="479" t="s">
        <v>1015</v>
      </c>
    </row>
    <row r="780" spans="1:1">
      <c r="A780" s="479" t="s">
        <v>1016</v>
      </c>
    </row>
    <row r="781" spans="1:1">
      <c r="A781" s="479" t="s">
        <v>1017</v>
      </c>
    </row>
    <row r="782" spans="1:1">
      <c r="A782" s="479" t="s">
        <v>1018</v>
      </c>
    </row>
    <row r="783" spans="1:1">
      <c r="A783" s="479" t="s">
        <v>1019</v>
      </c>
    </row>
    <row r="784" spans="1:1">
      <c r="A784" s="479" t="s">
        <v>1020</v>
      </c>
    </row>
    <row r="785" spans="1:1">
      <c r="A785" s="479" t="s">
        <v>1021</v>
      </c>
    </row>
    <row r="786" spans="1:1">
      <c r="A786" s="479" t="s">
        <v>1022</v>
      </c>
    </row>
    <row r="787" spans="1:1">
      <c r="A787" s="479" t="s">
        <v>1023</v>
      </c>
    </row>
    <row r="788" spans="1:1">
      <c r="A788" s="479" t="s">
        <v>1024</v>
      </c>
    </row>
    <row r="789" spans="1:1">
      <c r="A789" s="479" t="s">
        <v>1025</v>
      </c>
    </row>
    <row r="790" spans="1:1">
      <c r="A790" s="479" t="s">
        <v>1026</v>
      </c>
    </row>
    <row r="791" spans="1:1">
      <c r="A791" s="479" t="s">
        <v>1027</v>
      </c>
    </row>
    <row r="792" spans="1:1">
      <c r="A792" s="479" t="s">
        <v>1028</v>
      </c>
    </row>
    <row r="793" spans="1:1">
      <c r="A793" s="479" t="s">
        <v>1029</v>
      </c>
    </row>
    <row r="794" spans="1:1">
      <c r="A794" s="479" t="s">
        <v>1030</v>
      </c>
    </row>
    <row r="795" spans="1:1">
      <c r="A795" s="479" t="s">
        <v>1031</v>
      </c>
    </row>
    <row r="796" spans="1:1">
      <c r="A796" s="479" t="s">
        <v>1032</v>
      </c>
    </row>
    <row r="797" spans="1:1">
      <c r="A797" s="479" t="s">
        <v>1033</v>
      </c>
    </row>
    <row r="798" spans="1:1">
      <c r="A798" s="479" t="s">
        <v>1034</v>
      </c>
    </row>
    <row r="799" spans="1:1">
      <c r="A799" s="479" t="s">
        <v>1035</v>
      </c>
    </row>
    <row r="800" spans="1:1">
      <c r="A800" s="479" t="s">
        <v>1036</v>
      </c>
    </row>
    <row r="801" spans="1:1">
      <c r="A801" s="479" t="s">
        <v>1037</v>
      </c>
    </row>
    <row r="802" spans="1:1">
      <c r="A802" s="479" t="s">
        <v>1038</v>
      </c>
    </row>
    <row r="803" spans="1:1">
      <c r="A803" s="479" t="s">
        <v>1039</v>
      </c>
    </row>
    <row r="804" spans="1:1">
      <c r="A804" s="479" t="s">
        <v>1040</v>
      </c>
    </row>
    <row r="805" spans="1:1">
      <c r="A805" s="479" t="s">
        <v>1041</v>
      </c>
    </row>
    <row r="806" spans="1:1">
      <c r="A806" s="479" t="s">
        <v>1042</v>
      </c>
    </row>
    <row r="807" spans="1:1">
      <c r="A807" s="479" t="s">
        <v>1043</v>
      </c>
    </row>
    <row r="808" spans="1:1">
      <c r="A808" s="479" t="s">
        <v>1044</v>
      </c>
    </row>
    <row r="809" spans="1:1">
      <c r="A809" s="479" t="s">
        <v>1045</v>
      </c>
    </row>
    <row r="810" spans="1:1">
      <c r="A810" s="479" t="s">
        <v>1046</v>
      </c>
    </row>
    <row r="811" spans="1:1">
      <c r="A811" s="479" t="s">
        <v>1047</v>
      </c>
    </row>
    <row r="812" spans="1:1">
      <c r="A812" s="479" t="s">
        <v>1048</v>
      </c>
    </row>
    <row r="813" spans="1:1">
      <c r="A813" s="479" t="s">
        <v>1049</v>
      </c>
    </row>
    <row r="814" spans="1:1">
      <c r="A814" s="479" t="s">
        <v>1050</v>
      </c>
    </row>
    <row r="815" spans="1:1">
      <c r="A815" s="479" t="s">
        <v>1051</v>
      </c>
    </row>
    <row r="816" spans="1:1">
      <c r="A816" s="479" t="s">
        <v>1052</v>
      </c>
    </row>
    <row r="817" spans="1:1">
      <c r="A817" s="479" t="s">
        <v>1053</v>
      </c>
    </row>
    <row r="818" spans="1:1">
      <c r="A818" s="479" t="s">
        <v>1054</v>
      </c>
    </row>
    <row r="819" spans="1:1">
      <c r="A819" s="479" t="s">
        <v>1055</v>
      </c>
    </row>
    <row r="820" spans="1:1">
      <c r="A820" s="479" t="s">
        <v>1056</v>
      </c>
    </row>
    <row r="821" spans="1:1">
      <c r="A821" s="479" t="s">
        <v>1057</v>
      </c>
    </row>
    <row r="822" spans="1:1">
      <c r="A822" s="479" t="s">
        <v>1058</v>
      </c>
    </row>
    <row r="823" spans="1:1">
      <c r="A823" s="479" t="s">
        <v>1059</v>
      </c>
    </row>
    <row r="824" spans="1:1">
      <c r="A824" s="479" t="s">
        <v>1060</v>
      </c>
    </row>
    <row r="825" spans="1:1">
      <c r="A825" s="479" t="s">
        <v>1061</v>
      </c>
    </row>
    <row r="826" spans="1:1">
      <c r="A826" s="479" t="s">
        <v>1062</v>
      </c>
    </row>
    <row r="827" spans="1:1">
      <c r="A827" s="479" t="s">
        <v>1063</v>
      </c>
    </row>
    <row r="828" spans="1:1">
      <c r="A828" s="479" t="s">
        <v>1064</v>
      </c>
    </row>
    <row r="829" spans="1:1">
      <c r="A829" s="479" t="s">
        <v>1065</v>
      </c>
    </row>
    <row r="830" spans="1:1">
      <c r="A830" s="479" t="s">
        <v>1066</v>
      </c>
    </row>
    <row r="831" spans="1:1">
      <c r="A831" s="479" t="s">
        <v>1067</v>
      </c>
    </row>
    <row r="832" spans="1:1">
      <c r="A832" s="479" t="s">
        <v>1068</v>
      </c>
    </row>
    <row r="833" spans="1:1">
      <c r="A833" s="479" t="s">
        <v>1069</v>
      </c>
    </row>
    <row r="834" spans="1:1">
      <c r="A834" s="479" t="s">
        <v>1070</v>
      </c>
    </row>
    <row r="835" spans="1:1">
      <c r="A835" s="479" t="s">
        <v>1071</v>
      </c>
    </row>
    <row r="836" spans="1:1">
      <c r="A836" s="479" t="s">
        <v>1072</v>
      </c>
    </row>
    <row r="837" spans="1:1">
      <c r="A837" s="479" t="s">
        <v>1073</v>
      </c>
    </row>
    <row r="838" spans="1:1">
      <c r="A838" s="479" t="s">
        <v>1074</v>
      </c>
    </row>
    <row r="839" spans="1:1">
      <c r="A839" s="479" t="s">
        <v>1075</v>
      </c>
    </row>
    <row r="840" spans="1:1">
      <c r="A840" s="479" t="s">
        <v>1076</v>
      </c>
    </row>
    <row r="841" spans="1:1">
      <c r="A841" s="479" t="s">
        <v>1077</v>
      </c>
    </row>
    <row r="842" spans="1:1">
      <c r="A842" s="479" t="s">
        <v>1078</v>
      </c>
    </row>
    <row r="843" spans="1:1">
      <c r="A843" s="479" t="s">
        <v>1079</v>
      </c>
    </row>
    <row r="844" spans="1:1">
      <c r="A844" s="479" t="s">
        <v>1080</v>
      </c>
    </row>
    <row r="845" spans="1:1">
      <c r="A845" s="479" t="s">
        <v>1081</v>
      </c>
    </row>
    <row r="846" spans="1:1">
      <c r="A846" s="479" t="s">
        <v>1082</v>
      </c>
    </row>
    <row r="847" spans="1:1">
      <c r="A847" s="479" t="s">
        <v>1083</v>
      </c>
    </row>
    <row r="848" spans="1:1">
      <c r="A848" s="479" t="s">
        <v>1084</v>
      </c>
    </row>
    <row r="849" spans="1:1">
      <c r="A849" s="479" t="s">
        <v>1085</v>
      </c>
    </row>
    <row r="850" spans="1:1">
      <c r="A850" s="479" t="s">
        <v>1086</v>
      </c>
    </row>
    <row r="851" spans="1:1">
      <c r="A851" s="479" t="s">
        <v>1087</v>
      </c>
    </row>
    <row r="852" spans="1:1">
      <c r="A852" s="479" t="s">
        <v>1088</v>
      </c>
    </row>
    <row r="853" spans="1:1">
      <c r="A853" s="479" t="s">
        <v>1089</v>
      </c>
    </row>
    <row r="854" spans="1:1">
      <c r="A854" s="479" t="s">
        <v>1090</v>
      </c>
    </row>
    <row r="855" spans="1:1">
      <c r="A855" s="479" t="s">
        <v>1091</v>
      </c>
    </row>
    <row r="856" spans="1:1">
      <c r="A856" s="479" t="s">
        <v>1092</v>
      </c>
    </row>
    <row r="857" spans="1:1">
      <c r="A857" s="479" t="s">
        <v>1093</v>
      </c>
    </row>
    <row r="858" spans="1:1">
      <c r="A858" s="479" t="s">
        <v>1094</v>
      </c>
    </row>
    <row r="859" spans="1:1">
      <c r="A859" s="479" t="s">
        <v>1095</v>
      </c>
    </row>
    <row r="860" spans="1:1">
      <c r="A860" s="479" t="s">
        <v>1096</v>
      </c>
    </row>
    <row r="861" spans="1:1">
      <c r="A861" s="479" t="s">
        <v>1097</v>
      </c>
    </row>
    <row r="862" spans="1:1">
      <c r="A862" s="479" t="s">
        <v>1098</v>
      </c>
    </row>
    <row r="863" spans="1:1">
      <c r="A863" s="479" t="s">
        <v>1099</v>
      </c>
    </row>
    <row r="864" spans="1:1">
      <c r="A864" s="479" t="s">
        <v>1100</v>
      </c>
    </row>
    <row r="865" spans="1:1">
      <c r="A865" s="479" t="s">
        <v>1101</v>
      </c>
    </row>
    <row r="866" spans="1:1">
      <c r="A866" s="479" t="s">
        <v>1102</v>
      </c>
    </row>
    <row r="867" spans="1:1">
      <c r="A867" s="479" t="s">
        <v>1103</v>
      </c>
    </row>
    <row r="868" spans="1:1">
      <c r="A868" s="479" t="s">
        <v>1104</v>
      </c>
    </row>
    <row r="869" spans="1:1">
      <c r="A869" s="479" t="s">
        <v>1105</v>
      </c>
    </row>
    <row r="870" spans="1:1">
      <c r="A870" s="479" t="s">
        <v>1106</v>
      </c>
    </row>
    <row r="871" spans="1:1">
      <c r="A871" s="479" t="s">
        <v>1107</v>
      </c>
    </row>
    <row r="872" spans="1:1">
      <c r="A872" s="479" t="s">
        <v>1108</v>
      </c>
    </row>
    <row r="873" spans="1:1">
      <c r="A873" s="479" t="s">
        <v>1109</v>
      </c>
    </row>
    <row r="874" spans="1:1">
      <c r="A874" s="479" t="s">
        <v>1110</v>
      </c>
    </row>
    <row r="875" spans="1:1">
      <c r="A875" s="479" t="s">
        <v>1111</v>
      </c>
    </row>
    <row r="876" spans="1:1">
      <c r="A876" s="479" t="s">
        <v>1112</v>
      </c>
    </row>
    <row r="877" spans="1:1">
      <c r="A877" s="479" t="s">
        <v>1113</v>
      </c>
    </row>
    <row r="878" spans="1:1">
      <c r="A878" s="479" t="s">
        <v>1114</v>
      </c>
    </row>
    <row r="879" spans="1:1">
      <c r="A879" s="479" t="s">
        <v>1115</v>
      </c>
    </row>
    <row r="880" spans="1:1">
      <c r="A880" s="479" t="s">
        <v>1116</v>
      </c>
    </row>
    <row r="881" spans="1:1">
      <c r="A881" s="479" t="s">
        <v>1117</v>
      </c>
    </row>
    <row r="882" spans="1:1">
      <c r="A882" s="479" t="s">
        <v>1118</v>
      </c>
    </row>
    <row r="883" spans="1:1">
      <c r="A883" s="479" t="s">
        <v>1119</v>
      </c>
    </row>
    <row r="884" spans="1:1">
      <c r="A884" s="479" t="s">
        <v>1120</v>
      </c>
    </row>
    <row r="885" spans="1:1">
      <c r="A885" s="479" t="s">
        <v>1121</v>
      </c>
    </row>
    <row r="886" spans="1:1">
      <c r="A886" s="479" t="s">
        <v>1122</v>
      </c>
    </row>
    <row r="887" spans="1:1">
      <c r="A887" s="479" t="s">
        <v>1123</v>
      </c>
    </row>
    <row r="888" spans="1:1">
      <c r="A888" s="479" t="s">
        <v>1124</v>
      </c>
    </row>
    <row r="889" spans="1:1">
      <c r="A889" s="479" t="s">
        <v>1125</v>
      </c>
    </row>
    <row r="890" spans="1:1">
      <c r="A890" s="479" t="s">
        <v>1126</v>
      </c>
    </row>
    <row r="891" spans="1:1">
      <c r="A891" s="479" t="s">
        <v>1127</v>
      </c>
    </row>
    <row r="892" spans="1:1">
      <c r="A892" s="479" t="s">
        <v>1128</v>
      </c>
    </row>
    <row r="893" spans="1:1">
      <c r="A893" s="479" t="s">
        <v>1129</v>
      </c>
    </row>
    <row r="894" spans="1:1">
      <c r="A894" s="479" t="s">
        <v>1130</v>
      </c>
    </row>
    <row r="895" spans="1:1">
      <c r="A895" s="479" t="s">
        <v>1131</v>
      </c>
    </row>
    <row r="896" spans="1:1">
      <c r="A896" s="479" t="s">
        <v>1132</v>
      </c>
    </row>
    <row r="897" spans="1:1">
      <c r="A897" s="479" t="s">
        <v>1133</v>
      </c>
    </row>
    <row r="898" spans="1:1">
      <c r="A898" s="479" t="s">
        <v>1134</v>
      </c>
    </row>
    <row r="899" spans="1:1">
      <c r="A899" s="479" t="s">
        <v>1135</v>
      </c>
    </row>
    <row r="900" spans="1:1">
      <c r="A900" s="479" t="s">
        <v>1136</v>
      </c>
    </row>
    <row r="901" spans="1:1">
      <c r="A901" s="479" t="s">
        <v>1137</v>
      </c>
    </row>
    <row r="902" spans="1:1">
      <c r="A902" s="479" t="s">
        <v>1138</v>
      </c>
    </row>
    <row r="903" spans="1:1">
      <c r="A903" s="479" t="s">
        <v>1139</v>
      </c>
    </row>
    <row r="904" spans="1:1">
      <c r="A904" s="479" t="s">
        <v>1140</v>
      </c>
    </row>
    <row r="905" spans="1:1">
      <c r="A905" s="479" t="s">
        <v>1141</v>
      </c>
    </row>
    <row r="906" spans="1:1">
      <c r="A906" s="479" t="s">
        <v>1142</v>
      </c>
    </row>
    <row r="907" spans="1:1">
      <c r="A907" s="479" t="s">
        <v>1143</v>
      </c>
    </row>
    <row r="908" spans="1:1">
      <c r="A908" s="479" t="s">
        <v>1144</v>
      </c>
    </row>
    <row r="909" spans="1:1">
      <c r="A909" s="479" t="s">
        <v>1145</v>
      </c>
    </row>
    <row r="910" spans="1:1">
      <c r="A910" s="479" t="s">
        <v>1146</v>
      </c>
    </row>
    <row r="911" spans="1:1">
      <c r="A911" s="479" t="s">
        <v>1147</v>
      </c>
    </row>
    <row r="912" spans="1:1">
      <c r="A912" s="479" t="s">
        <v>1148</v>
      </c>
    </row>
    <row r="913" spans="1:1">
      <c r="A913" s="479" t="s">
        <v>1149</v>
      </c>
    </row>
    <row r="914" spans="1:1">
      <c r="A914" s="479" t="s">
        <v>1150</v>
      </c>
    </row>
    <row r="915" spans="1:1">
      <c r="A915" s="479" t="s">
        <v>1151</v>
      </c>
    </row>
    <row r="916" spans="1:1">
      <c r="A916" s="479" t="s">
        <v>1152</v>
      </c>
    </row>
    <row r="917" spans="1:1">
      <c r="A917" s="479" t="s">
        <v>1153</v>
      </c>
    </row>
    <row r="918" spans="1:1">
      <c r="A918" s="479" t="s">
        <v>1154</v>
      </c>
    </row>
    <row r="919" spans="1:1">
      <c r="A919" s="479" t="s">
        <v>1155</v>
      </c>
    </row>
    <row r="920" spans="1:1">
      <c r="A920" s="479" t="s">
        <v>1156</v>
      </c>
    </row>
    <row r="921" spans="1:1">
      <c r="A921" s="479" t="s">
        <v>1157</v>
      </c>
    </row>
    <row r="922" spans="1:1">
      <c r="A922" s="479" t="s">
        <v>1158</v>
      </c>
    </row>
    <row r="923" spans="1:1">
      <c r="A923" s="479" t="s">
        <v>1159</v>
      </c>
    </row>
    <row r="924" spans="1:1">
      <c r="A924" s="479" t="s">
        <v>1160</v>
      </c>
    </row>
    <row r="925" spans="1:1">
      <c r="A925" s="479" t="s">
        <v>1161</v>
      </c>
    </row>
    <row r="926" spans="1:1">
      <c r="A926" s="479" t="s">
        <v>1162</v>
      </c>
    </row>
    <row r="927" spans="1:1">
      <c r="A927" s="479" t="s">
        <v>1163</v>
      </c>
    </row>
    <row r="928" spans="1:1">
      <c r="A928" s="479" t="s">
        <v>1164</v>
      </c>
    </row>
    <row r="929" spans="1:1">
      <c r="A929" s="479" t="s">
        <v>1165</v>
      </c>
    </row>
    <row r="930" spans="1:1">
      <c r="A930" s="479" t="s">
        <v>1166</v>
      </c>
    </row>
    <row r="931" spans="1:1">
      <c r="A931" s="479" t="s">
        <v>1167</v>
      </c>
    </row>
    <row r="932" spans="1:1">
      <c r="A932" s="479" t="s">
        <v>1168</v>
      </c>
    </row>
    <row r="933" spans="1:1">
      <c r="A933" s="479" t="s">
        <v>1169</v>
      </c>
    </row>
    <row r="934" spans="1:1">
      <c r="A934" s="479" t="s">
        <v>1170</v>
      </c>
    </row>
    <row r="935" spans="1:1">
      <c r="A935" s="479" t="s">
        <v>1171</v>
      </c>
    </row>
    <row r="936" spans="1:1">
      <c r="A936" s="479" t="s">
        <v>1172</v>
      </c>
    </row>
    <row r="937" spans="1:1">
      <c r="A937" s="479" t="s">
        <v>1173</v>
      </c>
    </row>
    <row r="938" spans="1:1">
      <c r="A938" s="479" t="s">
        <v>1174</v>
      </c>
    </row>
    <row r="939" spans="1:1">
      <c r="A939" s="479" t="s">
        <v>1175</v>
      </c>
    </row>
    <row r="940" spans="1:1">
      <c r="A940" s="479" t="s">
        <v>1176</v>
      </c>
    </row>
    <row r="941" spans="1:1">
      <c r="A941" s="479" t="s">
        <v>1177</v>
      </c>
    </row>
    <row r="942" spans="1:1">
      <c r="A942" s="479" t="s">
        <v>1178</v>
      </c>
    </row>
    <row r="943" spans="1:1">
      <c r="A943" s="479" t="s">
        <v>1179</v>
      </c>
    </row>
    <row r="944" spans="1:1">
      <c r="A944" s="479" t="s">
        <v>1180</v>
      </c>
    </row>
    <row r="945" spans="1:1">
      <c r="A945" s="479" t="s">
        <v>1181</v>
      </c>
    </row>
    <row r="946" spans="1:1">
      <c r="A946" s="479" t="s">
        <v>1182</v>
      </c>
    </row>
    <row r="947" spans="1:1">
      <c r="A947" s="479" t="s">
        <v>1183</v>
      </c>
    </row>
    <row r="948" spans="1:1">
      <c r="A948" s="479" t="s">
        <v>1184</v>
      </c>
    </row>
    <row r="949" spans="1:1">
      <c r="A949" s="479" t="s">
        <v>1185</v>
      </c>
    </row>
    <row r="950" spans="1:1">
      <c r="A950" s="479" t="s">
        <v>1186</v>
      </c>
    </row>
    <row r="951" spans="1:1">
      <c r="A951" s="479" t="s">
        <v>1187</v>
      </c>
    </row>
    <row r="952" spans="1:1">
      <c r="A952" s="479" t="s">
        <v>1188</v>
      </c>
    </row>
    <row r="953" spans="1:1">
      <c r="A953" s="479" t="s">
        <v>1189</v>
      </c>
    </row>
    <row r="954" spans="1:1">
      <c r="A954" s="479" t="s">
        <v>1190</v>
      </c>
    </row>
    <row r="955" spans="1:1">
      <c r="A955" s="479" t="s">
        <v>1191</v>
      </c>
    </row>
    <row r="956" spans="1:1">
      <c r="A956" s="479" t="s">
        <v>1192</v>
      </c>
    </row>
    <row r="957" spans="1:1">
      <c r="A957" s="479" t="s">
        <v>1193</v>
      </c>
    </row>
    <row r="958" spans="1:1">
      <c r="A958" s="479" t="s">
        <v>1194</v>
      </c>
    </row>
    <row r="959" spans="1:1">
      <c r="A959" s="479" t="s">
        <v>1195</v>
      </c>
    </row>
    <row r="960" spans="1:1">
      <c r="A960" s="479" t="s">
        <v>1196</v>
      </c>
    </row>
    <row r="961" spans="1:1">
      <c r="A961" s="479" t="s">
        <v>1197</v>
      </c>
    </row>
    <row r="962" spans="1:1">
      <c r="A962" s="479" t="s">
        <v>1198</v>
      </c>
    </row>
    <row r="963" spans="1:1">
      <c r="A963" s="479" t="s">
        <v>1199</v>
      </c>
    </row>
    <row r="964" spans="1:1">
      <c r="A964" s="479" t="s">
        <v>1200</v>
      </c>
    </row>
    <row r="965" spans="1:1">
      <c r="A965" s="479" t="s">
        <v>1201</v>
      </c>
    </row>
    <row r="966" spans="1:1">
      <c r="A966" s="479" t="s">
        <v>1202</v>
      </c>
    </row>
    <row r="967" spans="1:1">
      <c r="A967" s="479" t="s">
        <v>1203</v>
      </c>
    </row>
    <row r="968" spans="1:1">
      <c r="A968" s="479" t="s">
        <v>1204</v>
      </c>
    </row>
    <row r="969" spans="1:1">
      <c r="A969" s="479" t="s">
        <v>1205</v>
      </c>
    </row>
    <row r="970" spans="1:1">
      <c r="A970" s="479" t="s">
        <v>1206</v>
      </c>
    </row>
    <row r="971" spans="1:1">
      <c r="A971" s="479" t="s">
        <v>1207</v>
      </c>
    </row>
    <row r="972" spans="1:1">
      <c r="A972" s="479" t="s">
        <v>1208</v>
      </c>
    </row>
    <row r="973" spans="1:1">
      <c r="A973" s="479" t="s">
        <v>1209</v>
      </c>
    </row>
    <row r="974" spans="1:1">
      <c r="A974" s="479" t="s">
        <v>1210</v>
      </c>
    </row>
    <row r="975" spans="1:1">
      <c r="A975" s="479" t="s">
        <v>1211</v>
      </c>
    </row>
    <row r="976" spans="1:1">
      <c r="A976" s="479" t="s">
        <v>1212</v>
      </c>
    </row>
    <row r="977" spans="1:1">
      <c r="A977" s="479" t="s">
        <v>1213</v>
      </c>
    </row>
    <row r="978" spans="1:1">
      <c r="A978" s="479" t="s">
        <v>1214</v>
      </c>
    </row>
    <row r="979" spans="1:1">
      <c r="A979" s="479" t="s">
        <v>1215</v>
      </c>
    </row>
    <row r="980" spans="1:1">
      <c r="A980" s="479" t="s">
        <v>1216</v>
      </c>
    </row>
    <row r="981" spans="1:1">
      <c r="A981" s="479" t="s">
        <v>1217</v>
      </c>
    </row>
    <row r="982" spans="1:1">
      <c r="A982" s="479" t="s">
        <v>1218</v>
      </c>
    </row>
    <row r="983" spans="1:1">
      <c r="A983" s="479" t="s">
        <v>1219</v>
      </c>
    </row>
    <row r="984" spans="1:1">
      <c r="A984" s="479" t="s">
        <v>1220</v>
      </c>
    </row>
    <row r="985" spans="1:1">
      <c r="A985" s="479" t="s">
        <v>1221</v>
      </c>
    </row>
    <row r="986" spans="1:1">
      <c r="A986" s="479" t="s">
        <v>1222</v>
      </c>
    </row>
    <row r="987" spans="1:1">
      <c r="A987" s="479" t="s">
        <v>1223</v>
      </c>
    </row>
    <row r="988" spans="1:1">
      <c r="A988" s="479" t="s">
        <v>1224</v>
      </c>
    </row>
    <row r="989" spans="1:1">
      <c r="A989" s="479" t="s">
        <v>1225</v>
      </c>
    </row>
    <row r="990" spans="1:1">
      <c r="A990" s="479" t="s">
        <v>1226</v>
      </c>
    </row>
    <row r="991" spans="1:1">
      <c r="A991" s="479" t="s">
        <v>1227</v>
      </c>
    </row>
    <row r="992" spans="1:1">
      <c r="A992" s="479" t="s">
        <v>1228</v>
      </c>
    </row>
    <row r="993" spans="1:1">
      <c r="A993" s="479" t="s">
        <v>1229</v>
      </c>
    </row>
    <row r="994" spans="1:1">
      <c r="A994" s="479" t="s">
        <v>1230</v>
      </c>
    </row>
    <row r="995" spans="1:1">
      <c r="A995" s="479" t="s">
        <v>1231</v>
      </c>
    </row>
    <row r="996" spans="1:1">
      <c r="A996" s="479" t="s">
        <v>1232</v>
      </c>
    </row>
    <row r="997" spans="1:1">
      <c r="A997" s="479" t="s">
        <v>1233</v>
      </c>
    </row>
    <row r="998" spans="1:1">
      <c r="A998" s="479" t="s">
        <v>1234</v>
      </c>
    </row>
    <row r="999" spans="1:1">
      <c r="A999" s="479" t="s">
        <v>1235</v>
      </c>
    </row>
    <row r="1000" spans="1:1">
      <c r="A1000" s="479" t="s">
        <v>1236</v>
      </c>
    </row>
    <row r="1001" spans="1:1">
      <c r="A1001" s="479" t="s">
        <v>1237</v>
      </c>
    </row>
    <row r="1002" spans="1:1">
      <c r="A1002" s="479" t="s">
        <v>1238</v>
      </c>
    </row>
    <row r="1003" spans="1:1">
      <c r="A1003" s="479" t="s">
        <v>1239</v>
      </c>
    </row>
    <row r="1004" spans="1:1">
      <c r="A1004" s="479" t="s">
        <v>1240</v>
      </c>
    </row>
    <row r="1005" spans="1:1">
      <c r="A1005" s="479" t="s">
        <v>1241</v>
      </c>
    </row>
    <row r="1006" spans="1:1">
      <c r="A1006" s="479" t="s">
        <v>1242</v>
      </c>
    </row>
    <row r="1007" spans="1:1">
      <c r="A1007" s="479" t="s">
        <v>1243</v>
      </c>
    </row>
    <row r="1008" spans="1:1">
      <c r="A1008" s="479" t="s">
        <v>1244</v>
      </c>
    </row>
    <row r="1009" spans="1:1">
      <c r="A1009" s="479" t="s">
        <v>1245</v>
      </c>
    </row>
    <row r="1010" spans="1:1">
      <c r="A1010" s="479" t="s">
        <v>1246</v>
      </c>
    </row>
    <row r="1011" spans="1:1">
      <c r="A1011" s="479" t="s">
        <v>1247</v>
      </c>
    </row>
    <row r="1012" spans="1:1">
      <c r="A1012" s="479" t="s">
        <v>1248</v>
      </c>
    </row>
    <row r="1013" spans="1:1">
      <c r="A1013" s="479" t="s">
        <v>1249</v>
      </c>
    </row>
    <row r="1014" spans="1:1">
      <c r="A1014" s="479" t="s">
        <v>1250</v>
      </c>
    </row>
    <row r="1015" spans="1:1">
      <c r="A1015" s="479" t="s">
        <v>1251</v>
      </c>
    </row>
    <row r="1016" spans="1:1">
      <c r="A1016" s="479" t="s">
        <v>1252</v>
      </c>
    </row>
    <row r="1017" spans="1:1">
      <c r="A1017" s="479" t="s">
        <v>1253</v>
      </c>
    </row>
    <row r="1018" spans="1:1">
      <c r="A1018" s="479" t="s">
        <v>1254</v>
      </c>
    </row>
    <row r="1019" spans="1:1">
      <c r="A1019" s="479" t="s">
        <v>1255</v>
      </c>
    </row>
    <row r="1020" spans="1:1">
      <c r="A1020" s="479" t="s">
        <v>1256</v>
      </c>
    </row>
    <row r="1021" spans="1:1">
      <c r="A1021" s="479" t="s">
        <v>1257</v>
      </c>
    </row>
    <row r="1022" spans="1:1">
      <c r="A1022" s="479" t="s">
        <v>1258</v>
      </c>
    </row>
    <row r="1023" spans="1:1">
      <c r="A1023" s="479" t="s">
        <v>1259</v>
      </c>
    </row>
    <row r="1024" spans="1:1">
      <c r="A1024" s="479" t="s">
        <v>1260</v>
      </c>
    </row>
    <row r="1025" spans="1:1">
      <c r="A1025" s="479" t="s">
        <v>1261</v>
      </c>
    </row>
    <row r="1026" spans="1:1">
      <c r="A1026" s="479" t="s">
        <v>1262</v>
      </c>
    </row>
    <row r="1027" spans="1:1">
      <c r="A1027" s="479" t="s">
        <v>1263</v>
      </c>
    </row>
    <row r="1028" spans="1:1">
      <c r="A1028" s="479" t="s">
        <v>1264</v>
      </c>
    </row>
    <row r="1029" spans="1:1">
      <c r="A1029" s="479" t="s">
        <v>1265</v>
      </c>
    </row>
    <row r="1030" spans="1:1">
      <c r="A1030" s="479" t="s">
        <v>1266</v>
      </c>
    </row>
    <row r="1031" spans="1:1">
      <c r="A1031" s="479" t="s">
        <v>1267</v>
      </c>
    </row>
    <row r="1032" spans="1:1">
      <c r="A1032" s="479" t="s">
        <v>1268</v>
      </c>
    </row>
    <row r="1033" spans="1:1">
      <c r="A1033" s="479" t="s">
        <v>1269</v>
      </c>
    </row>
    <row r="1034" spans="1:1">
      <c r="A1034" s="479" t="s">
        <v>1270</v>
      </c>
    </row>
    <row r="1035" spans="1:1">
      <c r="A1035" s="479" t="s">
        <v>1271</v>
      </c>
    </row>
    <row r="1036" spans="1:1">
      <c r="A1036" s="479" t="s">
        <v>1272</v>
      </c>
    </row>
    <row r="1037" spans="1:1">
      <c r="A1037" s="479" t="s">
        <v>1273</v>
      </c>
    </row>
    <row r="1038" spans="1:1">
      <c r="A1038" s="479" t="s">
        <v>1274</v>
      </c>
    </row>
    <row r="1039" spans="1:1">
      <c r="A1039" s="479" t="s">
        <v>1275</v>
      </c>
    </row>
    <row r="1040" spans="1:1">
      <c r="A1040" s="479" t="s">
        <v>1276</v>
      </c>
    </row>
    <row r="1041" spans="1:1">
      <c r="A1041" s="479" t="s">
        <v>1277</v>
      </c>
    </row>
    <row r="1042" spans="1:1">
      <c r="A1042" s="479" t="s">
        <v>1278</v>
      </c>
    </row>
    <row r="1043" spans="1:1">
      <c r="A1043" s="479" t="s">
        <v>1279</v>
      </c>
    </row>
    <row r="1044" spans="1:1">
      <c r="A1044" s="479" t="s">
        <v>1280</v>
      </c>
    </row>
    <row r="1045" spans="1:1">
      <c r="A1045" s="479" t="s">
        <v>1281</v>
      </c>
    </row>
    <row r="1046" spans="1:1">
      <c r="A1046" s="479" t="s">
        <v>1282</v>
      </c>
    </row>
    <row r="1047" spans="1:1">
      <c r="A1047" s="479" t="s">
        <v>1283</v>
      </c>
    </row>
    <row r="1048" spans="1:1">
      <c r="A1048" s="479" t="s">
        <v>1284</v>
      </c>
    </row>
    <row r="1049" spans="1:1">
      <c r="A1049" s="479" t="s">
        <v>1285</v>
      </c>
    </row>
    <row r="1050" spans="1:1">
      <c r="A1050" s="479" t="s">
        <v>1286</v>
      </c>
    </row>
    <row r="1051" spans="1:1">
      <c r="A1051" s="479" t="s">
        <v>1287</v>
      </c>
    </row>
    <row r="1052" spans="1:1">
      <c r="A1052" s="479" t="s">
        <v>1288</v>
      </c>
    </row>
    <row r="1053" spans="1:1">
      <c r="A1053" s="479" t="s">
        <v>1289</v>
      </c>
    </row>
    <row r="1054" spans="1:1">
      <c r="A1054" s="479" t="s">
        <v>1290</v>
      </c>
    </row>
    <row r="1055" spans="1:1">
      <c r="A1055" s="479" t="s">
        <v>1291</v>
      </c>
    </row>
    <row r="1056" spans="1:1">
      <c r="A1056" s="479" t="s">
        <v>1292</v>
      </c>
    </row>
    <row r="1057" spans="1:1">
      <c r="A1057" s="479" t="s">
        <v>1293</v>
      </c>
    </row>
    <row r="1058" spans="1:1">
      <c r="A1058" s="479" t="s">
        <v>1294</v>
      </c>
    </row>
    <row r="1059" spans="1:1">
      <c r="A1059" s="479" t="s">
        <v>1295</v>
      </c>
    </row>
    <row r="1060" spans="1:1">
      <c r="A1060" s="479" t="s">
        <v>1296</v>
      </c>
    </row>
    <row r="1061" spans="1:1">
      <c r="A1061" s="479" t="s">
        <v>1297</v>
      </c>
    </row>
    <row r="1062" spans="1:1">
      <c r="A1062" s="479" t="s">
        <v>1298</v>
      </c>
    </row>
    <row r="1063" spans="1:1">
      <c r="A1063" s="479" t="s">
        <v>1299</v>
      </c>
    </row>
    <row r="1064" spans="1:1">
      <c r="A1064" s="479" t="s">
        <v>1300</v>
      </c>
    </row>
    <row r="1065" spans="1:1">
      <c r="A1065" s="479" t="s">
        <v>1301</v>
      </c>
    </row>
    <row r="1066" spans="1:1">
      <c r="A1066" s="479" t="s">
        <v>1302</v>
      </c>
    </row>
    <row r="1067" spans="1:1">
      <c r="A1067" s="479" t="s">
        <v>1303</v>
      </c>
    </row>
    <row r="1068" spans="1:1">
      <c r="A1068" s="479" t="s">
        <v>1304</v>
      </c>
    </row>
    <row r="1069" spans="1:1">
      <c r="A1069" s="479" t="s">
        <v>1305</v>
      </c>
    </row>
    <row r="1070" spans="1:1">
      <c r="A1070" s="479" t="s">
        <v>1306</v>
      </c>
    </row>
    <row r="1071" spans="1:1">
      <c r="A1071" s="479" t="s">
        <v>1307</v>
      </c>
    </row>
    <row r="1072" spans="1:1">
      <c r="A1072" s="479" t="s">
        <v>1308</v>
      </c>
    </row>
    <row r="1073" spans="1:1">
      <c r="A1073" s="479" t="s">
        <v>1309</v>
      </c>
    </row>
    <row r="1074" spans="1:1">
      <c r="A1074" s="479" t="s">
        <v>1310</v>
      </c>
    </row>
    <row r="1075" spans="1:1">
      <c r="A1075" s="479" t="s">
        <v>1311</v>
      </c>
    </row>
    <row r="1076" spans="1:1">
      <c r="A1076" s="479" t="s">
        <v>1312</v>
      </c>
    </row>
    <row r="1077" spans="1:1">
      <c r="A1077" s="479" t="s">
        <v>1313</v>
      </c>
    </row>
    <row r="1078" spans="1:1">
      <c r="A1078" s="479" t="s">
        <v>1314</v>
      </c>
    </row>
    <row r="1079" spans="1:1">
      <c r="A1079" s="479" t="s">
        <v>1315</v>
      </c>
    </row>
    <row r="1080" spans="1:1">
      <c r="A1080" s="479" t="s">
        <v>1316</v>
      </c>
    </row>
    <row r="1081" spans="1:1">
      <c r="A1081" s="479" t="s">
        <v>1317</v>
      </c>
    </row>
    <row r="1082" spans="1:1">
      <c r="A1082" s="479" t="s">
        <v>1318</v>
      </c>
    </row>
    <row r="1083" spans="1:1">
      <c r="A1083" s="479" t="s">
        <v>1319</v>
      </c>
    </row>
    <row r="1084" spans="1:1">
      <c r="A1084" s="479" t="s">
        <v>1320</v>
      </c>
    </row>
    <row r="1085" spans="1:1">
      <c r="A1085" s="479" t="s">
        <v>1321</v>
      </c>
    </row>
    <row r="1086" spans="1:1">
      <c r="A1086" s="479" t="s">
        <v>1322</v>
      </c>
    </row>
    <row r="1087" spans="1:1">
      <c r="A1087" s="479" t="s">
        <v>1323</v>
      </c>
    </row>
    <row r="1088" spans="1:1">
      <c r="A1088" s="479" t="s">
        <v>1324</v>
      </c>
    </row>
    <row r="1089" spans="1:1">
      <c r="A1089" s="479" t="s">
        <v>1325</v>
      </c>
    </row>
    <row r="1090" spans="1:1">
      <c r="A1090" s="479" t="s">
        <v>1326</v>
      </c>
    </row>
    <row r="1091" spans="1:1">
      <c r="A1091" s="479" t="s">
        <v>1327</v>
      </c>
    </row>
    <row r="1092" spans="1:1">
      <c r="A1092" s="479" t="s">
        <v>1328</v>
      </c>
    </row>
    <row r="1093" spans="1:1">
      <c r="A1093" s="479" t="s">
        <v>1329</v>
      </c>
    </row>
    <row r="1094" spans="1:1">
      <c r="A1094" s="479" t="s">
        <v>1330</v>
      </c>
    </row>
    <row r="1095" spans="1:1">
      <c r="A1095" s="479" t="s">
        <v>1331</v>
      </c>
    </row>
    <row r="1096" spans="1:1">
      <c r="A1096" s="479" t="s">
        <v>1332</v>
      </c>
    </row>
    <row r="1097" spans="1:1">
      <c r="A1097" s="479" t="s">
        <v>1333</v>
      </c>
    </row>
    <row r="1098" spans="1:1">
      <c r="A1098" s="479" t="s">
        <v>1334</v>
      </c>
    </row>
    <row r="1099" spans="1:1">
      <c r="A1099" s="479" t="s">
        <v>1335</v>
      </c>
    </row>
    <row r="1100" spans="1:1">
      <c r="A1100" s="479" t="s">
        <v>1336</v>
      </c>
    </row>
    <row r="1101" spans="1:1">
      <c r="A1101" s="479" t="s">
        <v>1337</v>
      </c>
    </row>
    <row r="1102" spans="1:1">
      <c r="A1102" s="479" t="s">
        <v>1338</v>
      </c>
    </row>
    <row r="1103" spans="1:1">
      <c r="A1103" s="479" t="s">
        <v>1339</v>
      </c>
    </row>
    <row r="1104" spans="1:1">
      <c r="A1104" s="479" t="s">
        <v>1340</v>
      </c>
    </row>
    <row r="1105" spans="1:1">
      <c r="A1105" s="479" t="s">
        <v>1341</v>
      </c>
    </row>
    <row r="1106" spans="1:1">
      <c r="A1106" s="479" t="s">
        <v>1342</v>
      </c>
    </row>
    <row r="1107" spans="1:1">
      <c r="A1107" s="479" t="s">
        <v>1343</v>
      </c>
    </row>
    <row r="1108" spans="1:1">
      <c r="A1108" s="479" t="s">
        <v>1344</v>
      </c>
    </row>
    <row r="1109" spans="1:1">
      <c r="A1109" s="479" t="s">
        <v>1345</v>
      </c>
    </row>
    <row r="1110" spans="1:1">
      <c r="A1110" s="479" t="s">
        <v>1346</v>
      </c>
    </row>
    <row r="1111" spans="1:1">
      <c r="A1111" s="479" t="s">
        <v>1347</v>
      </c>
    </row>
    <row r="1112" spans="1:1">
      <c r="A1112" s="479" t="s">
        <v>1348</v>
      </c>
    </row>
    <row r="1113" spans="1:1">
      <c r="A1113" s="479" t="s">
        <v>1349</v>
      </c>
    </row>
    <row r="1114" spans="1:1">
      <c r="A1114" s="479" t="s">
        <v>1350</v>
      </c>
    </row>
    <row r="1115" spans="1:1">
      <c r="A1115" s="479" t="s">
        <v>1351</v>
      </c>
    </row>
    <row r="1116" spans="1:1">
      <c r="A1116" s="479" t="s">
        <v>1352</v>
      </c>
    </row>
    <row r="1117" spans="1:1">
      <c r="A1117" s="479" t="s">
        <v>1353</v>
      </c>
    </row>
    <row r="1118" spans="1:1">
      <c r="A1118" s="479" t="s">
        <v>1354</v>
      </c>
    </row>
    <row r="1119" spans="1:1">
      <c r="A1119" s="479" t="s">
        <v>1355</v>
      </c>
    </row>
    <row r="1120" spans="1:1">
      <c r="A1120" s="479" t="s">
        <v>1356</v>
      </c>
    </row>
    <row r="1121" spans="1:1">
      <c r="A1121" s="479" t="s">
        <v>1357</v>
      </c>
    </row>
    <row r="1122" spans="1:1">
      <c r="A1122" s="479" t="s">
        <v>1358</v>
      </c>
    </row>
    <row r="1123" spans="1:1">
      <c r="A1123" s="479" t="s">
        <v>1359</v>
      </c>
    </row>
    <row r="1124" spans="1:1">
      <c r="A1124" s="479" t="s">
        <v>1360</v>
      </c>
    </row>
    <row r="1125" spans="1:1">
      <c r="A1125" s="479" t="s">
        <v>1361</v>
      </c>
    </row>
    <row r="1126" spans="1:1">
      <c r="A1126" s="479" t="s">
        <v>1362</v>
      </c>
    </row>
    <row r="1127" spans="1:1">
      <c r="A1127" s="479" t="s">
        <v>1363</v>
      </c>
    </row>
    <row r="1128" spans="1:1">
      <c r="A1128" s="479" t="s">
        <v>1364</v>
      </c>
    </row>
    <row r="1129" spans="1:1">
      <c r="A1129" s="479" t="s">
        <v>1365</v>
      </c>
    </row>
    <row r="1130" spans="1:1">
      <c r="A1130" s="479" t="s">
        <v>1366</v>
      </c>
    </row>
    <row r="1131" spans="1:1">
      <c r="A1131" s="479" t="s">
        <v>1367</v>
      </c>
    </row>
    <row r="1132" spans="1:1">
      <c r="A1132" s="479" t="s">
        <v>1368</v>
      </c>
    </row>
    <row r="1133" spans="1:1">
      <c r="A1133" s="479" t="s">
        <v>1369</v>
      </c>
    </row>
    <row r="1134" spans="1:1">
      <c r="A1134" s="479" t="s">
        <v>1370</v>
      </c>
    </row>
    <row r="1135" spans="1:1">
      <c r="A1135" s="479" t="s">
        <v>1371</v>
      </c>
    </row>
    <row r="1136" spans="1:1">
      <c r="A1136" s="479" t="s">
        <v>1372</v>
      </c>
    </row>
    <row r="1137" spans="1:1">
      <c r="A1137" s="479" t="s">
        <v>1373</v>
      </c>
    </row>
    <row r="1138" spans="1:1">
      <c r="A1138" s="479" t="s">
        <v>1374</v>
      </c>
    </row>
    <row r="1139" spans="1:1">
      <c r="A1139" s="479" t="s">
        <v>1375</v>
      </c>
    </row>
    <row r="1140" spans="1:1">
      <c r="A1140" s="479" t="s">
        <v>1376</v>
      </c>
    </row>
    <row r="1141" spans="1:1">
      <c r="A1141" s="479" t="s">
        <v>1377</v>
      </c>
    </row>
    <row r="1142" spans="1:1">
      <c r="A1142" s="479" t="s">
        <v>1378</v>
      </c>
    </row>
    <row r="1143" spans="1:1">
      <c r="A1143" s="479" t="s">
        <v>1379</v>
      </c>
    </row>
    <row r="1144" spans="1:1">
      <c r="A1144" s="479" t="s">
        <v>1380</v>
      </c>
    </row>
    <row r="1145" spans="1:1">
      <c r="A1145" s="479" t="s">
        <v>1381</v>
      </c>
    </row>
    <row r="1146" spans="1:1">
      <c r="A1146" s="479" t="s">
        <v>1382</v>
      </c>
    </row>
    <row r="1147" spans="1:1">
      <c r="A1147" s="479" t="s">
        <v>1383</v>
      </c>
    </row>
    <row r="1148" spans="1:1">
      <c r="A1148" s="479" t="s">
        <v>1384</v>
      </c>
    </row>
    <row r="1149" spans="1:1">
      <c r="A1149" s="479" t="s">
        <v>1385</v>
      </c>
    </row>
    <row r="1150" spans="1:1">
      <c r="A1150" s="479" t="s">
        <v>1386</v>
      </c>
    </row>
    <row r="1151" spans="1:1">
      <c r="A1151" s="479" t="s">
        <v>1387</v>
      </c>
    </row>
    <row r="1152" spans="1:1">
      <c r="A1152" s="479" t="s">
        <v>1388</v>
      </c>
    </row>
    <row r="1153" spans="1:1">
      <c r="A1153" s="479" t="s">
        <v>1389</v>
      </c>
    </row>
    <row r="1154" spans="1:1">
      <c r="A1154" s="479" t="s">
        <v>1390</v>
      </c>
    </row>
    <row r="1155" spans="1:1">
      <c r="A1155" s="479" t="s">
        <v>1391</v>
      </c>
    </row>
    <row r="1156" spans="1:1">
      <c r="A1156" s="479" t="s">
        <v>1392</v>
      </c>
    </row>
    <row r="1157" spans="1:1">
      <c r="A1157" s="479" t="s">
        <v>1393</v>
      </c>
    </row>
    <row r="1158" spans="1:1">
      <c r="A1158" s="479" t="s">
        <v>1394</v>
      </c>
    </row>
    <row r="1159" spans="1:1">
      <c r="A1159" s="479" t="s">
        <v>1395</v>
      </c>
    </row>
    <row r="1160" spans="1:1">
      <c r="A1160" s="479" t="s">
        <v>1396</v>
      </c>
    </row>
    <row r="1161" spans="1:1">
      <c r="A1161" s="479" t="s">
        <v>1397</v>
      </c>
    </row>
    <row r="1162" spans="1:1">
      <c r="A1162" s="479" t="s">
        <v>1398</v>
      </c>
    </row>
    <row r="1163" spans="1:1">
      <c r="A1163" s="479" t="s">
        <v>1399</v>
      </c>
    </row>
    <row r="1164" spans="1:1">
      <c r="A1164" s="479" t="s">
        <v>1400</v>
      </c>
    </row>
    <row r="1165" spans="1:1">
      <c r="A1165" s="479" t="s">
        <v>1401</v>
      </c>
    </row>
    <row r="1166" spans="1:1">
      <c r="A1166" s="479" t="s">
        <v>1402</v>
      </c>
    </row>
    <row r="1167" spans="1:1">
      <c r="A1167" s="479" t="s">
        <v>1403</v>
      </c>
    </row>
    <row r="1168" spans="1:1">
      <c r="A1168" s="479" t="s">
        <v>1404</v>
      </c>
    </row>
    <row r="1169" spans="1:1">
      <c r="A1169" s="479" t="s">
        <v>1405</v>
      </c>
    </row>
    <row r="1170" spans="1:1">
      <c r="A1170" s="479" t="s">
        <v>1406</v>
      </c>
    </row>
    <row r="1171" spans="1:1">
      <c r="A1171" s="479" t="s">
        <v>1407</v>
      </c>
    </row>
    <row r="1172" spans="1:1">
      <c r="A1172" s="479" t="s">
        <v>1408</v>
      </c>
    </row>
    <row r="1173" spans="1:1">
      <c r="A1173" s="479" t="s">
        <v>1409</v>
      </c>
    </row>
    <row r="1174" spans="1:1">
      <c r="A1174" s="479" t="s">
        <v>1410</v>
      </c>
    </row>
    <row r="1175" spans="1:1">
      <c r="A1175" s="479" t="s">
        <v>1411</v>
      </c>
    </row>
    <row r="1176" spans="1:1">
      <c r="A1176" s="479" t="s">
        <v>1412</v>
      </c>
    </row>
    <row r="1177" spans="1:1">
      <c r="A1177" s="479" t="s">
        <v>1413</v>
      </c>
    </row>
    <row r="1178" spans="1:1">
      <c r="A1178" s="479" t="s">
        <v>1414</v>
      </c>
    </row>
    <row r="1179" spans="1:1">
      <c r="A1179" s="479" t="s">
        <v>1415</v>
      </c>
    </row>
    <row r="1180" spans="1:1">
      <c r="A1180" s="479" t="s">
        <v>1416</v>
      </c>
    </row>
    <row r="1181" spans="1:1">
      <c r="A1181" s="479" t="s">
        <v>1417</v>
      </c>
    </row>
    <row r="1182" spans="1:1">
      <c r="A1182" s="479" t="s">
        <v>1418</v>
      </c>
    </row>
    <row r="1183" spans="1:1">
      <c r="A1183" s="479" t="s">
        <v>1419</v>
      </c>
    </row>
    <row r="1184" spans="1:1">
      <c r="A1184" s="479" t="s">
        <v>1420</v>
      </c>
    </row>
    <row r="1185" spans="1:1">
      <c r="A1185" s="479" t="s">
        <v>1421</v>
      </c>
    </row>
    <row r="1186" spans="1:1">
      <c r="A1186" s="479" t="s">
        <v>1422</v>
      </c>
    </row>
    <row r="1187" spans="1:1">
      <c r="A1187" s="479" t="s">
        <v>1423</v>
      </c>
    </row>
    <row r="1188" spans="1:1">
      <c r="A1188" s="479" t="s">
        <v>1424</v>
      </c>
    </row>
    <row r="1189" spans="1:1">
      <c r="A1189" s="479" t="s">
        <v>1425</v>
      </c>
    </row>
    <row r="1190" spans="1:1">
      <c r="A1190" s="479" t="s">
        <v>1426</v>
      </c>
    </row>
    <row r="1191" spans="1:1">
      <c r="A1191" s="479" t="s">
        <v>1427</v>
      </c>
    </row>
    <row r="1192" spans="1:1">
      <c r="A1192" s="479" t="s">
        <v>1428</v>
      </c>
    </row>
    <row r="1193" spans="1:1">
      <c r="A1193" s="479" t="s">
        <v>1429</v>
      </c>
    </row>
    <row r="1194" spans="1:1">
      <c r="A1194" s="479" t="s">
        <v>1430</v>
      </c>
    </row>
    <row r="1195" spans="1:1">
      <c r="A1195" s="479" t="s">
        <v>1431</v>
      </c>
    </row>
    <row r="1196" spans="1:1">
      <c r="A1196" s="479" t="s">
        <v>1432</v>
      </c>
    </row>
    <row r="1197" spans="1:1">
      <c r="A1197" s="479" t="s">
        <v>1433</v>
      </c>
    </row>
    <row r="1198" spans="1:1">
      <c r="A1198" s="479" t="s">
        <v>1434</v>
      </c>
    </row>
    <row r="1199" spans="1:1">
      <c r="A1199" s="479" t="s">
        <v>1435</v>
      </c>
    </row>
    <row r="1200" spans="1:1">
      <c r="A1200" s="479" t="s">
        <v>1436</v>
      </c>
    </row>
    <row r="1201" spans="1:1">
      <c r="A1201" s="479" t="s">
        <v>1437</v>
      </c>
    </row>
    <row r="1202" spans="1:1">
      <c r="A1202" s="479" t="s">
        <v>1438</v>
      </c>
    </row>
    <row r="1203" spans="1:1">
      <c r="A1203" s="479" t="s">
        <v>1439</v>
      </c>
    </row>
    <row r="1204" spans="1:1">
      <c r="A1204" s="479" t="s">
        <v>1440</v>
      </c>
    </row>
    <row r="1205" spans="1:1">
      <c r="A1205" s="479" t="s">
        <v>1441</v>
      </c>
    </row>
    <row r="1206" spans="1:1">
      <c r="A1206" s="479" t="s">
        <v>1442</v>
      </c>
    </row>
    <row r="1207" spans="1:1">
      <c r="A1207" s="479" t="s">
        <v>1443</v>
      </c>
    </row>
    <row r="1208" spans="1:1">
      <c r="A1208" s="479" t="s">
        <v>1444</v>
      </c>
    </row>
    <row r="1209" spans="1:1">
      <c r="A1209" s="479" t="s">
        <v>1445</v>
      </c>
    </row>
    <row r="1210" spans="1:1">
      <c r="A1210" s="479" t="s">
        <v>1446</v>
      </c>
    </row>
    <row r="1211" spans="1:1">
      <c r="A1211" s="479" t="s">
        <v>1447</v>
      </c>
    </row>
    <row r="1212" spans="1:1">
      <c r="A1212" s="479" t="s">
        <v>1448</v>
      </c>
    </row>
    <row r="1213" spans="1:1">
      <c r="A1213" s="479" t="s">
        <v>1449</v>
      </c>
    </row>
    <row r="1214" spans="1:1">
      <c r="A1214" s="479" t="s">
        <v>1450</v>
      </c>
    </row>
    <row r="1215" spans="1:1">
      <c r="A1215" s="479" t="s">
        <v>1451</v>
      </c>
    </row>
    <row r="1216" spans="1:1">
      <c r="A1216" s="479" t="s">
        <v>1452</v>
      </c>
    </row>
    <row r="1217" spans="1:1">
      <c r="A1217" s="479" t="s">
        <v>1453</v>
      </c>
    </row>
    <row r="1218" spans="1:1">
      <c r="A1218" s="479" t="s">
        <v>1454</v>
      </c>
    </row>
    <row r="1219" spans="1:1">
      <c r="A1219" s="479" t="s">
        <v>1455</v>
      </c>
    </row>
    <row r="1220" spans="1:1">
      <c r="A1220" s="479" t="s">
        <v>1456</v>
      </c>
    </row>
    <row r="1221" spans="1:1">
      <c r="A1221" s="479" t="s">
        <v>1457</v>
      </c>
    </row>
    <row r="1222" spans="1:1">
      <c r="A1222" s="479" t="s">
        <v>1458</v>
      </c>
    </row>
    <row r="1223" spans="1:1">
      <c r="A1223" s="479" t="s">
        <v>1459</v>
      </c>
    </row>
    <row r="1224" spans="1:1">
      <c r="A1224" s="479" t="s">
        <v>1460</v>
      </c>
    </row>
    <row r="1225" spans="1:1">
      <c r="A1225" s="479" t="s">
        <v>1461</v>
      </c>
    </row>
    <row r="1226" spans="1:1">
      <c r="A1226" s="479" t="s">
        <v>1462</v>
      </c>
    </row>
    <row r="1227" spans="1:1">
      <c r="A1227" s="479" t="s">
        <v>1463</v>
      </c>
    </row>
    <row r="1228" spans="1:1">
      <c r="A1228" s="479" t="s">
        <v>1464</v>
      </c>
    </row>
    <row r="1229" spans="1:1">
      <c r="A1229" s="479" t="s">
        <v>1465</v>
      </c>
    </row>
    <row r="1230" spans="1:1">
      <c r="A1230" s="479" t="s">
        <v>1466</v>
      </c>
    </row>
    <row r="1231" spans="1:1">
      <c r="A1231" s="479" t="s">
        <v>1467</v>
      </c>
    </row>
    <row r="1232" spans="1:1">
      <c r="A1232" s="479" t="s">
        <v>1468</v>
      </c>
    </row>
    <row r="1233" spans="1:1">
      <c r="A1233" s="479" t="s">
        <v>1469</v>
      </c>
    </row>
    <row r="1234" spans="1:1">
      <c r="A1234" s="479" t="s">
        <v>1470</v>
      </c>
    </row>
    <row r="1235" spans="1:1">
      <c r="A1235" s="479" t="s">
        <v>1471</v>
      </c>
    </row>
    <row r="1236" spans="1:1">
      <c r="A1236" s="479" t="s">
        <v>1472</v>
      </c>
    </row>
    <row r="1237" spans="1:1">
      <c r="A1237" s="479" t="s">
        <v>1473</v>
      </c>
    </row>
    <row r="1238" spans="1:1">
      <c r="A1238" s="479" t="s">
        <v>1474</v>
      </c>
    </row>
    <row r="1239" spans="1:1">
      <c r="A1239" s="479" t="s">
        <v>1475</v>
      </c>
    </row>
    <row r="1240" spans="1:1">
      <c r="A1240" s="479" t="s">
        <v>1476</v>
      </c>
    </row>
    <row r="1241" spans="1:1">
      <c r="A1241" s="479" t="s">
        <v>1477</v>
      </c>
    </row>
    <row r="1242" spans="1:1">
      <c r="A1242" s="479" t="s">
        <v>1478</v>
      </c>
    </row>
    <row r="1243" spans="1:1">
      <c r="A1243" s="479" t="s">
        <v>1479</v>
      </c>
    </row>
    <row r="1244" spans="1:1">
      <c r="A1244" s="479" t="s">
        <v>1480</v>
      </c>
    </row>
    <row r="1245" spans="1:1">
      <c r="A1245" s="479" t="s">
        <v>1481</v>
      </c>
    </row>
    <row r="1246" spans="1:1">
      <c r="A1246" s="479" t="s">
        <v>1482</v>
      </c>
    </row>
    <row r="1247" spans="1:1">
      <c r="A1247" s="479" t="s">
        <v>1483</v>
      </c>
    </row>
    <row r="1248" spans="1:1">
      <c r="A1248" s="479" t="s">
        <v>1484</v>
      </c>
    </row>
    <row r="1249" spans="1:1">
      <c r="A1249" s="479" t="s">
        <v>1485</v>
      </c>
    </row>
    <row r="1250" spans="1:1">
      <c r="A1250" s="479" t="s">
        <v>1486</v>
      </c>
    </row>
    <row r="1251" spans="1:1">
      <c r="A1251" s="479" t="s">
        <v>1487</v>
      </c>
    </row>
    <row r="1252" spans="1:1">
      <c r="A1252" s="479" t="s">
        <v>1488</v>
      </c>
    </row>
    <row r="1253" spans="1:1">
      <c r="A1253" s="479" t="s">
        <v>1489</v>
      </c>
    </row>
    <row r="1254" spans="1:1">
      <c r="A1254" s="479" t="s">
        <v>1490</v>
      </c>
    </row>
    <row r="1255" spans="1:1">
      <c r="A1255" s="479" t="s">
        <v>1491</v>
      </c>
    </row>
    <row r="1256" spans="1:1">
      <c r="A1256" s="479" t="s">
        <v>1492</v>
      </c>
    </row>
    <row r="1257" spans="1:1">
      <c r="A1257" s="479" t="s">
        <v>1493</v>
      </c>
    </row>
    <row r="1258" spans="1:1">
      <c r="A1258" s="479" t="s">
        <v>1494</v>
      </c>
    </row>
    <row r="1259" spans="1:1">
      <c r="A1259" s="479" t="s">
        <v>1495</v>
      </c>
    </row>
    <row r="1260" spans="1:1">
      <c r="A1260" s="479" t="s">
        <v>1496</v>
      </c>
    </row>
    <row r="1261" spans="1:1">
      <c r="A1261" s="479" t="s">
        <v>1497</v>
      </c>
    </row>
    <row r="1262" spans="1:1">
      <c r="A1262" s="479" t="s">
        <v>1498</v>
      </c>
    </row>
    <row r="1263" spans="1:1">
      <c r="A1263" s="479" t="s">
        <v>1499</v>
      </c>
    </row>
    <row r="1264" spans="1:1">
      <c r="A1264" s="479" t="s">
        <v>1500</v>
      </c>
    </row>
    <row r="1265" spans="1:1">
      <c r="A1265" s="479" t="s">
        <v>1501</v>
      </c>
    </row>
    <row r="1266" spans="1:1">
      <c r="A1266" s="479" t="s">
        <v>1502</v>
      </c>
    </row>
    <row r="1267" spans="1:1">
      <c r="A1267" s="479" t="s">
        <v>1503</v>
      </c>
    </row>
    <row r="1268" spans="1:1">
      <c r="A1268" s="479" t="s">
        <v>1504</v>
      </c>
    </row>
    <row r="1269" spans="1:1">
      <c r="A1269" s="479" t="s">
        <v>1505</v>
      </c>
    </row>
    <row r="1270" spans="1:1">
      <c r="A1270" s="479" t="s">
        <v>1506</v>
      </c>
    </row>
    <row r="1271" spans="1:1">
      <c r="A1271" s="479" t="s">
        <v>1507</v>
      </c>
    </row>
    <row r="1272" spans="1:1">
      <c r="A1272" s="479" t="s">
        <v>1508</v>
      </c>
    </row>
    <row r="1273" spans="1:1">
      <c r="A1273" s="479" t="s">
        <v>1509</v>
      </c>
    </row>
    <row r="1274" spans="1:1">
      <c r="A1274" s="479" t="s">
        <v>1510</v>
      </c>
    </row>
    <row r="1275" spans="1:1">
      <c r="A1275" s="479" t="s">
        <v>1511</v>
      </c>
    </row>
    <row r="1276" spans="1:1">
      <c r="A1276" s="479" t="s">
        <v>1512</v>
      </c>
    </row>
    <row r="1277" spans="1:1">
      <c r="A1277" s="479" t="s">
        <v>1513</v>
      </c>
    </row>
    <row r="1278" spans="1:1">
      <c r="A1278" s="479" t="s">
        <v>1514</v>
      </c>
    </row>
    <row r="1279" spans="1:1">
      <c r="A1279" s="479" t="s">
        <v>1515</v>
      </c>
    </row>
    <row r="1280" spans="1:1">
      <c r="A1280" s="479" t="s">
        <v>1516</v>
      </c>
    </row>
    <row r="1281" spans="1:1">
      <c r="A1281" s="479" t="s">
        <v>1517</v>
      </c>
    </row>
    <row r="1282" spans="1:1">
      <c r="A1282" s="479" t="s">
        <v>1518</v>
      </c>
    </row>
    <row r="1283" spans="1:1">
      <c r="A1283" s="479" t="s">
        <v>1519</v>
      </c>
    </row>
    <row r="1284" spans="1:1">
      <c r="A1284" s="479" t="s">
        <v>1520</v>
      </c>
    </row>
    <row r="1285" spans="1:1">
      <c r="A1285" s="479" t="s">
        <v>1521</v>
      </c>
    </row>
    <row r="1286" spans="1:1">
      <c r="A1286" s="479" t="s">
        <v>1522</v>
      </c>
    </row>
    <row r="1287" spans="1:1">
      <c r="A1287" s="479" t="s">
        <v>1523</v>
      </c>
    </row>
    <row r="1288" spans="1:1">
      <c r="A1288" s="479" t="s">
        <v>1524</v>
      </c>
    </row>
    <row r="1289" spans="1:1">
      <c r="A1289" s="479" t="s">
        <v>1525</v>
      </c>
    </row>
    <row r="1290" spans="1:1">
      <c r="A1290" s="479" t="s">
        <v>1526</v>
      </c>
    </row>
    <row r="1291" spans="1:1">
      <c r="A1291" s="479" t="s">
        <v>1527</v>
      </c>
    </row>
    <row r="1292" spans="1:1">
      <c r="A1292" s="479" t="s">
        <v>1528</v>
      </c>
    </row>
    <row r="1293" spans="1:1">
      <c r="A1293" s="479" t="s">
        <v>1529</v>
      </c>
    </row>
    <row r="1294" spans="1:1">
      <c r="A1294" s="479" t="s">
        <v>1530</v>
      </c>
    </row>
    <row r="1295" spans="1:1">
      <c r="A1295" s="479" t="s">
        <v>1531</v>
      </c>
    </row>
    <row r="1296" spans="1:1">
      <c r="A1296" s="479" t="s">
        <v>1532</v>
      </c>
    </row>
    <row r="1297" spans="1:1">
      <c r="A1297" s="479" t="s">
        <v>1533</v>
      </c>
    </row>
    <row r="1298" spans="1:1">
      <c r="A1298" s="479" t="s">
        <v>1534</v>
      </c>
    </row>
    <row r="1299" spans="1:1" ht="15" thickBot="1">
      <c r="A1299" s="480" t="s">
        <v>1535</v>
      </c>
    </row>
  </sheetData>
  <sheetProtection algorithmName="SHA-512" hashValue="7hREO8r5o8e1RVa8JlHmcwcnOi8lr+5sHlkLC+QxQoaLhAawcw3dUbzOOoiJS46JMvwxWsh/rOFEtrfx6Fp5Yg==" saltValue="sGmrGF8wayVl4+7wUtNSGg==" spinCount="100000" sheet="1" objects="1" scenarios="1"/>
  <mergeCells count="8">
    <mergeCell ref="J20:L20"/>
    <mergeCell ref="A1:C1"/>
    <mergeCell ref="A16:C16"/>
    <mergeCell ref="E1:H1"/>
    <mergeCell ref="E16:H16"/>
    <mergeCell ref="J1:L1"/>
    <mergeCell ref="J15:L15"/>
    <mergeCell ref="J7:L7"/>
  </mergeCells>
  <pageMargins left="0.7" right="0.7" top="0.75" bottom="0.75" header="0.3" footer="0.3"/>
  <pageSetup orientation="portrait" r:id="rId1"/>
  <ignoredErrors>
    <ignoredError sqref="C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D9E4FF"/>
  </sheetPr>
  <dimension ref="A1:DR408"/>
  <sheetViews>
    <sheetView showGridLines="0" rightToLeft="1" zoomScale="86" zoomScaleNormal="86" workbookViewId="0">
      <pane xSplit="1" ySplit="10" topLeftCell="B41" activePane="bottomRight" state="frozen"/>
      <selection pane="topRight" activeCell="B1" sqref="B1"/>
      <selection pane="bottomLeft" activeCell="A11" sqref="A11"/>
      <selection pane="bottomRight" activeCell="H54" sqref="H54"/>
    </sheetView>
  </sheetViews>
  <sheetFormatPr defaultColWidth="8.75" defaultRowHeight="14.25"/>
  <cols>
    <col min="1" max="1" width="7.375" style="15" customWidth="1"/>
    <col min="2" max="2" width="20.375" style="15" customWidth="1"/>
    <col min="3" max="3" width="23.375" style="15" customWidth="1"/>
    <col min="4" max="4" width="21.625" style="15" customWidth="1"/>
    <col min="5" max="5" width="23.125" style="15" customWidth="1"/>
    <col min="6" max="6" width="9.875" style="15" bestFit="1" customWidth="1"/>
    <col min="7" max="7" width="10.375" style="15" bestFit="1" customWidth="1"/>
    <col min="8" max="8" width="11.75" style="15" bestFit="1" customWidth="1"/>
    <col min="9" max="9" width="11.375" style="15" customWidth="1"/>
    <col min="10" max="10" width="13.375" style="15" customWidth="1"/>
    <col min="11" max="11" width="11.375" style="15" customWidth="1"/>
    <col min="12" max="12" width="14" style="15" bestFit="1" customWidth="1"/>
    <col min="13" max="13" width="13.125" style="15" bestFit="1" customWidth="1"/>
    <col min="14" max="14" width="48.875" style="15" customWidth="1"/>
    <col min="15" max="15" width="12.125" style="15" bestFit="1" customWidth="1"/>
    <col min="16" max="16" width="10.625" style="15" bestFit="1" customWidth="1"/>
    <col min="17" max="17" width="12" style="125" bestFit="1" customWidth="1"/>
    <col min="18" max="18" width="9.125" style="15" bestFit="1" customWidth="1"/>
    <col min="19" max="20" width="9.875" style="15" bestFit="1" customWidth="1"/>
    <col min="21" max="21" width="6.375" style="15" bestFit="1" customWidth="1"/>
    <col min="22" max="22" width="15" style="15" customWidth="1"/>
    <col min="23" max="23" width="12.25" style="2" bestFit="1" customWidth="1"/>
    <col min="24" max="24" width="8.125" style="2" bestFit="1" customWidth="1"/>
    <col min="25" max="25" width="12.875" style="2" bestFit="1" customWidth="1"/>
    <col min="26" max="26" width="15.375" style="2" bestFit="1" customWidth="1"/>
    <col min="27" max="27" width="2.875" style="2" customWidth="1"/>
    <col min="28" max="28" width="19" style="2" customWidth="1"/>
    <col min="29" max="29" width="5.125" style="2" customWidth="1"/>
    <col min="30" max="30" width="8.375" style="2" customWidth="1"/>
    <col min="31" max="31" width="11.375" style="2" bestFit="1" customWidth="1"/>
    <col min="32" max="32" width="57.375" style="2" customWidth="1"/>
    <col min="33" max="33" width="8.75" style="2"/>
    <col min="34" max="34" width="23.125" style="2" bestFit="1" customWidth="1"/>
    <col min="35" max="35" width="8.75" style="2"/>
    <col min="36" max="36" width="14.875" style="2" bestFit="1" customWidth="1"/>
    <col min="37" max="16384" width="8.75" style="2"/>
  </cols>
  <sheetData>
    <row r="1" spans="1:122">
      <c r="A1" s="125"/>
      <c r="B1" s="125"/>
      <c r="C1" s="125"/>
      <c r="D1" s="125"/>
      <c r="E1" s="125"/>
      <c r="F1" s="125"/>
      <c r="G1" s="125"/>
      <c r="H1" s="125"/>
      <c r="I1" s="125"/>
      <c r="J1" s="125"/>
      <c r="K1" s="125"/>
      <c r="L1" s="125"/>
      <c r="M1" s="125"/>
      <c r="N1" s="125"/>
      <c r="O1" s="125"/>
      <c r="P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5"/>
      <c r="BX1" s="125"/>
      <c r="BY1" s="125"/>
      <c r="BZ1" s="125"/>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Q1" s="125"/>
      <c r="DR1" s="125"/>
    </row>
    <row r="2" spans="1:122">
      <c r="A2" s="125"/>
      <c r="B2" s="125"/>
      <c r="C2" s="125"/>
      <c r="D2" s="125"/>
      <c r="E2" s="125"/>
      <c r="F2" s="125"/>
      <c r="G2" s="125"/>
      <c r="H2" s="125"/>
      <c r="I2" s="125"/>
      <c r="J2" s="125"/>
      <c r="K2" s="125"/>
      <c r="L2" s="125"/>
      <c r="M2" s="125"/>
      <c r="N2" s="125"/>
      <c r="O2" s="125"/>
      <c r="P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c r="BU2" s="125"/>
      <c r="BV2" s="125"/>
      <c r="BW2" s="125"/>
      <c r="BX2" s="125"/>
      <c r="BY2" s="125"/>
      <c r="BZ2" s="125"/>
      <c r="CA2" s="125"/>
      <c r="CB2" s="125"/>
      <c r="CC2" s="125"/>
      <c r="CD2" s="125"/>
      <c r="CE2" s="125"/>
      <c r="CF2" s="125"/>
      <c r="CG2" s="125"/>
      <c r="CH2" s="125"/>
      <c r="CI2" s="125"/>
      <c r="CJ2" s="125"/>
      <c r="CK2" s="125"/>
      <c r="CL2" s="125"/>
      <c r="CM2" s="125"/>
      <c r="CN2" s="125"/>
      <c r="CO2" s="125"/>
      <c r="CP2" s="125"/>
      <c r="CQ2" s="125"/>
      <c r="CR2" s="125"/>
      <c r="CS2" s="125"/>
      <c r="CT2" s="125"/>
      <c r="CU2" s="125"/>
      <c r="CV2" s="125"/>
      <c r="CW2" s="125"/>
      <c r="CX2" s="125"/>
      <c r="CY2" s="125"/>
      <c r="CZ2" s="125"/>
      <c r="DA2" s="125"/>
      <c r="DB2" s="125"/>
      <c r="DC2" s="125"/>
      <c r="DD2" s="125"/>
      <c r="DE2" s="125"/>
      <c r="DF2" s="125"/>
      <c r="DG2" s="125"/>
      <c r="DH2" s="125"/>
      <c r="DI2" s="125"/>
      <c r="DJ2" s="125"/>
      <c r="DK2" s="125"/>
      <c r="DL2" s="125"/>
      <c r="DM2" s="125"/>
      <c r="DN2" s="125"/>
      <c r="DO2" s="125"/>
      <c r="DP2" s="125"/>
      <c r="DQ2" s="125"/>
      <c r="DR2" s="125"/>
    </row>
    <row r="3" spans="1:122" ht="15" thickBot="1">
      <c r="A3" s="125"/>
      <c r="B3" s="125"/>
      <c r="C3" s="125"/>
      <c r="D3" s="125"/>
      <c r="E3" s="125"/>
      <c r="F3" s="125"/>
      <c r="G3" s="125"/>
      <c r="H3" s="125"/>
      <c r="I3" s="125"/>
      <c r="J3" s="125"/>
      <c r="K3" s="125"/>
      <c r="L3" s="125"/>
      <c r="M3" s="125"/>
      <c r="N3" s="125"/>
      <c r="O3" s="125"/>
      <c r="P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5"/>
      <c r="BP3" s="125"/>
      <c r="BQ3" s="125"/>
      <c r="BR3" s="125"/>
      <c r="BS3" s="125"/>
      <c r="BT3" s="125"/>
      <c r="BU3" s="125"/>
      <c r="BV3" s="125"/>
      <c r="BW3" s="125"/>
      <c r="BX3" s="125"/>
      <c r="BY3" s="125"/>
      <c r="BZ3" s="125"/>
      <c r="CA3" s="125"/>
      <c r="CB3" s="125"/>
      <c r="CC3" s="125"/>
      <c r="CD3" s="125"/>
      <c r="CE3" s="125"/>
      <c r="CF3" s="125"/>
      <c r="CG3" s="125"/>
      <c r="CH3" s="125"/>
      <c r="CI3" s="125"/>
      <c r="CJ3" s="125"/>
      <c r="CK3" s="125"/>
      <c r="CL3" s="125"/>
      <c r="CM3" s="125"/>
      <c r="CN3" s="125"/>
      <c r="CO3" s="125"/>
      <c r="CP3" s="125"/>
      <c r="CQ3" s="125"/>
      <c r="CR3" s="125"/>
      <c r="CS3" s="125"/>
      <c r="CT3" s="125"/>
      <c r="CU3" s="125"/>
      <c r="CV3" s="125"/>
      <c r="CW3" s="125"/>
      <c r="CX3" s="125"/>
      <c r="CY3" s="125"/>
      <c r="CZ3" s="125"/>
      <c r="DA3" s="125"/>
      <c r="DB3" s="125"/>
      <c r="DC3" s="125"/>
      <c r="DD3" s="125"/>
      <c r="DE3" s="125"/>
      <c r="DF3" s="125"/>
      <c r="DG3" s="125"/>
      <c r="DH3" s="125"/>
      <c r="DI3" s="125"/>
      <c r="DJ3" s="125"/>
      <c r="DK3" s="125"/>
      <c r="DL3" s="125"/>
      <c r="DM3" s="125"/>
      <c r="DN3" s="125"/>
      <c r="DO3" s="125"/>
      <c r="DP3" s="125"/>
      <c r="DQ3" s="125"/>
      <c r="DR3" s="125"/>
    </row>
    <row r="4" spans="1:122" ht="15.6" customHeight="1" thickTop="1">
      <c r="A4" s="125"/>
      <c r="B4" s="125"/>
      <c r="C4" s="125"/>
      <c r="D4" s="719" t="s">
        <v>64</v>
      </c>
      <c r="E4" s="720"/>
      <c r="F4" s="720"/>
      <c r="G4" s="720"/>
      <c r="H4" s="721"/>
      <c r="I4" s="125"/>
      <c r="J4" s="125"/>
      <c r="K4" s="125"/>
      <c r="L4" s="125"/>
      <c r="M4" s="125"/>
      <c r="N4" s="125"/>
      <c r="O4" s="125"/>
      <c r="P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c r="CY4" s="125"/>
      <c r="CZ4" s="125"/>
      <c r="DA4" s="125"/>
      <c r="DB4" s="125"/>
      <c r="DC4" s="125"/>
      <c r="DD4" s="125"/>
      <c r="DE4" s="125"/>
      <c r="DF4" s="125"/>
      <c r="DG4" s="125"/>
      <c r="DH4" s="125"/>
      <c r="DI4" s="125"/>
      <c r="DJ4" s="125"/>
      <c r="DK4" s="125"/>
      <c r="DL4" s="125"/>
      <c r="DM4" s="125"/>
      <c r="DN4" s="125"/>
      <c r="DO4" s="125"/>
      <c r="DP4" s="125"/>
      <c r="DQ4" s="125"/>
      <c r="DR4" s="125"/>
    </row>
    <row r="5" spans="1:122">
      <c r="A5" s="125"/>
      <c r="B5" s="127"/>
      <c r="C5" s="125"/>
      <c r="D5" s="722"/>
      <c r="E5" s="723"/>
      <c r="F5" s="723"/>
      <c r="G5" s="723"/>
      <c r="H5" s="724"/>
      <c r="I5" s="125"/>
      <c r="J5" s="125"/>
      <c r="K5" s="125"/>
      <c r="L5" s="127"/>
      <c r="M5" s="127"/>
      <c r="N5" s="127"/>
      <c r="O5" s="127"/>
      <c r="P5" s="127"/>
      <c r="Q5" s="127"/>
      <c r="R5" s="127"/>
      <c r="S5" s="127"/>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row>
    <row r="6" spans="1:122" ht="15" thickBot="1">
      <c r="A6" s="125"/>
      <c r="B6" s="127"/>
      <c r="C6" s="125"/>
      <c r="D6" s="725"/>
      <c r="E6" s="726"/>
      <c r="F6" s="726"/>
      <c r="G6" s="726"/>
      <c r="H6" s="727"/>
      <c r="I6" s="125"/>
      <c r="J6" s="125"/>
      <c r="K6" s="125"/>
      <c r="L6" s="127"/>
      <c r="M6" s="127"/>
      <c r="N6" s="127"/>
      <c r="O6" s="127"/>
      <c r="P6" s="127"/>
      <c r="Q6" s="127"/>
      <c r="R6" s="127"/>
      <c r="S6" s="127"/>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c r="DQ6" s="125"/>
      <c r="DR6" s="125"/>
    </row>
    <row r="7" spans="1:122" ht="15.75" thickTop="1" thickBot="1">
      <c r="A7" s="125"/>
      <c r="B7" s="127"/>
      <c r="C7" s="125"/>
      <c r="D7" s="127"/>
      <c r="E7" s="127"/>
      <c r="F7" s="127"/>
      <c r="G7" s="127"/>
      <c r="H7" s="127"/>
      <c r="I7" s="127"/>
      <c r="J7" s="127"/>
      <c r="K7" s="127"/>
      <c r="L7" s="127"/>
      <c r="M7" s="127"/>
      <c r="N7" s="127"/>
      <c r="O7" s="127"/>
      <c r="P7" s="127"/>
      <c r="Q7" s="127"/>
      <c r="R7" s="127"/>
      <c r="S7" s="127"/>
      <c r="T7" s="125"/>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c r="BX7" s="125"/>
      <c r="BY7" s="125"/>
      <c r="BZ7" s="125"/>
      <c r="CA7" s="125"/>
      <c r="CB7" s="125"/>
      <c r="CC7" s="125"/>
      <c r="CD7" s="125"/>
      <c r="CE7" s="125"/>
      <c r="CF7" s="125"/>
      <c r="CG7" s="125"/>
      <c r="CH7" s="125"/>
      <c r="CI7" s="125"/>
      <c r="CJ7" s="125"/>
      <c r="CK7" s="125"/>
      <c r="CL7" s="125"/>
      <c r="CM7" s="125"/>
      <c r="CN7" s="125"/>
      <c r="CO7" s="125"/>
      <c r="CP7" s="125"/>
      <c r="CQ7" s="125"/>
      <c r="CR7" s="125"/>
      <c r="CS7" s="125"/>
      <c r="CT7" s="125"/>
      <c r="CU7" s="125"/>
      <c r="CV7" s="125"/>
      <c r="CW7" s="125"/>
      <c r="CX7" s="125"/>
      <c r="CY7" s="125"/>
      <c r="CZ7" s="125"/>
      <c r="DA7" s="125"/>
      <c r="DB7" s="125"/>
      <c r="DC7" s="125"/>
      <c r="DD7" s="125"/>
      <c r="DE7" s="125"/>
      <c r="DF7" s="125"/>
      <c r="DG7" s="125"/>
      <c r="DH7" s="125"/>
      <c r="DI7" s="125"/>
      <c r="DJ7" s="125"/>
      <c r="DK7" s="125"/>
      <c r="DL7" s="125"/>
      <c r="DM7" s="125"/>
      <c r="DN7" s="125"/>
      <c r="DO7" s="125"/>
      <c r="DP7" s="125"/>
      <c r="DQ7" s="125"/>
      <c r="DR7" s="125"/>
    </row>
    <row r="8" spans="1:122" ht="14.45" customHeight="1" thickTop="1" thickBot="1">
      <c r="A8" s="125"/>
      <c r="B8" s="125"/>
      <c r="C8" s="146"/>
      <c r="D8" s="147"/>
      <c r="E8" s="148"/>
      <c r="F8" s="148"/>
      <c r="G8" s="148"/>
      <c r="H8" s="148"/>
      <c r="I8" s="148"/>
      <c r="J8" s="148"/>
      <c r="K8" s="148"/>
      <c r="L8" s="148"/>
      <c r="M8" s="311"/>
      <c r="N8" s="311"/>
      <c r="O8" s="5"/>
      <c r="P8" s="127"/>
      <c r="R8" s="143"/>
      <c r="S8" s="127"/>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c r="BW8" s="125"/>
      <c r="BX8" s="125"/>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c r="DQ8" s="125"/>
      <c r="DR8" s="125"/>
    </row>
    <row r="9" spans="1:122" ht="56.45" customHeight="1" thickTop="1">
      <c r="A9" s="125"/>
      <c r="B9" s="125"/>
      <c r="C9" s="738" t="s">
        <v>15</v>
      </c>
      <c r="D9" s="683" t="s">
        <v>65</v>
      </c>
      <c r="E9" s="683" t="s">
        <v>66</v>
      </c>
      <c r="F9" s="683" t="s">
        <v>67</v>
      </c>
      <c r="G9" s="683" t="s">
        <v>68</v>
      </c>
      <c r="H9" s="683" t="s">
        <v>69</v>
      </c>
      <c r="I9" s="683" t="s">
        <v>70</v>
      </c>
      <c r="J9" s="683" t="s">
        <v>71</v>
      </c>
      <c r="K9" s="683" t="s">
        <v>72</v>
      </c>
      <c r="L9" s="683" t="s">
        <v>73</v>
      </c>
      <c r="M9" s="683" t="s">
        <v>74</v>
      </c>
      <c r="N9" s="685" t="s">
        <v>66</v>
      </c>
      <c r="O9" s="5"/>
      <c r="P9" s="125"/>
      <c r="Q9" s="143"/>
      <c r="R9" s="143"/>
      <c r="S9" s="127"/>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5"/>
      <c r="BQ9" s="125"/>
      <c r="BR9" s="125"/>
      <c r="BS9" s="125"/>
      <c r="BT9" s="125"/>
      <c r="BU9" s="125"/>
      <c r="BV9" s="125"/>
      <c r="BW9" s="125"/>
      <c r="BX9" s="125"/>
      <c r="BY9" s="125"/>
      <c r="BZ9" s="125"/>
      <c r="CA9" s="125"/>
      <c r="CB9" s="125"/>
      <c r="CC9" s="125"/>
      <c r="CD9" s="125"/>
      <c r="CE9" s="125"/>
      <c r="CF9" s="125"/>
      <c r="CG9" s="125"/>
      <c r="CH9" s="125"/>
      <c r="CI9" s="125"/>
      <c r="CJ9" s="125"/>
      <c r="CK9" s="125"/>
      <c r="CL9" s="125"/>
      <c r="CM9" s="125"/>
      <c r="CN9" s="125"/>
      <c r="CO9" s="125"/>
      <c r="CP9" s="125"/>
      <c r="CQ9" s="125"/>
      <c r="CR9" s="125"/>
      <c r="CS9" s="125"/>
      <c r="CT9" s="125"/>
      <c r="CU9" s="125"/>
      <c r="CV9" s="125"/>
      <c r="CW9" s="125"/>
      <c r="CX9" s="125"/>
      <c r="CY9" s="125"/>
      <c r="CZ9" s="125"/>
      <c r="DA9" s="125"/>
      <c r="DB9" s="125"/>
      <c r="DC9" s="125"/>
      <c r="DD9" s="125"/>
      <c r="DE9" s="125"/>
      <c r="DF9" s="125"/>
      <c r="DG9" s="125"/>
      <c r="DH9" s="125"/>
      <c r="DI9" s="125"/>
      <c r="DJ9" s="125"/>
      <c r="DK9" s="125"/>
      <c r="DL9" s="125"/>
      <c r="DM9" s="125"/>
      <c r="DN9" s="125"/>
      <c r="DO9" s="125"/>
      <c r="DP9" s="125"/>
      <c r="DQ9" s="125"/>
      <c r="DR9" s="125"/>
    </row>
    <row r="10" spans="1:122" ht="24.6" customHeight="1" thickBot="1">
      <c r="A10" s="125"/>
      <c r="B10" s="149"/>
      <c r="C10" s="738"/>
      <c r="D10" s="746"/>
      <c r="E10" s="684"/>
      <c r="F10" s="684"/>
      <c r="G10" s="684"/>
      <c r="H10" s="684"/>
      <c r="I10" s="684"/>
      <c r="J10" s="684"/>
      <c r="K10" s="684"/>
      <c r="L10" s="684"/>
      <c r="M10" s="684"/>
      <c r="N10" s="728"/>
      <c r="O10" s="6"/>
      <c r="P10" s="127"/>
      <c r="R10" s="144"/>
      <c r="S10" s="127"/>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125"/>
      <c r="BM10" s="125"/>
      <c r="BN10" s="125"/>
      <c r="BO10" s="125"/>
      <c r="BP10" s="125"/>
      <c r="BQ10" s="125"/>
      <c r="BR10" s="125"/>
      <c r="BS10" s="125"/>
      <c r="BT10" s="125"/>
      <c r="BU10" s="125"/>
      <c r="BV10" s="125"/>
      <c r="BW10" s="125"/>
      <c r="BX10" s="125"/>
      <c r="BY10" s="125"/>
      <c r="BZ10" s="125"/>
      <c r="CA10" s="125"/>
      <c r="CB10" s="125"/>
      <c r="CC10" s="125"/>
      <c r="CD10" s="125"/>
      <c r="CE10" s="125"/>
      <c r="CF10" s="125"/>
      <c r="CG10" s="125"/>
      <c r="CH10" s="125"/>
      <c r="CI10" s="125"/>
      <c r="CJ10" s="125"/>
      <c r="CK10" s="125"/>
      <c r="CL10" s="125"/>
      <c r="CM10" s="125"/>
      <c r="CN10" s="125"/>
      <c r="CO10" s="125"/>
      <c r="CP10" s="125"/>
      <c r="CQ10" s="125"/>
      <c r="CR10" s="125"/>
      <c r="CS10" s="125"/>
      <c r="CT10" s="125"/>
      <c r="CU10" s="125"/>
      <c r="CV10" s="125"/>
      <c r="CW10" s="125"/>
      <c r="CX10" s="125"/>
      <c r="CY10" s="125"/>
      <c r="CZ10" s="125"/>
      <c r="DA10" s="125"/>
      <c r="DB10" s="125"/>
      <c r="DC10" s="125"/>
      <c r="DD10" s="125"/>
      <c r="DE10" s="125"/>
      <c r="DF10" s="125"/>
      <c r="DG10" s="125"/>
      <c r="DH10" s="125"/>
      <c r="DI10" s="125"/>
      <c r="DJ10" s="125"/>
      <c r="DK10" s="125"/>
      <c r="DL10" s="125"/>
      <c r="DM10" s="125"/>
      <c r="DN10" s="125"/>
      <c r="DO10" s="125"/>
      <c r="DP10" s="125"/>
      <c r="DQ10" s="125"/>
      <c r="DR10" s="125"/>
    </row>
    <row r="11" spans="1:122" ht="27.6" customHeight="1" thickTop="1" thickBot="1">
      <c r="A11" s="125"/>
      <c r="B11" s="742" t="s">
        <v>4</v>
      </c>
      <c r="C11" s="743"/>
      <c r="D11" s="743"/>
      <c r="E11" s="743"/>
      <c r="F11" s="743"/>
      <c r="G11" s="743"/>
      <c r="H11" s="744"/>
      <c r="I11" s="744"/>
      <c r="J11" s="743"/>
      <c r="K11" s="743"/>
      <c r="L11" s="743"/>
      <c r="M11" s="745"/>
      <c r="N11" s="21"/>
      <c r="O11" s="6"/>
      <c r="P11" s="127"/>
      <c r="R11" s="144"/>
      <c r="S11" s="127"/>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c r="BO11" s="125"/>
      <c r="BP11" s="125"/>
      <c r="BQ11" s="125"/>
      <c r="BR11" s="125"/>
      <c r="BS11" s="125"/>
      <c r="BT11" s="125"/>
      <c r="BU11" s="125"/>
      <c r="BV11" s="125"/>
      <c r="BW11" s="125"/>
      <c r="BX11" s="125"/>
      <c r="BY11" s="125"/>
      <c r="BZ11" s="125"/>
      <c r="CA11" s="125"/>
      <c r="CB11" s="125"/>
      <c r="CC11" s="125"/>
      <c r="CD11" s="125"/>
      <c r="CE11" s="125"/>
      <c r="CF11" s="125"/>
      <c r="CG11" s="125"/>
      <c r="CH11" s="125"/>
      <c r="CI11" s="125"/>
      <c r="CJ11" s="125"/>
      <c r="CK11" s="125"/>
      <c r="CL11" s="125"/>
      <c r="CM11" s="125"/>
      <c r="CN11" s="125"/>
      <c r="CO11" s="125"/>
      <c r="CP11" s="125"/>
      <c r="CQ11" s="125"/>
      <c r="CR11" s="125"/>
      <c r="CS11" s="125"/>
      <c r="CT11" s="125"/>
      <c r="CU11" s="125"/>
      <c r="CV11" s="125"/>
      <c r="CW11" s="125"/>
      <c r="CX11" s="125"/>
      <c r="CY11" s="125"/>
      <c r="CZ11" s="125"/>
      <c r="DA11" s="125"/>
      <c r="DB11" s="125"/>
      <c r="DC11" s="125"/>
      <c r="DD11" s="125"/>
      <c r="DE11" s="125"/>
      <c r="DF11" s="125"/>
      <c r="DG11" s="125"/>
      <c r="DH11" s="125"/>
      <c r="DI11" s="125"/>
      <c r="DJ11" s="125"/>
      <c r="DK11" s="125"/>
      <c r="DL11" s="125"/>
      <c r="DM11" s="125"/>
      <c r="DN11" s="125"/>
      <c r="DO11" s="125"/>
      <c r="DP11" s="125"/>
      <c r="DQ11" s="125"/>
      <c r="DR11" s="125"/>
    </row>
    <row r="12" spans="1:122" ht="31.5" thickTop="1" thickBot="1">
      <c r="A12" s="125"/>
      <c r="B12" s="647" t="s">
        <v>67</v>
      </c>
      <c r="C12" s="248" t="s">
        <v>8</v>
      </c>
      <c r="D12" s="28">
        <v>7014</v>
      </c>
      <c r="E12" s="314"/>
      <c r="F12" s="29">
        <v>163</v>
      </c>
      <c r="G12" s="30">
        <v>25</v>
      </c>
      <c r="H12" s="34">
        <f>F12-G12</f>
        <v>138</v>
      </c>
      <c r="I12" s="36">
        <f>H12*0.25</f>
        <v>34.5</v>
      </c>
      <c r="J12" s="32">
        <v>220</v>
      </c>
      <c r="K12" s="32">
        <v>200</v>
      </c>
      <c r="L12" s="31">
        <f>K12*H12*12</f>
        <v>331200</v>
      </c>
      <c r="M12" s="31">
        <f>L12/4</f>
        <v>82800</v>
      </c>
      <c r="N12" s="95" t="s">
        <v>75</v>
      </c>
      <c r="O12" s="6"/>
      <c r="P12" s="127"/>
      <c r="R12" s="144"/>
      <c r="S12" s="127"/>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5"/>
      <c r="BK12" s="125"/>
      <c r="BL12" s="125"/>
      <c r="BM12" s="125"/>
      <c r="BN12" s="125"/>
      <c r="BO12" s="125"/>
      <c r="BP12" s="125"/>
      <c r="BQ12" s="125"/>
      <c r="BR12" s="125"/>
      <c r="BS12" s="125"/>
      <c r="BT12" s="125"/>
      <c r="BU12" s="125"/>
      <c r="BV12" s="125"/>
      <c r="BW12" s="125"/>
      <c r="BX12" s="125"/>
      <c r="BY12" s="125"/>
      <c r="BZ12" s="125"/>
      <c r="CA12" s="125"/>
      <c r="CB12" s="125"/>
      <c r="CC12" s="125"/>
      <c r="CD12" s="125"/>
      <c r="CE12" s="125"/>
      <c r="CF12" s="125"/>
      <c r="CG12" s="125"/>
      <c r="CH12" s="125"/>
      <c r="CI12" s="125"/>
      <c r="CJ12" s="125"/>
      <c r="CK12" s="125"/>
      <c r="CL12" s="125"/>
      <c r="CM12" s="125"/>
      <c r="CN12" s="125"/>
      <c r="CO12" s="125"/>
      <c r="CP12" s="125"/>
      <c r="CQ12" s="125"/>
      <c r="CR12" s="125"/>
      <c r="CS12" s="125"/>
      <c r="CT12" s="125"/>
      <c r="CU12" s="125"/>
      <c r="CV12" s="125"/>
      <c r="CW12" s="125"/>
      <c r="CX12" s="125"/>
      <c r="CY12" s="125"/>
      <c r="CZ12" s="125"/>
      <c r="DA12" s="125"/>
      <c r="DB12" s="125"/>
      <c r="DC12" s="125"/>
      <c r="DD12" s="125"/>
      <c r="DE12" s="125"/>
      <c r="DF12" s="125"/>
      <c r="DG12" s="125"/>
      <c r="DH12" s="125"/>
      <c r="DI12" s="125"/>
      <c r="DJ12" s="125"/>
      <c r="DK12" s="125"/>
      <c r="DL12" s="125"/>
      <c r="DM12" s="125"/>
      <c r="DN12" s="125"/>
      <c r="DO12" s="125"/>
      <c r="DP12" s="125"/>
      <c r="DQ12" s="125"/>
      <c r="DR12" s="125"/>
    </row>
    <row r="13" spans="1:122" ht="16.5" customHeight="1" thickBot="1">
      <c r="A13" s="125"/>
      <c r="B13" s="648"/>
      <c r="C13" s="249" t="s">
        <v>18</v>
      </c>
      <c r="D13" s="33">
        <v>7021</v>
      </c>
      <c r="E13" s="315"/>
      <c r="F13" s="34">
        <v>793</v>
      </c>
      <c r="G13" s="35">
        <v>49</v>
      </c>
      <c r="H13" s="34">
        <f t="shared" ref="H13:H20" si="0">F13-G13</f>
        <v>744</v>
      </c>
      <c r="I13" s="36">
        <f t="shared" ref="I13:I20" si="1">H13*0.25</f>
        <v>186</v>
      </c>
      <c r="J13" s="37">
        <v>45</v>
      </c>
      <c r="K13" s="37">
        <v>30</v>
      </c>
      <c r="L13" s="36">
        <f t="shared" ref="L13:L20" si="2">K13*H13*12</f>
        <v>267840</v>
      </c>
      <c r="M13" s="36">
        <f t="shared" ref="M13:M20" si="3">L13/4</f>
        <v>66960</v>
      </c>
      <c r="N13" s="99"/>
      <c r="O13" s="14"/>
      <c r="P13" s="127"/>
      <c r="R13" s="144"/>
      <c r="S13" s="127"/>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c r="CR13" s="125"/>
      <c r="CS13" s="125"/>
      <c r="CT13" s="125"/>
      <c r="CU13" s="125"/>
      <c r="CV13" s="125"/>
      <c r="CW13" s="125"/>
      <c r="CX13" s="125"/>
      <c r="CY13" s="125"/>
      <c r="CZ13" s="125"/>
      <c r="DA13" s="125"/>
      <c r="DB13" s="125"/>
      <c r="DC13" s="125"/>
      <c r="DD13" s="125"/>
      <c r="DE13" s="125"/>
      <c r="DF13" s="125"/>
      <c r="DG13" s="125"/>
      <c r="DH13" s="125"/>
      <c r="DI13" s="125"/>
      <c r="DJ13" s="125"/>
      <c r="DK13" s="125"/>
      <c r="DL13" s="125"/>
      <c r="DM13" s="125"/>
      <c r="DN13" s="125"/>
      <c r="DO13" s="125"/>
      <c r="DP13" s="125"/>
      <c r="DQ13" s="125"/>
      <c r="DR13" s="125"/>
    </row>
    <row r="14" spans="1:122" ht="15.6" customHeight="1" thickBot="1">
      <c r="A14" s="125"/>
      <c r="B14" s="648"/>
      <c r="C14" s="249" t="s">
        <v>7</v>
      </c>
      <c r="D14" s="33">
        <v>7023</v>
      </c>
      <c r="E14" s="315"/>
      <c r="F14" s="34">
        <v>457</v>
      </c>
      <c r="G14" s="35">
        <v>32</v>
      </c>
      <c r="H14" s="34">
        <f t="shared" si="0"/>
        <v>425</v>
      </c>
      <c r="I14" s="36">
        <f t="shared" si="1"/>
        <v>106.25</v>
      </c>
      <c r="J14" s="37">
        <v>35</v>
      </c>
      <c r="K14" s="37">
        <v>30</v>
      </c>
      <c r="L14" s="36">
        <f t="shared" ref="L14" si="4">K14*H14*12</f>
        <v>153000</v>
      </c>
      <c r="M14" s="36">
        <f t="shared" ref="M14" si="5">L14/4</f>
        <v>38250</v>
      </c>
      <c r="N14" s="99"/>
      <c r="O14" s="14"/>
      <c r="P14" s="127"/>
      <c r="R14" s="144"/>
      <c r="S14" s="127"/>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125"/>
      <c r="CG14" s="125"/>
      <c r="CH14" s="125"/>
      <c r="CI14" s="125"/>
      <c r="CJ14" s="125"/>
      <c r="CK14" s="125"/>
      <c r="CL14" s="125"/>
      <c r="CM14" s="125"/>
      <c r="CN14" s="125"/>
      <c r="CO14" s="125"/>
      <c r="CP14" s="125"/>
      <c r="CQ14" s="125"/>
      <c r="CR14" s="125"/>
      <c r="CS14" s="125"/>
      <c r="CT14" s="125"/>
      <c r="CU14" s="125"/>
      <c r="CV14" s="125"/>
      <c r="CW14" s="125"/>
      <c r="CX14" s="125"/>
      <c r="CY14" s="125"/>
      <c r="CZ14" s="125"/>
      <c r="DA14" s="125"/>
      <c r="DB14" s="125"/>
      <c r="DC14" s="125"/>
      <c r="DD14" s="125"/>
      <c r="DE14" s="125"/>
      <c r="DF14" s="125"/>
      <c r="DG14" s="125"/>
      <c r="DH14" s="125"/>
      <c r="DI14" s="125"/>
      <c r="DJ14" s="125"/>
      <c r="DK14" s="125"/>
      <c r="DL14" s="125"/>
      <c r="DM14" s="125"/>
      <c r="DN14" s="125"/>
      <c r="DO14" s="125"/>
      <c r="DP14" s="125"/>
      <c r="DQ14" s="125"/>
      <c r="DR14" s="125"/>
    </row>
    <row r="15" spans="1:122" ht="15.6" customHeight="1" thickBot="1">
      <c r="A15" s="125"/>
      <c r="B15" s="648"/>
      <c r="C15" s="482" t="s">
        <v>1537</v>
      </c>
      <c r="D15" s="33">
        <v>3554</v>
      </c>
      <c r="E15" s="315"/>
      <c r="F15" s="34">
        <v>666</v>
      </c>
      <c r="G15" s="565"/>
      <c r="H15" s="537"/>
      <c r="I15" s="539"/>
      <c r="J15" s="566"/>
      <c r="K15" s="566"/>
      <c r="L15" s="539"/>
      <c r="M15" s="539"/>
      <c r="N15" s="135"/>
      <c r="O15" s="14"/>
      <c r="P15" s="127"/>
      <c r="R15" s="144"/>
      <c r="S15" s="127"/>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c r="BZ15" s="125"/>
      <c r="CA15" s="125"/>
      <c r="CB15" s="125"/>
      <c r="CC15" s="125"/>
      <c r="CD15" s="125"/>
      <c r="CE15" s="125"/>
      <c r="CF15" s="125"/>
      <c r="CG15" s="125"/>
      <c r="CH15" s="125"/>
      <c r="CI15" s="125"/>
      <c r="CJ15" s="125"/>
      <c r="CK15" s="125"/>
      <c r="CL15" s="125"/>
      <c r="CM15" s="125"/>
      <c r="CN15" s="125"/>
      <c r="CO15" s="125"/>
      <c r="CP15" s="125"/>
      <c r="CQ15" s="125"/>
      <c r="CR15" s="125"/>
      <c r="CS15" s="125"/>
      <c r="CT15" s="125"/>
      <c r="CU15" s="125"/>
      <c r="CV15" s="125"/>
      <c r="CW15" s="125"/>
      <c r="CX15" s="125"/>
      <c r="CY15" s="125"/>
      <c r="CZ15" s="125"/>
      <c r="DA15" s="125"/>
      <c r="DB15" s="125"/>
      <c r="DC15" s="125"/>
      <c r="DD15" s="125"/>
      <c r="DE15" s="125"/>
      <c r="DF15" s="125"/>
      <c r="DG15" s="125"/>
      <c r="DH15" s="125"/>
      <c r="DI15" s="125"/>
      <c r="DJ15" s="125"/>
      <c r="DK15" s="125"/>
      <c r="DL15" s="125"/>
      <c r="DM15" s="125"/>
      <c r="DN15" s="125"/>
      <c r="DO15" s="125"/>
      <c r="DP15" s="125"/>
      <c r="DQ15" s="125"/>
      <c r="DR15" s="125"/>
    </row>
    <row r="16" spans="1:122" ht="39.6" customHeight="1" thickBot="1">
      <c r="A16" s="125"/>
      <c r="B16" s="648"/>
      <c r="C16" s="250" t="s">
        <v>9</v>
      </c>
      <c r="D16" s="38">
        <v>7102</v>
      </c>
      <c r="E16" s="279"/>
      <c r="F16" s="39">
        <v>345</v>
      </c>
      <c r="G16" s="40">
        <v>51</v>
      </c>
      <c r="H16" s="483">
        <f t="shared" si="0"/>
        <v>294</v>
      </c>
      <c r="I16" s="484">
        <f t="shared" si="1"/>
        <v>73.5</v>
      </c>
      <c r="J16" s="42">
        <v>35</v>
      </c>
      <c r="K16" s="42">
        <v>30</v>
      </c>
      <c r="L16" s="41">
        <f t="shared" si="2"/>
        <v>105840</v>
      </c>
      <c r="M16" s="41">
        <f t="shared" si="3"/>
        <v>26460</v>
      </c>
      <c r="N16" s="485" t="s">
        <v>76</v>
      </c>
      <c r="O16" s="14"/>
      <c r="P16" s="127"/>
      <c r="R16" s="144"/>
      <c r="S16" s="127"/>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5"/>
      <c r="BK16" s="125"/>
      <c r="BL16" s="125"/>
      <c r="BM16" s="125"/>
      <c r="BN16" s="125"/>
      <c r="BO16" s="125"/>
      <c r="BP16" s="125"/>
      <c r="BQ16" s="125"/>
      <c r="BR16" s="125"/>
      <c r="BS16" s="125"/>
      <c r="BT16" s="125"/>
      <c r="BU16" s="125"/>
      <c r="BV16" s="125"/>
      <c r="BW16" s="125"/>
      <c r="BX16" s="125"/>
      <c r="BY16" s="125"/>
      <c r="BZ16" s="125"/>
      <c r="CA16" s="125"/>
      <c r="CB16" s="125"/>
      <c r="CC16" s="125"/>
      <c r="CD16" s="125"/>
      <c r="CE16" s="125"/>
      <c r="CF16" s="125"/>
      <c r="CG16" s="125"/>
      <c r="CH16" s="125"/>
      <c r="CI16" s="125"/>
      <c r="CJ16" s="125"/>
      <c r="CK16" s="125"/>
      <c r="CL16" s="125"/>
      <c r="CM16" s="125"/>
      <c r="CN16" s="125"/>
      <c r="CO16" s="125"/>
      <c r="CP16" s="125"/>
      <c r="CQ16" s="125"/>
      <c r="CR16" s="125"/>
      <c r="CS16" s="125"/>
      <c r="CT16" s="125"/>
      <c r="CU16" s="125"/>
      <c r="CV16" s="125"/>
      <c r="CW16" s="125"/>
      <c r="CX16" s="125"/>
      <c r="CY16" s="125"/>
      <c r="CZ16" s="125"/>
      <c r="DA16" s="125"/>
      <c r="DB16" s="125"/>
      <c r="DC16" s="125"/>
      <c r="DD16" s="125"/>
      <c r="DE16" s="125"/>
      <c r="DF16" s="125"/>
      <c r="DG16" s="125"/>
      <c r="DH16" s="125"/>
      <c r="DI16" s="125"/>
      <c r="DJ16" s="125"/>
      <c r="DK16" s="125"/>
      <c r="DL16" s="125"/>
      <c r="DM16" s="125"/>
      <c r="DN16" s="125"/>
      <c r="DO16" s="125"/>
      <c r="DP16" s="125"/>
      <c r="DQ16" s="125"/>
      <c r="DR16" s="125"/>
    </row>
    <row r="17" spans="1:122" ht="15.6" customHeight="1" thickTop="1" thickBot="1">
      <c r="A17" s="125"/>
      <c r="B17" s="648"/>
      <c r="C17" s="739" t="s">
        <v>5</v>
      </c>
      <c r="D17" s="43">
        <v>7002</v>
      </c>
      <c r="E17" s="44" t="s">
        <v>77</v>
      </c>
      <c r="F17" s="45">
        <v>172</v>
      </c>
      <c r="G17" s="46">
        <v>30</v>
      </c>
      <c r="H17" s="45">
        <f t="shared" si="0"/>
        <v>142</v>
      </c>
      <c r="I17" s="47">
        <f t="shared" si="1"/>
        <v>35.5</v>
      </c>
      <c r="J17" s="48">
        <v>40</v>
      </c>
      <c r="K17" s="48">
        <v>20</v>
      </c>
      <c r="L17" s="47">
        <f t="shared" si="2"/>
        <v>34080</v>
      </c>
      <c r="M17" s="47">
        <f t="shared" si="3"/>
        <v>8520</v>
      </c>
      <c r="N17" s="731" t="s">
        <v>78</v>
      </c>
      <c r="O17" s="18"/>
      <c r="P17" s="127"/>
      <c r="R17" s="144"/>
      <c r="S17" s="127"/>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5"/>
      <c r="BK17" s="125"/>
      <c r="BL17" s="125"/>
      <c r="BM17" s="125"/>
      <c r="BN17" s="125"/>
      <c r="BO17" s="125"/>
      <c r="BP17" s="125"/>
      <c r="BQ17" s="125"/>
      <c r="BR17" s="125"/>
      <c r="BS17" s="125"/>
      <c r="BT17" s="125"/>
      <c r="BU17" s="125"/>
      <c r="BV17" s="125"/>
      <c r="BW17" s="125"/>
      <c r="BX17" s="125"/>
      <c r="BY17" s="125"/>
      <c r="BZ17" s="125"/>
      <c r="CA17" s="125"/>
      <c r="CB17" s="125"/>
      <c r="CC17" s="125"/>
      <c r="CD17" s="125"/>
      <c r="CE17" s="125"/>
      <c r="CF17" s="125"/>
      <c r="CG17" s="125"/>
      <c r="CH17" s="125"/>
      <c r="CI17" s="125"/>
      <c r="CJ17" s="125"/>
      <c r="CK17" s="125"/>
      <c r="CL17" s="125"/>
      <c r="CM17" s="125"/>
      <c r="CN17" s="125"/>
      <c r="CO17" s="125"/>
      <c r="CP17" s="125"/>
      <c r="CQ17" s="125"/>
      <c r="CR17" s="125"/>
      <c r="CS17" s="125"/>
      <c r="CT17" s="125"/>
      <c r="CU17" s="125"/>
      <c r="CV17" s="125"/>
      <c r="CW17" s="125"/>
      <c r="CX17" s="125"/>
      <c r="CY17" s="125"/>
      <c r="CZ17" s="125"/>
      <c r="DA17" s="125"/>
      <c r="DB17" s="125"/>
      <c r="DC17" s="125"/>
      <c r="DD17" s="125"/>
      <c r="DE17" s="125"/>
      <c r="DF17" s="125"/>
      <c r="DG17" s="125"/>
      <c r="DH17" s="125"/>
      <c r="DI17" s="125"/>
      <c r="DJ17" s="125"/>
      <c r="DK17" s="125"/>
      <c r="DL17" s="125"/>
      <c r="DM17" s="125"/>
      <c r="DN17" s="125"/>
      <c r="DO17" s="125"/>
      <c r="DP17" s="125"/>
      <c r="DQ17" s="125"/>
      <c r="DR17" s="125"/>
    </row>
    <row r="18" spans="1:122" ht="15.75" thickBot="1">
      <c r="A18" s="125"/>
      <c r="B18" s="648"/>
      <c r="C18" s="740"/>
      <c r="D18" s="49">
        <v>7042</v>
      </c>
      <c r="E18" s="50">
        <v>3</v>
      </c>
      <c r="F18" s="51">
        <v>2273</v>
      </c>
      <c r="G18" s="52">
        <v>112</v>
      </c>
      <c r="H18" s="51">
        <f t="shared" si="0"/>
        <v>2161</v>
      </c>
      <c r="I18" s="53">
        <f t="shared" si="1"/>
        <v>540.25</v>
      </c>
      <c r="J18" s="54">
        <v>40</v>
      </c>
      <c r="K18" s="54">
        <v>20</v>
      </c>
      <c r="L18" s="53">
        <f t="shared" si="2"/>
        <v>518640</v>
      </c>
      <c r="M18" s="53">
        <f t="shared" si="3"/>
        <v>129660</v>
      </c>
      <c r="N18" s="732"/>
      <c r="O18" s="18"/>
      <c r="P18" s="127"/>
      <c r="R18" s="144"/>
      <c r="S18" s="127"/>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5"/>
      <c r="BK18" s="125"/>
      <c r="BL18" s="125"/>
      <c r="BM18" s="125"/>
      <c r="BN18" s="125"/>
      <c r="BO18" s="125"/>
      <c r="BP18" s="125"/>
      <c r="BQ18" s="125"/>
      <c r="BR18" s="125"/>
      <c r="BS18" s="125"/>
      <c r="BT18" s="125"/>
      <c r="BU18" s="125"/>
      <c r="BV18" s="125"/>
      <c r="BW18" s="125"/>
      <c r="BX18" s="125"/>
      <c r="BY18" s="125"/>
      <c r="BZ18" s="125"/>
      <c r="CA18" s="125"/>
      <c r="CB18" s="125"/>
      <c r="CC18" s="125"/>
      <c r="CD18" s="125"/>
      <c r="CE18" s="125"/>
      <c r="CF18" s="125"/>
      <c r="CG18" s="125"/>
      <c r="CH18" s="125"/>
      <c r="CI18" s="125"/>
      <c r="CJ18" s="125"/>
      <c r="CK18" s="125"/>
      <c r="CL18" s="125"/>
      <c r="CM18" s="125"/>
      <c r="CN18" s="125"/>
      <c r="CO18" s="125"/>
      <c r="CP18" s="125"/>
      <c r="CQ18" s="125"/>
      <c r="CR18" s="125"/>
      <c r="CS18" s="125"/>
      <c r="CT18" s="125"/>
      <c r="CU18" s="125"/>
      <c r="CV18" s="125"/>
      <c r="CW18" s="125"/>
      <c r="CX18" s="125"/>
      <c r="CY18" s="125"/>
      <c r="CZ18" s="125"/>
      <c r="DA18" s="125"/>
      <c r="DB18" s="125"/>
      <c r="DC18" s="125"/>
      <c r="DD18" s="125"/>
      <c r="DE18" s="125"/>
      <c r="DF18" s="125"/>
      <c r="DG18" s="125"/>
      <c r="DH18" s="125"/>
      <c r="DI18" s="125"/>
      <c r="DJ18" s="125"/>
      <c r="DK18" s="125"/>
      <c r="DL18" s="125"/>
      <c r="DM18" s="125"/>
      <c r="DN18" s="125"/>
      <c r="DO18" s="125"/>
      <c r="DP18" s="125"/>
      <c r="DQ18" s="125"/>
      <c r="DR18" s="125"/>
    </row>
    <row r="19" spans="1:122" ht="15" customHeight="1" thickBot="1">
      <c r="A19" s="125"/>
      <c r="B19" s="648"/>
      <c r="C19" s="740"/>
      <c r="D19" s="49">
        <v>7043</v>
      </c>
      <c r="E19" s="50">
        <v>4</v>
      </c>
      <c r="F19" s="51">
        <v>3030</v>
      </c>
      <c r="G19" s="52">
        <v>156</v>
      </c>
      <c r="H19" s="51">
        <f t="shared" si="0"/>
        <v>2874</v>
      </c>
      <c r="I19" s="53">
        <f t="shared" si="1"/>
        <v>718.5</v>
      </c>
      <c r="J19" s="54">
        <v>40</v>
      </c>
      <c r="K19" s="54">
        <v>20</v>
      </c>
      <c r="L19" s="53">
        <f t="shared" si="2"/>
        <v>689760</v>
      </c>
      <c r="M19" s="53">
        <f t="shared" si="3"/>
        <v>172440</v>
      </c>
      <c r="N19" s="732"/>
      <c r="O19" s="18"/>
      <c r="P19" s="127"/>
      <c r="R19" s="144"/>
      <c r="S19" s="127"/>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125"/>
      <c r="DP19" s="125"/>
      <c r="DQ19" s="125"/>
      <c r="DR19" s="125"/>
    </row>
    <row r="20" spans="1:122" ht="15" customHeight="1" thickBot="1">
      <c r="A20" s="125"/>
      <c r="B20" s="705"/>
      <c r="C20" s="741"/>
      <c r="D20" s="55">
        <v>7044</v>
      </c>
      <c r="E20" s="56">
        <v>5</v>
      </c>
      <c r="F20" s="57">
        <v>3788</v>
      </c>
      <c r="G20" s="58">
        <v>163</v>
      </c>
      <c r="H20" s="278">
        <f t="shared" si="0"/>
        <v>3625</v>
      </c>
      <c r="I20" s="59">
        <f t="shared" si="1"/>
        <v>906.25</v>
      </c>
      <c r="J20" s="60">
        <v>40</v>
      </c>
      <c r="K20" s="60">
        <v>20</v>
      </c>
      <c r="L20" s="59">
        <f t="shared" si="2"/>
        <v>870000</v>
      </c>
      <c r="M20" s="59">
        <f t="shared" si="3"/>
        <v>217500</v>
      </c>
      <c r="N20" s="733"/>
      <c r="O20" s="18"/>
      <c r="P20" s="127"/>
      <c r="R20" s="144"/>
      <c r="S20" s="127"/>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5"/>
      <c r="BK20" s="125"/>
      <c r="BL20" s="125"/>
      <c r="BM20" s="125"/>
      <c r="BN20" s="125"/>
      <c r="BO20" s="125"/>
      <c r="BP20" s="125"/>
      <c r="BQ20" s="125"/>
      <c r="BR20" s="125"/>
      <c r="BS20" s="125"/>
      <c r="BT20" s="125"/>
      <c r="BU20" s="125"/>
      <c r="BV20" s="125"/>
      <c r="BW20" s="125"/>
      <c r="BX20" s="125"/>
      <c r="BY20" s="125"/>
      <c r="BZ20" s="125"/>
      <c r="CA20" s="125"/>
      <c r="CB20" s="125"/>
      <c r="CC20" s="125"/>
      <c r="CD20" s="125"/>
      <c r="CE20" s="125"/>
      <c r="CF20" s="125"/>
      <c r="CG20" s="125"/>
      <c r="CH20" s="125"/>
      <c r="CI20" s="125"/>
      <c r="CJ20" s="125"/>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125"/>
      <c r="DP20" s="125"/>
      <c r="DQ20" s="125"/>
      <c r="DR20" s="125"/>
    </row>
    <row r="21" spans="1:122" ht="14.45" customHeight="1" thickTop="1">
      <c r="A21" s="125"/>
      <c r="B21" s="647" t="s">
        <v>79</v>
      </c>
      <c r="C21" s="747" t="s">
        <v>22</v>
      </c>
      <c r="D21" s="43" t="s">
        <v>80</v>
      </c>
      <c r="E21" s="79"/>
      <c r="F21" s="45">
        <v>10554</v>
      </c>
      <c r="G21" s="62" t="s">
        <v>81</v>
      </c>
      <c r="H21" s="45" t="s">
        <v>81</v>
      </c>
      <c r="I21" s="47">
        <v>2511</v>
      </c>
      <c r="J21" s="92">
        <v>130</v>
      </c>
      <c r="K21" s="92">
        <v>50</v>
      </c>
      <c r="L21" s="94">
        <v>120528</v>
      </c>
      <c r="M21" s="282">
        <v>30132</v>
      </c>
      <c r="N21" s="84"/>
      <c r="O21" s="6"/>
      <c r="P21" s="127"/>
      <c r="R21" s="144"/>
      <c r="S21" s="127"/>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5"/>
      <c r="BK21" s="125"/>
      <c r="BL21" s="125"/>
      <c r="BM21" s="125"/>
      <c r="BN21" s="125"/>
      <c r="BO21" s="125"/>
      <c r="BP21" s="125"/>
      <c r="BQ21" s="125"/>
      <c r="BR21" s="125"/>
      <c r="BS21" s="125"/>
      <c r="BT21" s="125"/>
      <c r="BU21" s="125"/>
      <c r="BV21" s="125"/>
      <c r="BW21" s="125"/>
      <c r="BX21" s="125"/>
      <c r="BY21" s="125"/>
      <c r="BZ21" s="125"/>
      <c r="CA21" s="125"/>
      <c r="CB21" s="125"/>
      <c r="CC21" s="125"/>
      <c r="CD21" s="125"/>
      <c r="CE21" s="125"/>
      <c r="CF21" s="125"/>
      <c r="CG21" s="125"/>
      <c r="CH21" s="125"/>
      <c r="CI21" s="125"/>
      <c r="CJ21" s="125"/>
      <c r="CK21" s="125"/>
      <c r="CL21" s="125"/>
      <c r="CM21" s="125"/>
      <c r="CN21" s="125"/>
      <c r="CO21" s="125"/>
      <c r="CP21" s="125"/>
      <c r="CQ21" s="125"/>
      <c r="CR21" s="125"/>
      <c r="CS21" s="125"/>
      <c r="CT21" s="125"/>
      <c r="CU21" s="125"/>
      <c r="CV21" s="125"/>
      <c r="CW21" s="125"/>
      <c r="CX21" s="125"/>
      <c r="CY21" s="125"/>
      <c r="CZ21" s="125"/>
      <c r="DA21" s="125"/>
      <c r="DB21" s="125"/>
      <c r="DC21" s="125"/>
      <c r="DD21" s="125"/>
      <c r="DE21" s="125"/>
      <c r="DF21" s="125"/>
      <c r="DG21" s="125"/>
      <c r="DH21" s="125"/>
      <c r="DI21" s="125"/>
      <c r="DJ21" s="125"/>
      <c r="DK21" s="125"/>
      <c r="DL21" s="125"/>
      <c r="DM21" s="125"/>
      <c r="DN21" s="125"/>
      <c r="DO21" s="125"/>
      <c r="DP21" s="125"/>
      <c r="DQ21" s="125"/>
      <c r="DR21" s="125"/>
    </row>
    <row r="22" spans="1:122" ht="14.45" customHeight="1">
      <c r="A22" s="125"/>
      <c r="B22" s="648"/>
      <c r="C22" s="729"/>
      <c r="D22" s="49" t="s">
        <v>82</v>
      </c>
      <c r="E22" s="68"/>
      <c r="F22" s="51">
        <v>14861</v>
      </c>
      <c r="G22" s="61" t="s">
        <v>81</v>
      </c>
      <c r="H22" s="51" t="s">
        <v>81</v>
      </c>
      <c r="I22" s="53">
        <v>3534.5</v>
      </c>
      <c r="J22" s="91">
        <v>210</v>
      </c>
      <c r="K22" s="91">
        <v>80</v>
      </c>
      <c r="L22" s="93">
        <v>169656</v>
      </c>
      <c r="M22" s="281">
        <v>42414</v>
      </c>
      <c r="N22" s="73"/>
      <c r="O22" s="6"/>
      <c r="P22" s="127"/>
      <c r="R22" s="144"/>
      <c r="S22" s="127"/>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5"/>
      <c r="DQ22" s="125"/>
      <c r="DR22" s="125"/>
    </row>
    <row r="23" spans="1:122" ht="15.75" thickBot="1">
      <c r="A23" s="125"/>
      <c r="B23" s="648"/>
      <c r="C23" s="729"/>
      <c r="D23" s="476" t="s">
        <v>83</v>
      </c>
      <c r="E23" s="86"/>
      <c r="F23" s="278">
        <v>19319</v>
      </c>
      <c r="G23" s="525" t="s">
        <v>81</v>
      </c>
      <c r="H23" s="278" t="s">
        <v>81</v>
      </c>
      <c r="I23" s="526">
        <v>4594.75</v>
      </c>
      <c r="J23" s="527">
        <v>300</v>
      </c>
      <c r="K23" s="527">
        <v>110</v>
      </c>
      <c r="L23" s="528">
        <v>220548</v>
      </c>
      <c r="M23" s="529">
        <v>55137</v>
      </c>
      <c r="N23" s="475"/>
      <c r="O23" s="6"/>
      <c r="P23" s="127"/>
      <c r="R23" s="144"/>
      <c r="S23" s="127"/>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125"/>
      <c r="DP23" s="125"/>
      <c r="DQ23" s="125"/>
      <c r="DR23" s="125"/>
    </row>
    <row r="24" spans="1:122" ht="15.75" thickBot="1">
      <c r="A24" s="125"/>
      <c r="B24" s="648"/>
      <c r="C24" s="548" t="s">
        <v>84</v>
      </c>
      <c r="D24" s="536"/>
      <c r="E24" s="315"/>
      <c r="F24" s="537"/>
      <c r="G24" s="538"/>
      <c r="H24" s="537"/>
      <c r="I24" s="539"/>
      <c r="J24" s="540"/>
      <c r="K24" s="540"/>
      <c r="L24" s="541"/>
      <c r="M24" s="542"/>
      <c r="N24" s="135"/>
      <c r="O24" s="6"/>
      <c r="P24" s="127"/>
      <c r="R24" s="144"/>
      <c r="S24" s="127"/>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5"/>
      <c r="DQ24" s="125"/>
      <c r="DR24" s="125"/>
    </row>
    <row r="25" spans="1:122" ht="32.450000000000003" customHeight="1">
      <c r="A25" s="125"/>
      <c r="B25" s="648"/>
      <c r="C25" s="729" t="s">
        <v>1538</v>
      </c>
      <c r="D25" s="477" t="s">
        <v>85</v>
      </c>
      <c r="E25" s="709" t="s">
        <v>86</v>
      </c>
      <c r="F25" s="530"/>
      <c r="G25" s="531"/>
      <c r="H25" s="532"/>
      <c r="I25" s="533"/>
      <c r="J25" s="533"/>
      <c r="K25" s="533"/>
      <c r="L25" s="533"/>
      <c r="M25" s="534"/>
      <c r="N25" s="535"/>
      <c r="O25" s="6"/>
      <c r="P25" s="127"/>
      <c r="R25" s="144"/>
      <c r="S25" s="127"/>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125"/>
      <c r="DP25" s="125"/>
      <c r="DQ25" s="125"/>
      <c r="DR25" s="125"/>
    </row>
    <row r="26" spans="1:122" ht="30.95" customHeight="1">
      <c r="A26" s="125"/>
      <c r="B26" s="648"/>
      <c r="C26" s="729"/>
      <c r="D26" s="49" t="s">
        <v>87</v>
      </c>
      <c r="E26" s="709"/>
      <c r="F26" s="68"/>
      <c r="G26" s="69"/>
      <c r="H26" s="70"/>
      <c r="I26" s="71"/>
      <c r="J26" s="71"/>
      <c r="K26" s="71"/>
      <c r="L26" s="71"/>
      <c r="M26" s="72"/>
      <c r="N26" s="97"/>
      <c r="O26" s="6"/>
      <c r="P26" s="127"/>
      <c r="R26" s="144"/>
      <c r="S26" s="127"/>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5"/>
      <c r="DQ26" s="125"/>
      <c r="DR26" s="125"/>
    </row>
    <row r="27" spans="1:122" ht="33.6" customHeight="1">
      <c r="A27" s="125"/>
      <c r="B27" s="648"/>
      <c r="C27" s="729"/>
      <c r="D27" s="706" t="s">
        <v>88</v>
      </c>
      <c r="E27" s="709"/>
      <c r="F27" s="68"/>
      <c r="G27" s="101"/>
      <c r="H27" s="70"/>
      <c r="I27" s="71"/>
      <c r="J27" s="71"/>
      <c r="K27" s="71"/>
      <c r="L27" s="71"/>
      <c r="M27" s="72"/>
      <c r="N27" s="734"/>
      <c r="O27" s="6"/>
      <c r="P27" s="127"/>
      <c r="R27" s="144"/>
      <c r="S27" s="127"/>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5"/>
      <c r="DQ27" s="125"/>
      <c r="DR27" s="125"/>
    </row>
    <row r="28" spans="1:122" ht="33.950000000000003" customHeight="1">
      <c r="A28" s="125"/>
      <c r="B28" s="648"/>
      <c r="C28" s="729"/>
      <c r="D28" s="707"/>
      <c r="E28" s="709"/>
      <c r="F28" s="68"/>
      <c r="G28" s="102"/>
      <c r="H28" s="70"/>
      <c r="I28" s="71"/>
      <c r="J28" s="71"/>
      <c r="K28" s="71"/>
      <c r="L28" s="71"/>
      <c r="M28" s="72"/>
      <c r="N28" s="735"/>
      <c r="O28" s="6"/>
      <c r="P28" s="127"/>
      <c r="R28" s="144"/>
      <c r="S28" s="127"/>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25"/>
      <c r="BQ28" s="125"/>
      <c r="BR28" s="125"/>
      <c r="BS28" s="125"/>
      <c r="BT28" s="125"/>
      <c r="BU28" s="125"/>
      <c r="BV28" s="125"/>
      <c r="BW28" s="125"/>
      <c r="BX28" s="125"/>
      <c r="BY28" s="125"/>
      <c r="BZ28" s="125"/>
      <c r="CA28" s="125"/>
      <c r="CB28" s="125"/>
      <c r="CC28" s="125"/>
      <c r="CD28" s="125"/>
      <c r="CE28" s="125"/>
      <c r="CF28" s="125"/>
      <c r="CG28" s="125"/>
      <c r="CH28" s="125"/>
      <c r="CI28" s="125"/>
      <c r="CJ28" s="125"/>
      <c r="CK28" s="125"/>
      <c r="CL28" s="125"/>
      <c r="CM28" s="125"/>
      <c r="CN28" s="125"/>
      <c r="CO28" s="125"/>
      <c r="CP28" s="125"/>
      <c r="CQ28" s="125"/>
      <c r="CR28" s="125"/>
      <c r="CS28" s="125"/>
      <c r="CT28" s="125"/>
      <c r="CU28" s="125"/>
      <c r="CV28" s="125"/>
      <c r="CW28" s="125"/>
      <c r="CX28" s="125"/>
      <c r="CY28" s="125"/>
      <c r="CZ28" s="125"/>
      <c r="DA28" s="125"/>
      <c r="DB28" s="125"/>
      <c r="DC28" s="125"/>
      <c r="DD28" s="125"/>
      <c r="DE28" s="125"/>
      <c r="DF28" s="125"/>
      <c r="DG28" s="125"/>
      <c r="DH28" s="125"/>
      <c r="DI28" s="125"/>
      <c r="DJ28" s="125"/>
      <c r="DK28" s="125"/>
      <c r="DL28" s="125"/>
      <c r="DM28" s="125"/>
      <c r="DN28" s="125"/>
      <c r="DO28" s="125"/>
      <c r="DP28" s="125"/>
      <c r="DQ28" s="125"/>
      <c r="DR28" s="125"/>
    </row>
    <row r="29" spans="1:122" ht="15">
      <c r="A29" s="125"/>
      <c r="B29" s="648"/>
      <c r="C29" s="729"/>
      <c r="D29" s="49" t="s">
        <v>89</v>
      </c>
      <c r="E29" s="709"/>
      <c r="F29" s="68"/>
      <c r="G29" s="103"/>
      <c r="H29" s="70"/>
      <c r="I29" s="71"/>
      <c r="J29" s="71"/>
      <c r="K29" s="71"/>
      <c r="L29" s="71"/>
      <c r="M29" s="72"/>
      <c r="N29" s="735"/>
      <c r="O29" s="6"/>
      <c r="P29" s="127"/>
      <c r="R29" s="144"/>
      <c r="S29" s="127"/>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row>
    <row r="30" spans="1:122" ht="15">
      <c r="A30" s="125"/>
      <c r="B30" s="648"/>
      <c r="C30" s="729"/>
      <c r="D30" s="706" t="s">
        <v>90</v>
      </c>
      <c r="E30" s="709"/>
      <c r="F30" s="86"/>
      <c r="G30" s="87"/>
      <c r="H30" s="88"/>
      <c r="I30" s="89"/>
      <c r="J30" s="89"/>
      <c r="K30" s="89"/>
      <c r="L30" s="89"/>
      <c r="M30" s="90"/>
      <c r="N30" s="97"/>
      <c r="O30" s="6"/>
      <c r="P30" s="127"/>
      <c r="R30" s="144"/>
      <c r="S30" s="127"/>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c r="BL30" s="125"/>
      <c r="BM30" s="125"/>
      <c r="BN30" s="125"/>
      <c r="BO30" s="125"/>
      <c r="BP30" s="125"/>
      <c r="BQ30" s="125"/>
      <c r="BR30" s="125"/>
      <c r="BS30" s="125"/>
      <c r="BT30" s="125"/>
      <c r="BU30" s="125"/>
      <c r="BV30" s="125"/>
      <c r="BW30" s="125"/>
      <c r="BX30" s="125"/>
      <c r="BY30" s="125"/>
      <c r="BZ30" s="125"/>
      <c r="CA30" s="125"/>
      <c r="CB30" s="125"/>
      <c r="CC30" s="125"/>
      <c r="CD30" s="125"/>
      <c r="CE30" s="125"/>
      <c r="CF30" s="125"/>
      <c r="CG30" s="125"/>
      <c r="CH30" s="125"/>
      <c r="CI30" s="125"/>
      <c r="CJ30" s="125"/>
      <c r="CK30" s="125"/>
      <c r="CL30" s="125"/>
      <c r="CM30" s="125"/>
      <c r="CN30" s="125"/>
      <c r="CO30" s="125"/>
      <c r="CP30" s="125"/>
      <c r="CQ30" s="125"/>
      <c r="CR30" s="125"/>
      <c r="CS30" s="125"/>
      <c r="CT30" s="125"/>
      <c r="CU30" s="125"/>
      <c r="CV30" s="125"/>
      <c r="CW30" s="125"/>
      <c r="CX30" s="125"/>
      <c r="CY30" s="125"/>
      <c r="CZ30" s="125"/>
      <c r="DA30" s="125"/>
      <c r="DB30" s="125"/>
      <c r="DC30" s="125"/>
      <c r="DD30" s="125"/>
      <c r="DE30" s="125"/>
      <c r="DF30" s="125"/>
      <c r="DG30" s="125"/>
      <c r="DH30" s="125"/>
      <c r="DI30" s="125"/>
      <c r="DJ30" s="125"/>
      <c r="DK30" s="125"/>
      <c r="DL30" s="125"/>
      <c r="DM30" s="125"/>
      <c r="DN30" s="125"/>
      <c r="DO30" s="125"/>
      <c r="DP30" s="125"/>
      <c r="DQ30" s="125"/>
      <c r="DR30" s="125"/>
    </row>
    <row r="31" spans="1:122" ht="15.75" thickBot="1">
      <c r="A31" s="125"/>
      <c r="B31" s="648"/>
      <c r="C31" s="730"/>
      <c r="D31" s="708"/>
      <c r="E31" s="710"/>
      <c r="F31" s="74"/>
      <c r="G31" s="75"/>
      <c r="H31" s="76"/>
      <c r="I31" s="77"/>
      <c r="J31" s="77"/>
      <c r="K31" s="77"/>
      <c r="L31" s="77"/>
      <c r="M31" s="78"/>
      <c r="N31" s="98"/>
      <c r="O31" s="6"/>
      <c r="P31" s="127"/>
      <c r="R31" s="144"/>
      <c r="S31" s="127"/>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5"/>
      <c r="BK31" s="125"/>
      <c r="BL31" s="125"/>
      <c r="BM31" s="125"/>
      <c r="BN31" s="125"/>
      <c r="BO31" s="125"/>
      <c r="BP31" s="125"/>
      <c r="BQ31" s="125"/>
      <c r="BR31" s="125"/>
      <c r="BS31" s="125"/>
      <c r="BT31" s="125"/>
      <c r="BU31" s="125"/>
      <c r="BV31" s="125"/>
      <c r="BW31" s="125"/>
      <c r="BX31" s="125"/>
      <c r="BY31" s="125"/>
      <c r="BZ31" s="125"/>
      <c r="CA31" s="125"/>
      <c r="CB31" s="125"/>
      <c r="CC31" s="125"/>
      <c r="CD31" s="125"/>
      <c r="CE31" s="125"/>
      <c r="CF31" s="125"/>
      <c r="CG31" s="125"/>
      <c r="CH31" s="125"/>
      <c r="CI31" s="125"/>
      <c r="CJ31" s="125"/>
      <c r="CK31" s="125"/>
      <c r="CL31" s="125"/>
      <c r="CM31" s="125"/>
      <c r="CN31" s="125"/>
      <c r="CO31" s="125"/>
      <c r="CP31" s="125"/>
      <c r="CQ31" s="125"/>
      <c r="CR31" s="125"/>
      <c r="CS31" s="125"/>
      <c r="CT31" s="125"/>
      <c r="CU31" s="125"/>
      <c r="CV31" s="125"/>
      <c r="CW31" s="125"/>
      <c r="CX31" s="125"/>
      <c r="CY31" s="125"/>
      <c r="CZ31" s="125"/>
      <c r="DA31" s="125"/>
      <c r="DB31" s="125"/>
      <c r="DC31" s="125"/>
      <c r="DD31" s="125"/>
      <c r="DE31" s="125"/>
      <c r="DF31" s="125"/>
      <c r="DG31" s="125"/>
      <c r="DH31" s="125"/>
      <c r="DI31" s="125"/>
      <c r="DJ31" s="125"/>
      <c r="DK31" s="125"/>
      <c r="DL31" s="125"/>
      <c r="DM31" s="125"/>
      <c r="DN31" s="125"/>
      <c r="DO31" s="125"/>
      <c r="DP31" s="125"/>
      <c r="DQ31" s="125"/>
      <c r="DR31" s="125"/>
    </row>
    <row r="32" spans="1:122" ht="15">
      <c r="A32" s="125"/>
      <c r="B32" s="648"/>
      <c r="C32" s="715" t="s">
        <v>1539</v>
      </c>
      <c r="D32" s="549" t="s">
        <v>91</v>
      </c>
      <c r="E32" s="718" t="s">
        <v>86</v>
      </c>
      <c r="F32" s="79"/>
      <c r="G32" s="80"/>
      <c r="H32" s="81"/>
      <c r="I32" s="82"/>
      <c r="J32" s="82"/>
      <c r="K32" s="82"/>
      <c r="L32" s="82"/>
      <c r="M32" s="83"/>
      <c r="N32" s="736"/>
      <c r="O32" s="6"/>
      <c r="P32" s="127"/>
      <c r="R32" s="144"/>
      <c r="S32" s="127"/>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125"/>
      <c r="CL32" s="125"/>
      <c r="CM32" s="125"/>
      <c r="CN32" s="125"/>
      <c r="CO32" s="125"/>
      <c r="CP32" s="125"/>
      <c r="CQ32" s="125"/>
      <c r="CR32" s="125"/>
      <c r="CS32" s="125"/>
      <c r="CT32" s="125"/>
      <c r="CU32" s="125"/>
      <c r="CV32" s="125"/>
      <c r="CW32" s="125"/>
      <c r="CX32" s="125"/>
      <c r="CY32" s="125"/>
      <c r="CZ32" s="125"/>
      <c r="DA32" s="125"/>
      <c r="DB32" s="125"/>
      <c r="DC32" s="125"/>
      <c r="DD32" s="125"/>
      <c r="DE32" s="125"/>
      <c r="DF32" s="125"/>
      <c r="DG32" s="125"/>
      <c r="DH32" s="125"/>
      <c r="DI32" s="125"/>
      <c r="DJ32" s="125"/>
      <c r="DK32" s="125"/>
      <c r="DL32" s="125"/>
      <c r="DM32" s="125"/>
      <c r="DN32" s="125"/>
      <c r="DO32" s="125"/>
      <c r="DP32" s="125"/>
      <c r="DQ32" s="125"/>
      <c r="DR32" s="125"/>
    </row>
    <row r="33" spans="1:122" ht="30">
      <c r="A33" s="125"/>
      <c r="B33" s="648"/>
      <c r="C33" s="716"/>
      <c r="D33" s="550" t="s">
        <v>92</v>
      </c>
      <c r="E33" s="709"/>
      <c r="F33" s="68"/>
      <c r="G33" s="69"/>
      <c r="H33" s="70"/>
      <c r="I33" s="71"/>
      <c r="J33" s="71"/>
      <c r="K33" s="71"/>
      <c r="L33" s="71"/>
      <c r="M33" s="72"/>
      <c r="N33" s="735"/>
      <c r="O33" s="6"/>
      <c r="P33" s="127"/>
      <c r="R33" s="144"/>
      <c r="S33" s="127"/>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25"/>
      <c r="BQ33" s="125"/>
      <c r="BR33" s="125"/>
      <c r="BS33" s="125"/>
      <c r="BT33" s="125"/>
      <c r="BU33" s="125"/>
      <c r="BV33" s="125"/>
      <c r="BW33" s="125"/>
      <c r="BX33" s="125"/>
      <c r="BY33" s="125"/>
      <c r="BZ33" s="125"/>
      <c r="CA33" s="125"/>
      <c r="CB33" s="125"/>
      <c r="CC33" s="125"/>
      <c r="CD33" s="125"/>
      <c r="CE33" s="125"/>
      <c r="CF33" s="125"/>
      <c r="CG33" s="125"/>
      <c r="CH33" s="125"/>
      <c r="CI33" s="125"/>
      <c r="CJ33" s="125"/>
      <c r="CK33" s="125"/>
      <c r="CL33" s="125"/>
      <c r="CM33" s="125"/>
      <c r="CN33" s="125"/>
      <c r="CO33" s="125"/>
      <c r="CP33" s="125"/>
      <c r="CQ33" s="125"/>
      <c r="CR33" s="125"/>
      <c r="CS33" s="125"/>
      <c r="CT33" s="125"/>
      <c r="CU33" s="125"/>
      <c r="CV33" s="125"/>
      <c r="CW33" s="125"/>
      <c r="CX33" s="125"/>
      <c r="CY33" s="125"/>
      <c r="CZ33" s="125"/>
      <c r="DA33" s="125"/>
      <c r="DB33" s="125"/>
      <c r="DC33" s="125"/>
      <c r="DD33" s="125"/>
      <c r="DE33" s="125"/>
      <c r="DF33" s="125"/>
      <c r="DG33" s="125"/>
      <c r="DH33" s="125"/>
      <c r="DI33" s="125"/>
      <c r="DJ33" s="125"/>
      <c r="DK33" s="125"/>
      <c r="DL33" s="125"/>
      <c r="DM33" s="125"/>
      <c r="DN33" s="125"/>
      <c r="DO33" s="125"/>
      <c r="DP33" s="125"/>
      <c r="DQ33" s="125"/>
      <c r="DR33" s="125"/>
    </row>
    <row r="34" spans="1:122" ht="15">
      <c r="A34" s="125"/>
      <c r="B34" s="648"/>
      <c r="C34" s="716"/>
      <c r="D34" s="550" t="s">
        <v>93</v>
      </c>
      <c r="E34" s="709"/>
      <c r="F34" s="68"/>
      <c r="G34" s="69"/>
      <c r="H34" s="70"/>
      <c r="I34" s="71"/>
      <c r="J34" s="71"/>
      <c r="K34" s="71"/>
      <c r="L34" s="71"/>
      <c r="M34" s="72"/>
      <c r="N34" s="735"/>
      <c r="O34" s="6"/>
      <c r="P34" s="127"/>
      <c r="R34" s="144"/>
      <c r="S34" s="127"/>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25"/>
      <c r="BQ34" s="125"/>
      <c r="BR34" s="125"/>
      <c r="BS34" s="125"/>
      <c r="BT34" s="125"/>
      <c r="BU34" s="125"/>
      <c r="BV34" s="125"/>
      <c r="BW34" s="125"/>
      <c r="BX34" s="125"/>
      <c r="BY34" s="125"/>
      <c r="BZ34" s="125"/>
      <c r="CA34" s="125"/>
      <c r="CB34" s="125"/>
      <c r="CC34" s="125"/>
      <c r="CD34" s="125"/>
      <c r="CE34" s="125"/>
      <c r="CF34" s="125"/>
      <c r="CG34" s="125"/>
      <c r="CH34" s="125"/>
      <c r="CI34" s="125"/>
      <c r="CJ34" s="125"/>
      <c r="CK34" s="125"/>
      <c r="CL34" s="125"/>
      <c r="CM34" s="125"/>
      <c r="CN34" s="125"/>
      <c r="CO34" s="125"/>
      <c r="CP34" s="125"/>
      <c r="CQ34" s="125"/>
      <c r="CR34" s="125"/>
      <c r="CS34" s="125"/>
      <c r="CT34" s="125"/>
      <c r="CU34" s="125"/>
      <c r="CV34" s="125"/>
      <c r="CW34" s="125"/>
      <c r="CX34" s="125"/>
      <c r="CY34" s="125"/>
      <c r="CZ34" s="125"/>
      <c r="DA34" s="125"/>
      <c r="DB34" s="125"/>
      <c r="DC34" s="125"/>
      <c r="DD34" s="125"/>
      <c r="DE34" s="125"/>
      <c r="DF34" s="125"/>
      <c r="DG34" s="125"/>
      <c r="DH34" s="125"/>
      <c r="DI34" s="125"/>
      <c r="DJ34" s="125"/>
      <c r="DK34" s="125"/>
      <c r="DL34" s="125"/>
      <c r="DM34" s="125"/>
      <c r="DN34" s="125"/>
      <c r="DO34" s="125"/>
      <c r="DP34" s="125"/>
      <c r="DQ34" s="125"/>
      <c r="DR34" s="125"/>
    </row>
    <row r="35" spans="1:122" ht="15">
      <c r="A35" s="125"/>
      <c r="B35" s="648"/>
      <c r="C35" s="716"/>
      <c r="D35" s="550" t="s">
        <v>94</v>
      </c>
      <c r="E35" s="709"/>
      <c r="F35" s="68"/>
      <c r="G35" s="69"/>
      <c r="H35" s="70"/>
      <c r="I35" s="71"/>
      <c r="J35" s="71"/>
      <c r="K35" s="71"/>
      <c r="L35" s="71"/>
      <c r="M35" s="72"/>
      <c r="N35" s="735"/>
      <c r="O35" s="6"/>
      <c r="P35" s="127"/>
      <c r="R35" s="144"/>
      <c r="S35" s="127"/>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5"/>
      <c r="BK35" s="125"/>
      <c r="BL35" s="125"/>
      <c r="BM35" s="125"/>
      <c r="BN35" s="125"/>
      <c r="BO35" s="125"/>
      <c r="BP35" s="125"/>
      <c r="BQ35" s="125"/>
      <c r="BR35" s="125"/>
      <c r="BS35" s="125"/>
      <c r="BT35" s="125"/>
      <c r="BU35" s="125"/>
      <c r="BV35" s="125"/>
      <c r="BW35" s="125"/>
      <c r="BX35" s="125"/>
      <c r="BY35" s="125"/>
      <c r="BZ35" s="125"/>
      <c r="CA35" s="125"/>
      <c r="CB35" s="125"/>
      <c r="CC35" s="125"/>
      <c r="CD35" s="125"/>
      <c r="CE35" s="125"/>
      <c r="CF35" s="125"/>
      <c r="CG35" s="125"/>
      <c r="CH35" s="125"/>
      <c r="CI35" s="125"/>
      <c r="CJ35" s="125"/>
      <c r="CK35" s="125"/>
      <c r="CL35" s="125"/>
      <c r="CM35" s="125"/>
      <c r="CN35" s="125"/>
      <c r="CO35" s="125"/>
      <c r="CP35" s="125"/>
      <c r="CQ35" s="125"/>
      <c r="CR35" s="125"/>
      <c r="CS35" s="125"/>
      <c r="CT35" s="125"/>
      <c r="CU35" s="125"/>
      <c r="CV35" s="125"/>
      <c r="CW35" s="125"/>
      <c r="CX35" s="125"/>
      <c r="CY35" s="125"/>
      <c r="CZ35" s="125"/>
      <c r="DA35" s="125"/>
      <c r="DB35" s="125"/>
      <c r="DC35" s="125"/>
      <c r="DD35" s="125"/>
      <c r="DE35" s="125"/>
      <c r="DF35" s="125"/>
      <c r="DG35" s="125"/>
      <c r="DH35" s="125"/>
      <c r="DI35" s="125"/>
      <c r="DJ35" s="125"/>
      <c r="DK35" s="125"/>
      <c r="DL35" s="125"/>
      <c r="DM35" s="125"/>
      <c r="DN35" s="125"/>
      <c r="DO35" s="125"/>
      <c r="DP35" s="125"/>
      <c r="DQ35" s="125"/>
      <c r="DR35" s="125"/>
    </row>
    <row r="36" spans="1:122" ht="30">
      <c r="A36" s="125"/>
      <c r="B36" s="648"/>
      <c r="C36" s="716"/>
      <c r="D36" s="550" t="s">
        <v>95</v>
      </c>
      <c r="E36" s="709"/>
      <c r="F36" s="68"/>
      <c r="G36" s="69"/>
      <c r="H36" s="70"/>
      <c r="I36" s="71"/>
      <c r="J36" s="71"/>
      <c r="K36" s="71"/>
      <c r="L36" s="71"/>
      <c r="M36" s="72"/>
      <c r="N36" s="735"/>
      <c r="O36" s="6"/>
      <c r="P36" s="127"/>
      <c r="R36" s="144"/>
      <c r="S36" s="127"/>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5"/>
      <c r="BK36" s="125"/>
      <c r="BL36" s="125"/>
      <c r="BM36" s="125"/>
      <c r="BN36" s="125"/>
      <c r="BO36" s="125"/>
      <c r="BP36" s="125"/>
      <c r="BQ36" s="125"/>
      <c r="BR36" s="125"/>
      <c r="BS36" s="125"/>
      <c r="BT36" s="125"/>
      <c r="BU36" s="125"/>
      <c r="BV36" s="125"/>
      <c r="BW36" s="125"/>
      <c r="BX36" s="125"/>
      <c r="BY36" s="125"/>
      <c r="BZ36" s="125"/>
      <c r="CA36" s="125"/>
      <c r="CB36" s="125"/>
      <c r="CC36" s="125"/>
      <c r="CD36" s="125"/>
      <c r="CE36" s="125"/>
      <c r="CF36" s="125"/>
      <c r="CG36" s="125"/>
      <c r="CH36" s="125"/>
      <c r="CI36" s="125"/>
      <c r="CJ36" s="125"/>
      <c r="CK36" s="125"/>
      <c r="CL36" s="125"/>
      <c r="CM36" s="125"/>
      <c r="CN36" s="125"/>
      <c r="CO36" s="125"/>
      <c r="CP36" s="125"/>
      <c r="CQ36" s="125"/>
      <c r="CR36" s="125"/>
      <c r="CS36" s="125"/>
      <c r="CT36" s="125"/>
      <c r="CU36" s="125"/>
      <c r="CV36" s="125"/>
      <c r="CW36" s="125"/>
      <c r="CX36" s="125"/>
      <c r="CY36" s="125"/>
      <c r="CZ36" s="125"/>
      <c r="DA36" s="125"/>
      <c r="DB36" s="125"/>
      <c r="DC36" s="125"/>
      <c r="DD36" s="125"/>
      <c r="DE36" s="125"/>
      <c r="DF36" s="125"/>
      <c r="DG36" s="125"/>
      <c r="DH36" s="125"/>
      <c r="DI36" s="125"/>
      <c r="DJ36" s="125"/>
      <c r="DK36" s="125"/>
      <c r="DL36" s="125"/>
      <c r="DM36" s="125"/>
      <c r="DN36" s="125"/>
      <c r="DO36" s="125"/>
      <c r="DP36" s="125"/>
      <c r="DQ36" s="125"/>
      <c r="DR36" s="125"/>
    </row>
    <row r="37" spans="1:122" ht="30">
      <c r="A37" s="125"/>
      <c r="B37" s="648"/>
      <c r="C37" s="716"/>
      <c r="D37" s="550" t="s">
        <v>96</v>
      </c>
      <c r="E37" s="709"/>
      <c r="F37" s="68"/>
      <c r="G37" s="69"/>
      <c r="H37" s="70"/>
      <c r="I37" s="71"/>
      <c r="J37" s="71"/>
      <c r="K37" s="71"/>
      <c r="L37" s="71"/>
      <c r="M37" s="72"/>
      <c r="N37" s="735"/>
      <c r="O37" s="6"/>
      <c r="P37" s="127"/>
      <c r="R37" s="144"/>
      <c r="S37" s="127"/>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5"/>
      <c r="BK37" s="125"/>
      <c r="BL37" s="125"/>
      <c r="BM37" s="125"/>
      <c r="BN37" s="125"/>
      <c r="BO37" s="125"/>
      <c r="BP37" s="125"/>
      <c r="BQ37" s="125"/>
      <c r="BR37" s="125"/>
      <c r="BS37" s="125"/>
      <c r="BT37" s="125"/>
      <c r="BU37" s="125"/>
      <c r="BV37" s="125"/>
      <c r="BW37" s="125"/>
      <c r="BX37" s="125"/>
      <c r="BY37" s="125"/>
      <c r="BZ37" s="125"/>
      <c r="CA37" s="125"/>
      <c r="CB37" s="125"/>
      <c r="CC37" s="125"/>
      <c r="CD37" s="125"/>
      <c r="CE37" s="125"/>
      <c r="CF37" s="125"/>
      <c r="CG37" s="125"/>
      <c r="CH37" s="125"/>
      <c r="CI37" s="125"/>
      <c r="CJ37" s="125"/>
      <c r="CK37" s="125"/>
      <c r="CL37" s="125"/>
      <c r="CM37" s="125"/>
      <c r="CN37" s="125"/>
      <c r="CO37" s="125"/>
      <c r="CP37" s="125"/>
      <c r="CQ37" s="125"/>
      <c r="CR37" s="125"/>
      <c r="CS37" s="125"/>
      <c r="CT37" s="125"/>
      <c r="CU37" s="125"/>
      <c r="CV37" s="125"/>
      <c r="CW37" s="125"/>
      <c r="CX37" s="125"/>
      <c r="CY37" s="125"/>
      <c r="CZ37" s="125"/>
      <c r="DA37" s="125"/>
      <c r="DB37" s="125"/>
      <c r="DC37" s="125"/>
      <c r="DD37" s="125"/>
      <c r="DE37" s="125"/>
      <c r="DF37" s="125"/>
      <c r="DG37" s="125"/>
      <c r="DH37" s="125"/>
      <c r="DI37" s="125"/>
      <c r="DJ37" s="125"/>
      <c r="DK37" s="125"/>
      <c r="DL37" s="125"/>
      <c r="DM37" s="125"/>
      <c r="DN37" s="125"/>
      <c r="DO37" s="125"/>
      <c r="DP37" s="125"/>
      <c r="DQ37" s="125"/>
      <c r="DR37" s="125"/>
    </row>
    <row r="38" spans="1:122" ht="30.75" thickBot="1">
      <c r="A38" s="125"/>
      <c r="B38" s="648"/>
      <c r="C38" s="717"/>
      <c r="D38" s="551" t="s">
        <v>97</v>
      </c>
      <c r="E38" s="710"/>
      <c r="F38" s="74"/>
      <c r="G38" s="75"/>
      <c r="H38" s="76"/>
      <c r="I38" s="77"/>
      <c r="J38" s="77"/>
      <c r="K38" s="77"/>
      <c r="L38" s="77"/>
      <c r="M38" s="78"/>
      <c r="N38" s="737"/>
      <c r="O38" s="6"/>
      <c r="P38" s="127"/>
      <c r="R38" s="144"/>
      <c r="S38" s="127"/>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c r="CR38" s="125"/>
      <c r="CS38" s="125"/>
      <c r="CT38" s="125"/>
      <c r="CU38" s="125"/>
      <c r="CV38" s="125"/>
      <c r="CW38" s="125"/>
      <c r="CX38" s="125"/>
      <c r="CY38" s="125"/>
      <c r="CZ38" s="125"/>
      <c r="DA38" s="125"/>
      <c r="DB38" s="125"/>
      <c r="DC38" s="125"/>
      <c r="DD38" s="125"/>
      <c r="DE38" s="125"/>
      <c r="DF38" s="125"/>
      <c r="DG38" s="125"/>
      <c r="DH38" s="125"/>
      <c r="DI38" s="125"/>
      <c r="DJ38" s="125"/>
      <c r="DK38" s="125"/>
      <c r="DL38" s="125"/>
      <c r="DM38" s="125"/>
      <c r="DN38" s="125"/>
      <c r="DO38" s="125"/>
      <c r="DP38" s="125"/>
      <c r="DQ38" s="125"/>
      <c r="DR38" s="125"/>
    </row>
    <row r="39" spans="1:122" ht="15.95" customHeight="1" thickTop="1" thickBot="1">
      <c r="A39" s="125"/>
      <c r="B39" s="648"/>
      <c r="C39" s="474" t="s">
        <v>20</v>
      </c>
      <c r="D39" s="543"/>
      <c r="E39" s="561" t="s">
        <v>98</v>
      </c>
      <c r="F39" s="544"/>
      <c r="G39" s="545"/>
      <c r="H39" s="546"/>
      <c r="I39" s="547"/>
      <c r="J39" s="547"/>
      <c r="K39" s="547"/>
      <c r="L39" s="547"/>
      <c r="M39" s="547"/>
      <c r="N39" s="139"/>
      <c r="O39" s="6"/>
      <c r="P39" s="127"/>
      <c r="R39" s="144"/>
      <c r="S39" s="127"/>
      <c r="T39" s="125"/>
      <c r="U39" s="125"/>
      <c r="V39" s="125"/>
      <c r="W39" s="125"/>
      <c r="X39" s="125"/>
      <c r="Y39" s="125"/>
      <c r="Z39" s="125"/>
      <c r="AA39" s="125"/>
      <c r="AB39" s="125"/>
      <c r="AC39" s="125"/>
      <c r="AD39" s="125"/>
      <c r="AE39" s="125"/>
      <c r="AF39" s="125"/>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5"/>
      <c r="BK39" s="125"/>
      <c r="BL39" s="125"/>
      <c r="BM39" s="125"/>
      <c r="BN39" s="125"/>
      <c r="BO39" s="125"/>
      <c r="BP39" s="125"/>
      <c r="BQ39" s="125"/>
      <c r="BR39" s="125"/>
      <c r="BS39" s="125"/>
      <c r="BT39" s="125"/>
      <c r="BU39" s="125"/>
      <c r="BV39" s="125"/>
      <c r="BW39" s="125"/>
      <c r="BX39" s="125"/>
      <c r="BY39" s="125"/>
      <c r="BZ39" s="125"/>
      <c r="CA39" s="125"/>
      <c r="CB39" s="125"/>
      <c r="CC39" s="125"/>
      <c r="CD39" s="125"/>
      <c r="CE39" s="125"/>
      <c r="CF39" s="125"/>
      <c r="CG39" s="125"/>
      <c r="CH39" s="125"/>
      <c r="CI39" s="125"/>
      <c r="CJ39" s="125"/>
      <c r="CK39" s="125"/>
      <c r="CL39" s="125"/>
      <c r="CM39" s="125"/>
      <c r="CN39" s="125"/>
      <c r="CO39" s="125"/>
      <c r="CP39" s="125"/>
      <c r="CQ39" s="125"/>
      <c r="CR39" s="125"/>
      <c r="CS39" s="125"/>
      <c r="CT39" s="125"/>
      <c r="CU39" s="125"/>
      <c r="CV39" s="125"/>
      <c r="CW39" s="125"/>
      <c r="CX39" s="125"/>
      <c r="CY39" s="125"/>
      <c r="CZ39" s="125"/>
      <c r="DA39" s="125"/>
      <c r="DB39" s="125"/>
      <c r="DC39" s="125"/>
      <c r="DD39" s="125"/>
      <c r="DE39" s="125"/>
      <c r="DF39" s="125"/>
      <c r="DG39" s="125"/>
      <c r="DH39" s="125"/>
      <c r="DI39" s="125"/>
      <c r="DJ39" s="125"/>
      <c r="DK39" s="125"/>
      <c r="DL39" s="125"/>
      <c r="DM39" s="125"/>
      <c r="DN39" s="125"/>
      <c r="DO39" s="125"/>
      <c r="DP39" s="125"/>
      <c r="DQ39" s="125"/>
      <c r="DR39" s="125"/>
    </row>
    <row r="40" spans="1:122" ht="15.95" customHeight="1" thickBot="1">
      <c r="A40" s="125"/>
      <c r="B40" s="705"/>
      <c r="C40" s="252" t="s">
        <v>1543</v>
      </c>
      <c r="D40" s="552"/>
      <c r="E40" s="553"/>
      <c r="F40" s="486"/>
      <c r="G40" s="554"/>
      <c r="H40" s="555"/>
      <c r="I40" s="317"/>
      <c r="J40" s="317"/>
      <c r="K40" s="317"/>
      <c r="L40" s="317"/>
      <c r="M40" s="317"/>
      <c r="N40" s="487"/>
      <c r="O40" s="6"/>
      <c r="P40" s="127"/>
      <c r="R40" s="144"/>
      <c r="S40" s="127"/>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5"/>
      <c r="BK40" s="125"/>
      <c r="BL40" s="125"/>
      <c r="BM40" s="125"/>
      <c r="BN40" s="125"/>
      <c r="BO40" s="125"/>
      <c r="BP40" s="125"/>
      <c r="BQ40" s="125"/>
      <c r="BR40" s="125"/>
      <c r="BS40" s="125"/>
      <c r="BT40" s="125"/>
      <c r="BU40" s="125"/>
      <c r="BV40" s="125"/>
      <c r="BW40" s="125"/>
      <c r="BX40" s="125"/>
      <c r="BY40" s="125"/>
      <c r="BZ40" s="125"/>
      <c r="CA40" s="125"/>
      <c r="CB40" s="125"/>
      <c r="CC40" s="125"/>
      <c r="CD40" s="125"/>
      <c r="CE40" s="125"/>
      <c r="CF40" s="125"/>
      <c r="CG40" s="125"/>
      <c r="CH40" s="125"/>
      <c r="CI40" s="125"/>
      <c r="CJ40" s="125"/>
      <c r="CK40" s="125"/>
      <c r="CL40" s="125"/>
      <c r="CM40" s="125"/>
      <c r="CN40" s="125"/>
      <c r="CO40" s="125"/>
      <c r="CP40" s="125"/>
      <c r="CQ40" s="125"/>
      <c r="CR40" s="125"/>
      <c r="CS40" s="125"/>
      <c r="CT40" s="125"/>
      <c r="CU40" s="125"/>
      <c r="CV40" s="125"/>
      <c r="CW40" s="125"/>
      <c r="CX40" s="125"/>
      <c r="CY40" s="125"/>
      <c r="CZ40" s="125"/>
      <c r="DA40" s="125"/>
      <c r="DB40" s="125"/>
      <c r="DC40" s="125"/>
      <c r="DD40" s="125"/>
      <c r="DE40" s="125"/>
      <c r="DF40" s="125"/>
      <c r="DG40" s="125"/>
      <c r="DH40" s="125"/>
      <c r="DI40" s="125"/>
      <c r="DJ40" s="125"/>
      <c r="DK40" s="125"/>
      <c r="DL40" s="125"/>
      <c r="DM40" s="125"/>
      <c r="DN40" s="125"/>
      <c r="DO40" s="125"/>
      <c r="DP40" s="125"/>
      <c r="DQ40" s="125"/>
      <c r="DR40" s="125"/>
    </row>
    <row r="41" spans="1:122" ht="15.95" customHeight="1" thickTop="1" thickBot="1">
      <c r="A41" s="125"/>
      <c r="B41" s="125"/>
      <c r="C41" s="300"/>
      <c r="D41" s="11"/>
      <c r="E41" s="12"/>
      <c r="F41" s="12"/>
      <c r="G41" s="12"/>
      <c r="H41" s="13"/>
      <c r="I41" s="13"/>
      <c r="J41" s="13"/>
      <c r="K41" s="13"/>
      <c r="L41" s="13"/>
      <c r="M41" s="13"/>
      <c r="N41" s="13"/>
      <c r="O41" s="6"/>
      <c r="P41" s="127"/>
      <c r="R41" s="144"/>
      <c r="S41" s="127"/>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5"/>
      <c r="BK41" s="125"/>
      <c r="BL41" s="125"/>
      <c r="BM41" s="125"/>
      <c r="BN41" s="125"/>
      <c r="BO41" s="125"/>
      <c r="BP41" s="125"/>
      <c r="BQ41" s="125"/>
      <c r="BR41" s="125"/>
      <c r="BS41" s="125"/>
      <c r="BT41" s="125"/>
      <c r="BU41" s="125"/>
      <c r="BV41" s="125"/>
      <c r="BW41" s="125"/>
      <c r="BX41" s="125"/>
      <c r="BY41" s="125"/>
      <c r="BZ41" s="125"/>
      <c r="CA41" s="125"/>
      <c r="CB41" s="125"/>
      <c r="CC41" s="125"/>
      <c r="CD41" s="125"/>
      <c r="CE41" s="125"/>
      <c r="CF41" s="125"/>
      <c r="CG41" s="125"/>
      <c r="CH41" s="125"/>
      <c r="CI41" s="125"/>
      <c r="CJ41" s="125"/>
      <c r="CK41" s="125"/>
      <c r="CL41" s="125"/>
      <c r="CM41" s="125"/>
      <c r="CN41" s="125"/>
      <c r="CO41" s="125"/>
      <c r="CP41" s="125"/>
      <c r="CQ41" s="125"/>
      <c r="CR41" s="125"/>
      <c r="CS41" s="125"/>
      <c r="CT41" s="125"/>
      <c r="CU41" s="125"/>
      <c r="CV41" s="125"/>
      <c r="CW41" s="125"/>
      <c r="CX41" s="125"/>
      <c r="CY41" s="125"/>
      <c r="CZ41" s="125"/>
      <c r="DA41" s="125"/>
      <c r="DB41" s="125"/>
      <c r="DC41" s="125"/>
      <c r="DD41" s="125"/>
      <c r="DE41" s="125"/>
      <c r="DF41" s="125"/>
      <c r="DG41" s="125"/>
      <c r="DH41" s="125"/>
      <c r="DI41" s="125"/>
      <c r="DJ41" s="125"/>
      <c r="DK41" s="125"/>
      <c r="DL41" s="125"/>
      <c r="DM41" s="125"/>
      <c r="DN41" s="125"/>
      <c r="DO41" s="125"/>
      <c r="DP41" s="125"/>
      <c r="DQ41" s="125"/>
      <c r="DR41" s="125"/>
    </row>
    <row r="42" spans="1:122" ht="30" customHeight="1" thickTop="1" thickBot="1">
      <c r="A42" s="125"/>
      <c r="B42" s="642" t="s">
        <v>10</v>
      </c>
      <c r="C42" s="643"/>
      <c r="D42" s="643"/>
      <c r="E42" s="643"/>
      <c r="F42" s="643"/>
      <c r="G42" s="643"/>
      <c r="H42" s="643"/>
      <c r="I42" s="643"/>
      <c r="J42" s="643"/>
      <c r="K42" s="643"/>
      <c r="L42" s="643"/>
      <c r="M42" s="644"/>
      <c r="N42" s="22"/>
      <c r="O42" s="6"/>
      <c r="P42" s="127"/>
      <c r="R42" s="144"/>
      <c r="S42" s="127"/>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125"/>
      <c r="BH42" s="125"/>
      <c r="BI42" s="125"/>
      <c r="BJ42" s="125"/>
      <c r="BK42" s="125"/>
      <c r="BL42" s="125"/>
      <c r="BM42" s="125"/>
      <c r="BN42" s="125"/>
      <c r="BO42" s="125"/>
      <c r="BP42" s="125"/>
      <c r="BQ42" s="125"/>
      <c r="BR42" s="125"/>
      <c r="BS42" s="125"/>
      <c r="BT42" s="125"/>
      <c r="BU42" s="125"/>
      <c r="BV42" s="125"/>
      <c r="BW42" s="125"/>
      <c r="BX42" s="125"/>
      <c r="BY42" s="125"/>
      <c r="BZ42" s="125"/>
      <c r="CA42" s="125"/>
      <c r="CB42" s="125"/>
      <c r="CC42" s="125"/>
      <c r="CD42" s="125"/>
      <c r="CE42" s="125"/>
      <c r="CF42" s="125"/>
      <c r="CG42" s="125"/>
      <c r="CH42" s="125"/>
      <c r="CI42" s="125"/>
      <c r="CJ42" s="125"/>
      <c r="CK42" s="125"/>
      <c r="CL42" s="125"/>
      <c r="CM42" s="125"/>
      <c r="CN42" s="125"/>
      <c r="CO42" s="125"/>
      <c r="CP42" s="125"/>
      <c r="CQ42" s="125"/>
      <c r="CR42" s="125"/>
      <c r="CS42" s="125"/>
      <c r="CT42" s="125"/>
      <c r="CU42" s="125"/>
      <c r="CV42" s="125"/>
      <c r="CW42" s="125"/>
      <c r="CX42" s="125"/>
      <c r="CY42" s="125"/>
      <c r="CZ42" s="125"/>
      <c r="DA42" s="125"/>
      <c r="DB42" s="125"/>
      <c r="DC42" s="125"/>
      <c r="DD42" s="125"/>
      <c r="DE42" s="125"/>
      <c r="DF42" s="125"/>
      <c r="DG42" s="125"/>
      <c r="DH42" s="125"/>
      <c r="DI42" s="125"/>
      <c r="DJ42" s="125"/>
      <c r="DK42" s="125"/>
      <c r="DL42" s="125"/>
      <c r="DM42" s="125"/>
      <c r="DN42" s="125"/>
      <c r="DO42" s="125"/>
      <c r="DP42" s="125"/>
      <c r="DQ42" s="125"/>
      <c r="DR42" s="125"/>
    </row>
    <row r="43" spans="1:122" ht="15.95" customHeight="1" thickTop="1" thickBot="1">
      <c r="A43" s="125"/>
      <c r="B43" s="647" t="s">
        <v>67</v>
      </c>
      <c r="C43" s="251" t="s">
        <v>25</v>
      </c>
      <c r="D43" s="28">
        <v>7021</v>
      </c>
      <c r="E43" s="316"/>
      <c r="F43" s="29">
        <v>752</v>
      </c>
      <c r="G43" s="29">
        <v>46</v>
      </c>
      <c r="H43" s="29">
        <v>727</v>
      </c>
      <c r="I43" s="136"/>
      <c r="J43" s="32">
        <v>45</v>
      </c>
      <c r="K43" s="32">
        <v>30</v>
      </c>
      <c r="L43" s="31">
        <v>254160</v>
      </c>
      <c r="M43" s="31">
        <v>63540</v>
      </c>
      <c r="N43" s="139"/>
      <c r="O43" s="6"/>
      <c r="P43" s="127"/>
      <c r="R43" s="144"/>
      <c r="S43" s="127"/>
      <c r="T43" s="125"/>
      <c r="U43" s="125"/>
      <c r="V43" s="125"/>
      <c r="W43" s="125"/>
      <c r="X43" s="125"/>
      <c r="Y43" s="125"/>
      <c r="Z43" s="125"/>
      <c r="AA43" s="125"/>
      <c r="AB43" s="125"/>
      <c r="AC43" s="125"/>
      <c r="AD43" s="125"/>
      <c r="AE43" s="125"/>
      <c r="AF43" s="125"/>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125"/>
      <c r="BH43" s="125"/>
      <c r="BI43" s="125"/>
      <c r="BJ43" s="125"/>
      <c r="BK43" s="125"/>
      <c r="BL43" s="125"/>
      <c r="BM43" s="125"/>
      <c r="BN43" s="125"/>
      <c r="BO43" s="125"/>
      <c r="BP43" s="125"/>
      <c r="BQ43" s="125"/>
      <c r="BR43" s="125"/>
      <c r="BS43" s="125"/>
      <c r="BT43" s="125"/>
      <c r="BU43" s="125"/>
      <c r="BV43" s="125"/>
      <c r="BW43" s="125"/>
      <c r="BX43" s="125"/>
      <c r="BY43" s="125"/>
      <c r="BZ43" s="125"/>
      <c r="CA43" s="125"/>
      <c r="CB43" s="125"/>
      <c r="CC43" s="125"/>
      <c r="CD43" s="125"/>
      <c r="CE43" s="125"/>
      <c r="CF43" s="125"/>
      <c r="CG43" s="125"/>
      <c r="CH43" s="125"/>
      <c r="CI43" s="125"/>
      <c r="CJ43" s="125"/>
      <c r="CK43" s="125"/>
      <c r="CL43" s="125"/>
      <c r="CM43" s="125"/>
      <c r="CN43" s="125"/>
      <c r="CO43" s="125"/>
      <c r="CP43" s="125"/>
      <c r="CQ43" s="125"/>
      <c r="CR43" s="125"/>
      <c r="CS43" s="125"/>
      <c r="CT43" s="125"/>
      <c r="CU43" s="125"/>
      <c r="CV43" s="125"/>
      <c r="CW43" s="125"/>
      <c r="CX43" s="125"/>
      <c r="CY43" s="125"/>
      <c r="CZ43" s="125"/>
      <c r="DA43" s="125"/>
      <c r="DB43" s="125"/>
      <c r="DC43" s="125"/>
      <c r="DD43" s="125"/>
      <c r="DE43" s="125"/>
      <c r="DF43" s="125"/>
      <c r="DG43" s="125"/>
      <c r="DH43" s="125"/>
      <c r="DI43" s="125"/>
      <c r="DJ43" s="125"/>
      <c r="DK43" s="125"/>
      <c r="DL43" s="125"/>
      <c r="DM43" s="125"/>
      <c r="DN43" s="125"/>
      <c r="DO43" s="125"/>
      <c r="DP43" s="125"/>
      <c r="DQ43" s="125"/>
      <c r="DR43" s="125"/>
    </row>
    <row r="44" spans="1:122" s="140" customFormat="1" ht="30.75" thickBot="1">
      <c r="A44" s="125"/>
      <c r="B44" s="648"/>
      <c r="C44" s="252" t="s">
        <v>24</v>
      </c>
      <c r="D44" s="128">
        <v>7014</v>
      </c>
      <c r="E44" s="317"/>
      <c r="F44" s="133">
        <v>155</v>
      </c>
      <c r="G44" s="133">
        <v>25</v>
      </c>
      <c r="H44" s="133">
        <f>F44-G44</f>
        <v>130</v>
      </c>
      <c r="I44" s="137"/>
      <c r="J44" s="138">
        <v>220</v>
      </c>
      <c r="K44" s="138">
        <v>200</v>
      </c>
      <c r="L44" s="133">
        <v>312000</v>
      </c>
      <c r="M44" s="133">
        <v>78000</v>
      </c>
      <c r="N44" s="150" t="s">
        <v>75</v>
      </c>
      <c r="O44" s="6"/>
      <c r="P44" s="127"/>
      <c r="Q44" s="125"/>
      <c r="R44" s="144"/>
      <c r="S44" s="127"/>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125"/>
      <c r="CN44" s="125"/>
      <c r="CO44" s="125"/>
      <c r="CP44" s="125"/>
      <c r="CQ44" s="125"/>
      <c r="CR44" s="125"/>
      <c r="CS44" s="125"/>
      <c r="CT44" s="125"/>
      <c r="CU44" s="125"/>
      <c r="CV44" s="125"/>
      <c r="CW44" s="125"/>
      <c r="CX44" s="125"/>
      <c r="CY44" s="125"/>
      <c r="CZ44" s="125"/>
      <c r="DA44" s="125"/>
      <c r="DB44" s="125"/>
      <c r="DC44" s="125"/>
      <c r="DD44" s="125"/>
      <c r="DE44" s="125"/>
      <c r="DF44" s="125"/>
      <c r="DG44" s="125"/>
      <c r="DH44" s="125"/>
      <c r="DI44" s="125"/>
      <c r="DJ44" s="125"/>
      <c r="DK44" s="125"/>
      <c r="DL44" s="125"/>
      <c r="DM44" s="125"/>
      <c r="DN44" s="125"/>
      <c r="DO44" s="125"/>
      <c r="DP44" s="125"/>
      <c r="DQ44" s="125"/>
      <c r="DR44" s="125"/>
    </row>
    <row r="45" spans="1:122" ht="46.5" thickTop="1" thickBot="1">
      <c r="A45" s="125"/>
      <c r="B45" s="647" t="s">
        <v>79</v>
      </c>
      <c r="C45" s="253" t="s">
        <v>1544</v>
      </c>
      <c r="D45" s="129"/>
      <c r="E45" s="711" t="s">
        <v>86</v>
      </c>
      <c r="F45" s="67"/>
      <c r="G45" s="67"/>
      <c r="H45" s="67"/>
      <c r="I45" s="67"/>
      <c r="J45" s="67"/>
      <c r="K45" s="67"/>
      <c r="L45" s="67"/>
      <c r="M45" s="67"/>
      <c r="N45" s="96"/>
      <c r="O45" s="6"/>
      <c r="P45" s="127"/>
      <c r="R45" s="144"/>
      <c r="S45" s="127"/>
      <c r="T45" s="125"/>
      <c r="U45" s="125"/>
      <c r="V45" s="125"/>
      <c r="W45" s="125"/>
      <c r="X45" s="125"/>
      <c r="Y45" s="125"/>
      <c r="Z45" s="125"/>
      <c r="AA45" s="125"/>
      <c r="AB45" s="125"/>
      <c r="AC45" s="125"/>
      <c r="AD45" s="125"/>
      <c r="AE45" s="125"/>
      <c r="AF45" s="125"/>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5"/>
      <c r="BK45" s="125"/>
      <c r="BL45" s="125"/>
      <c r="BM45" s="125"/>
      <c r="BN45" s="125"/>
      <c r="BO45" s="125"/>
      <c r="BP45" s="125"/>
      <c r="BQ45" s="125"/>
      <c r="BR45" s="125"/>
      <c r="BS45" s="125"/>
      <c r="BT45" s="125"/>
      <c r="BU45" s="125"/>
      <c r="BV45" s="125"/>
      <c r="BW45" s="125"/>
      <c r="BX45" s="125"/>
      <c r="BY45" s="125"/>
      <c r="BZ45" s="125"/>
      <c r="CA45" s="125"/>
      <c r="CB45" s="125"/>
      <c r="CC45" s="125"/>
      <c r="CD45" s="125"/>
      <c r="CE45" s="125"/>
      <c r="CF45" s="125"/>
      <c r="CG45" s="125"/>
      <c r="CH45" s="125"/>
      <c r="CI45" s="125"/>
      <c r="CJ45" s="125"/>
      <c r="CK45" s="125"/>
      <c r="CL45" s="125"/>
      <c r="CM45" s="125"/>
      <c r="CN45" s="125"/>
      <c r="CO45" s="125"/>
      <c r="CP45" s="125"/>
      <c r="CQ45" s="125"/>
      <c r="CR45" s="125"/>
      <c r="CS45" s="125"/>
      <c r="CT45" s="125"/>
      <c r="CU45" s="125"/>
      <c r="CV45" s="125"/>
      <c r="CW45" s="125"/>
      <c r="CX45" s="125"/>
      <c r="CY45" s="125"/>
      <c r="CZ45" s="125"/>
      <c r="DA45" s="125"/>
      <c r="DB45" s="125"/>
      <c r="DC45" s="125"/>
      <c r="DD45" s="125"/>
      <c r="DE45" s="125"/>
      <c r="DF45" s="125"/>
      <c r="DG45" s="125"/>
      <c r="DH45" s="125"/>
      <c r="DI45" s="125"/>
      <c r="DJ45" s="125"/>
      <c r="DK45" s="125"/>
      <c r="DL45" s="125"/>
      <c r="DM45" s="125"/>
      <c r="DN45" s="125"/>
      <c r="DO45" s="125"/>
      <c r="DP45" s="125"/>
      <c r="DQ45" s="125"/>
      <c r="DR45" s="125"/>
    </row>
    <row r="46" spans="1:122" ht="15.95" customHeight="1" thickBot="1">
      <c r="A46" s="125"/>
      <c r="B46" s="648"/>
      <c r="C46" s="254" t="s">
        <v>99</v>
      </c>
      <c r="D46" s="130"/>
      <c r="E46" s="712"/>
      <c r="F46" s="71"/>
      <c r="G46" s="71"/>
      <c r="H46" s="71"/>
      <c r="I46" s="71"/>
      <c r="J46" s="71"/>
      <c r="K46" s="71"/>
      <c r="L46" s="71"/>
      <c r="M46" s="72"/>
      <c r="N46" s="73"/>
      <c r="O46" s="6"/>
      <c r="P46" s="127"/>
      <c r="R46" s="144"/>
      <c r="S46" s="127"/>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G46" s="125"/>
      <c r="BH46" s="125"/>
      <c r="BI46" s="125"/>
      <c r="BJ46" s="125"/>
      <c r="BK46" s="125"/>
      <c r="BL46" s="125"/>
      <c r="BM46" s="125"/>
      <c r="BN46" s="125"/>
      <c r="BO46" s="125"/>
      <c r="BP46" s="125"/>
      <c r="BQ46" s="125"/>
      <c r="BR46" s="125"/>
      <c r="BS46" s="125"/>
      <c r="BT46" s="125"/>
      <c r="BU46" s="125"/>
      <c r="BV46" s="125"/>
      <c r="BW46" s="125"/>
      <c r="BX46" s="125"/>
      <c r="BY46" s="125"/>
      <c r="BZ46" s="125"/>
      <c r="CA46" s="125"/>
      <c r="CB46" s="125"/>
      <c r="CC46" s="125"/>
      <c r="CD46" s="125"/>
      <c r="CE46" s="125"/>
      <c r="CF46" s="125"/>
      <c r="CG46" s="125"/>
      <c r="CH46" s="125"/>
      <c r="CI46" s="125"/>
      <c r="CJ46" s="125"/>
      <c r="CK46" s="125"/>
      <c r="CL46" s="125"/>
      <c r="CM46" s="125"/>
      <c r="CN46" s="125"/>
      <c r="CO46" s="125"/>
      <c r="CP46" s="125"/>
      <c r="CQ46" s="125"/>
      <c r="CR46" s="125"/>
      <c r="CS46" s="125"/>
      <c r="CT46" s="125"/>
      <c r="CU46" s="125"/>
      <c r="CV46" s="125"/>
      <c r="CW46" s="125"/>
      <c r="CX46" s="125"/>
      <c r="CY46" s="125"/>
      <c r="CZ46" s="125"/>
      <c r="DA46" s="125"/>
      <c r="DB46" s="125"/>
      <c r="DC46" s="125"/>
      <c r="DD46" s="125"/>
      <c r="DE46" s="125"/>
      <c r="DF46" s="125"/>
      <c r="DG46" s="125"/>
      <c r="DH46" s="125"/>
      <c r="DI46" s="125"/>
      <c r="DJ46" s="125"/>
      <c r="DK46" s="125"/>
      <c r="DL46" s="125"/>
      <c r="DM46" s="125"/>
      <c r="DN46" s="125"/>
      <c r="DO46" s="125"/>
      <c r="DP46" s="125"/>
      <c r="DQ46" s="125"/>
      <c r="DR46" s="125"/>
    </row>
    <row r="47" spans="1:122" ht="15.75" thickBot="1">
      <c r="A47" s="125"/>
      <c r="B47" s="648"/>
      <c r="C47" s="255" t="s">
        <v>1546</v>
      </c>
      <c r="D47" s="131"/>
      <c r="E47" s="713" t="s">
        <v>86</v>
      </c>
      <c r="F47" s="134"/>
      <c r="G47" s="134"/>
      <c r="H47" s="134"/>
      <c r="I47" s="134"/>
      <c r="J47" s="134"/>
      <c r="K47" s="134"/>
      <c r="L47" s="134"/>
      <c r="M47" s="134"/>
      <c r="N47" s="135"/>
      <c r="O47" s="6"/>
      <c r="P47" s="127"/>
      <c r="R47" s="144"/>
      <c r="S47" s="127"/>
      <c r="T47" s="125"/>
      <c r="U47" s="125"/>
      <c r="V47" s="125"/>
      <c r="W47" s="125"/>
      <c r="X47" s="125"/>
      <c r="Y47" s="125"/>
      <c r="Z47" s="125"/>
      <c r="AA47" s="125"/>
      <c r="AB47" s="125"/>
      <c r="AC47" s="125"/>
      <c r="AD47" s="125"/>
      <c r="AE47" s="125"/>
      <c r="AF47" s="125"/>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5"/>
      <c r="BK47" s="125"/>
      <c r="BL47" s="125"/>
      <c r="BM47" s="125"/>
      <c r="BN47" s="125"/>
      <c r="BO47" s="125"/>
      <c r="BP47" s="125"/>
      <c r="BQ47" s="125"/>
      <c r="BR47" s="125"/>
      <c r="BS47" s="125"/>
      <c r="BT47" s="125"/>
      <c r="BU47" s="125"/>
      <c r="BV47" s="125"/>
      <c r="BW47" s="125"/>
      <c r="BX47" s="125"/>
      <c r="BY47" s="125"/>
      <c r="BZ47" s="125"/>
      <c r="CA47" s="125"/>
      <c r="CB47" s="125"/>
      <c r="CC47" s="125"/>
      <c r="CD47" s="125"/>
      <c r="CE47" s="125"/>
      <c r="CF47" s="125"/>
      <c r="CG47" s="125"/>
      <c r="CH47" s="125"/>
      <c r="CI47" s="125"/>
      <c r="CJ47" s="125"/>
      <c r="CK47" s="125"/>
      <c r="CL47" s="125"/>
      <c r="CM47" s="125"/>
      <c r="CN47" s="125"/>
      <c r="CO47" s="125"/>
      <c r="CP47" s="125"/>
      <c r="CQ47" s="125"/>
      <c r="CR47" s="125"/>
      <c r="CS47" s="125"/>
      <c r="CT47" s="125"/>
      <c r="CU47" s="125"/>
      <c r="CV47" s="125"/>
      <c r="CW47" s="125"/>
      <c r="CX47" s="125"/>
      <c r="CY47" s="125"/>
      <c r="CZ47" s="125"/>
      <c r="DA47" s="125"/>
      <c r="DB47" s="125"/>
      <c r="DC47" s="125"/>
      <c r="DD47" s="125"/>
      <c r="DE47" s="125"/>
      <c r="DF47" s="125"/>
      <c r="DG47" s="125"/>
      <c r="DH47" s="125"/>
      <c r="DI47" s="125"/>
      <c r="DJ47" s="125"/>
      <c r="DK47" s="125"/>
      <c r="DL47" s="125"/>
      <c r="DM47" s="125"/>
      <c r="DN47" s="125"/>
      <c r="DO47" s="125"/>
      <c r="DP47" s="125"/>
      <c r="DQ47" s="125"/>
      <c r="DR47" s="125"/>
    </row>
    <row r="48" spans="1:122" ht="15.75" thickBot="1">
      <c r="A48" s="125"/>
      <c r="B48" s="648"/>
      <c r="C48" s="473" t="s">
        <v>1542</v>
      </c>
      <c r="D48" s="559"/>
      <c r="E48" s="712"/>
      <c r="F48" s="560"/>
      <c r="G48" s="560"/>
      <c r="H48" s="560"/>
      <c r="I48" s="560"/>
      <c r="J48" s="560"/>
      <c r="K48" s="560"/>
      <c r="L48" s="560"/>
      <c r="M48" s="560"/>
      <c r="N48" s="453"/>
      <c r="O48" s="6"/>
      <c r="P48" s="127"/>
      <c r="R48" s="144"/>
      <c r="S48" s="127"/>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5"/>
      <c r="BK48" s="125"/>
      <c r="BL48" s="125"/>
      <c r="BM48" s="125"/>
      <c r="BN48" s="125"/>
      <c r="BO48" s="125"/>
      <c r="BP48" s="125"/>
      <c r="BQ48" s="125"/>
      <c r="BR48" s="125"/>
      <c r="BS48" s="125"/>
      <c r="BT48" s="125"/>
      <c r="BU48" s="125"/>
      <c r="BV48" s="125"/>
      <c r="BW48" s="125"/>
      <c r="BX48" s="125"/>
      <c r="BY48" s="125"/>
      <c r="BZ48" s="125"/>
      <c r="CA48" s="125"/>
      <c r="CB48" s="125"/>
      <c r="CC48" s="125"/>
      <c r="CD48" s="125"/>
      <c r="CE48" s="125"/>
      <c r="CF48" s="125"/>
      <c r="CG48" s="125"/>
      <c r="CH48" s="125"/>
      <c r="CI48" s="125"/>
      <c r="CJ48" s="125"/>
      <c r="CK48" s="125"/>
      <c r="CL48" s="125"/>
      <c r="CM48" s="125"/>
      <c r="CN48" s="125"/>
      <c r="CO48" s="125"/>
      <c r="CP48" s="125"/>
      <c r="CQ48" s="125"/>
      <c r="CR48" s="125"/>
      <c r="CS48" s="125"/>
      <c r="CT48" s="125"/>
      <c r="CU48" s="125"/>
      <c r="CV48" s="125"/>
      <c r="CW48" s="125"/>
      <c r="CX48" s="125"/>
      <c r="CY48" s="125"/>
      <c r="CZ48" s="125"/>
      <c r="DA48" s="125"/>
      <c r="DB48" s="125"/>
      <c r="DC48" s="125"/>
      <c r="DD48" s="125"/>
      <c r="DE48" s="125"/>
      <c r="DF48" s="125"/>
      <c r="DG48" s="125"/>
      <c r="DH48" s="125"/>
      <c r="DI48" s="125"/>
      <c r="DJ48" s="125"/>
      <c r="DK48" s="125"/>
      <c r="DL48" s="125"/>
      <c r="DM48" s="125"/>
      <c r="DN48" s="125"/>
      <c r="DO48" s="125"/>
      <c r="DP48" s="125"/>
      <c r="DQ48" s="125"/>
      <c r="DR48" s="125"/>
    </row>
    <row r="49" spans="1:122" ht="45.75" thickBot="1">
      <c r="A49" s="125"/>
      <c r="B49" s="648"/>
      <c r="C49" s="255" t="s">
        <v>1544</v>
      </c>
      <c r="D49" s="131"/>
      <c r="E49" s="712"/>
      <c r="F49" s="560"/>
      <c r="G49" s="560"/>
      <c r="H49" s="560"/>
      <c r="I49" s="560"/>
      <c r="J49" s="560"/>
      <c r="K49" s="560"/>
      <c r="L49" s="560"/>
      <c r="M49" s="560"/>
      <c r="N49" s="453"/>
      <c r="O49" s="6"/>
      <c r="P49" s="127"/>
      <c r="R49" s="144"/>
      <c r="S49" s="127"/>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5"/>
      <c r="BK49" s="125"/>
      <c r="BL49" s="125"/>
      <c r="BM49" s="125"/>
      <c r="BN49" s="125"/>
      <c r="BO49" s="125"/>
      <c r="BP49" s="125"/>
      <c r="BQ49" s="125"/>
      <c r="BR49" s="125"/>
      <c r="BS49" s="125"/>
      <c r="BT49" s="125"/>
      <c r="BU49" s="125"/>
      <c r="BV49" s="125"/>
      <c r="BW49" s="125"/>
      <c r="BX49" s="125"/>
      <c r="BY49" s="125"/>
      <c r="BZ49" s="125"/>
      <c r="CA49" s="125"/>
      <c r="CB49" s="125"/>
      <c r="CC49" s="125"/>
      <c r="CD49" s="125"/>
      <c r="CE49" s="125"/>
      <c r="CF49" s="125"/>
      <c r="CG49" s="125"/>
      <c r="CH49" s="125"/>
      <c r="CI49" s="125"/>
      <c r="CJ49" s="125"/>
      <c r="CK49" s="125"/>
      <c r="CL49" s="125"/>
      <c r="CM49" s="125"/>
      <c r="CN49" s="125"/>
      <c r="CO49" s="125"/>
      <c r="CP49" s="125"/>
      <c r="CQ49" s="125"/>
      <c r="CR49" s="125"/>
      <c r="CS49" s="125"/>
      <c r="CT49" s="125"/>
      <c r="CU49" s="125"/>
      <c r="CV49" s="125"/>
      <c r="CW49" s="125"/>
      <c r="CX49" s="125"/>
      <c r="CY49" s="125"/>
      <c r="CZ49" s="125"/>
      <c r="DA49" s="125"/>
      <c r="DB49" s="125"/>
      <c r="DC49" s="125"/>
      <c r="DD49" s="125"/>
      <c r="DE49" s="125"/>
      <c r="DF49" s="125"/>
      <c r="DG49" s="125"/>
      <c r="DH49" s="125"/>
      <c r="DI49" s="125"/>
      <c r="DJ49" s="125"/>
      <c r="DK49" s="125"/>
      <c r="DL49" s="125"/>
      <c r="DM49" s="125"/>
      <c r="DN49" s="125"/>
      <c r="DO49" s="125"/>
      <c r="DP49" s="125"/>
      <c r="DQ49" s="125"/>
      <c r="DR49" s="125"/>
    </row>
    <row r="50" spans="1:122" ht="15.75" thickBot="1">
      <c r="A50" s="125"/>
      <c r="B50" s="705"/>
      <c r="C50" s="564" t="s">
        <v>27</v>
      </c>
      <c r="D50" s="132"/>
      <c r="E50" s="714"/>
      <c r="F50" s="100"/>
      <c r="G50" s="100"/>
      <c r="H50" s="100"/>
      <c r="I50" s="100"/>
      <c r="J50" s="100"/>
      <c r="K50" s="100"/>
      <c r="L50" s="100"/>
      <c r="M50" s="100"/>
      <c r="N50" s="362"/>
      <c r="O50" s="6"/>
      <c r="P50" s="127"/>
      <c r="R50" s="144"/>
      <c r="S50" s="127"/>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5"/>
      <c r="BK50" s="125"/>
      <c r="BL50" s="125"/>
      <c r="BM50" s="125"/>
      <c r="BN50" s="125"/>
      <c r="BO50" s="125"/>
      <c r="BP50" s="125"/>
      <c r="BQ50" s="125"/>
      <c r="BR50" s="125"/>
      <c r="BS50" s="125"/>
      <c r="BT50" s="125"/>
      <c r="BU50" s="125"/>
      <c r="BV50" s="125"/>
      <c r="BW50" s="125"/>
      <c r="BX50" s="125"/>
      <c r="BY50" s="125"/>
      <c r="BZ50" s="125"/>
      <c r="CA50" s="125"/>
      <c r="CB50" s="125"/>
      <c r="CC50" s="125"/>
      <c r="CD50" s="125"/>
      <c r="CE50" s="125"/>
      <c r="CF50" s="125"/>
      <c r="CG50" s="125"/>
      <c r="CH50" s="125"/>
      <c r="CI50" s="125"/>
      <c r="CJ50" s="125"/>
      <c r="CK50" s="125"/>
      <c r="CL50" s="125"/>
      <c r="CM50" s="125"/>
      <c r="CN50" s="125"/>
      <c r="CO50" s="125"/>
      <c r="CP50" s="125"/>
      <c r="CQ50" s="125"/>
      <c r="CR50" s="125"/>
      <c r="CS50" s="125"/>
      <c r="CT50" s="125"/>
      <c r="CU50" s="125"/>
      <c r="CV50" s="125"/>
      <c r="CW50" s="125"/>
      <c r="CX50" s="125"/>
      <c r="CY50" s="125"/>
      <c r="CZ50" s="125"/>
      <c r="DA50" s="125"/>
      <c r="DB50" s="125"/>
      <c r="DC50" s="125"/>
      <c r="DD50" s="125"/>
      <c r="DE50" s="125"/>
      <c r="DF50" s="125"/>
      <c r="DG50" s="125"/>
      <c r="DH50" s="125"/>
      <c r="DI50" s="125"/>
      <c r="DJ50" s="125"/>
      <c r="DK50" s="125"/>
      <c r="DL50" s="125"/>
      <c r="DM50" s="125"/>
      <c r="DN50" s="125"/>
      <c r="DO50" s="125"/>
      <c r="DP50" s="125"/>
      <c r="DQ50" s="125"/>
      <c r="DR50" s="125"/>
    </row>
    <row r="51" spans="1:122" ht="15.75" thickTop="1">
      <c r="A51" s="125"/>
      <c r="B51" s="145"/>
      <c r="C51" s="9"/>
      <c r="D51" s="7"/>
      <c r="E51" s="7"/>
      <c r="F51" s="7"/>
      <c r="G51" s="7"/>
      <c r="H51" s="7"/>
      <c r="I51" s="8"/>
      <c r="J51" s="8"/>
      <c r="K51" s="8"/>
      <c r="L51" s="8"/>
      <c r="M51" s="8"/>
      <c r="N51" s="8"/>
      <c r="O51" s="8"/>
      <c r="P51" s="127"/>
      <c r="R51" s="144"/>
      <c r="S51" s="127"/>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c r="CR51" s="125"/>
      <c r="CS51" s="125"/>
      <c r="CT51" s="125"/>
      <c r="CU51" s="125"/>
      <c r="CV51" s="125"/>
      <c r="CW51" s="125"/>
      <c r="CX51" s="125"/>
      <c r="CY51" s="125"/>
      <c r="CZ51" s="125"/>
      <c r="DA51" s="125"/>
      <c r="DB51" s="125"/>
      <c r="DC51" s="125"/>
      <c r="DD51" s="125"/>
      <c r="DE51" s="125"/>
      <c r="DF51" s="125"/>
      <c r="DG51" s="125"/>
      <c r="DH51" s="125"/>
      <c r="DI51" s="125"/>
      <c r="DJ51" s="125"/>
      <c r="DK51" s="125"/>
      <c r="DL51" s="125"/>
      <c r="DM51" s="125"/>
      <c r="DN51" s="125"/>
      <c r="DO51" s="125"/>
      <c r="DP51" s="125"/>
      <c r="DQ51" s="125"/>
      <c r="DR51" s="125"/>
    </row>
    <row r="52" spans="1:122" ht="15">
      <c r="A52" s="125"/>
      <c r="B52" s="145"/>
      <c r="C52" s="9"/>
      <c r="D52" s="7"/>
      <c r="E52" s="7"/>
      <c r="F52" s="7"/>
      <c r="G52" s="7"/>
      <c r="H52" s="7"/>
      <c r="I52" s="8"/>
      <c r="J52" s="8"/>
      <c r="K52" s="8"/>
      <c r="L52" s="8"/>
      <c r="M52" s="8"/>
      <c r="N52" s="8"/>
      <c r="O52" s="8"/>
      <c r="P52" s="127"/>
      <c r="R52" s="144"/>
      <c r="S52" s="127"/>
      <c r="T52" s="125"/>
      <c r="U52" s="125"/>
      <c r="V52" s="125"/>
      <c r="W52" s="125"/>
      <c r="X52" s="125"/>
      <c r="Y52" s="125"/>
      <c r="Z52" s="125"/>
      <c r="AA52" s="125"/>
      <c r="AB52" s="125"/>
      <c r="AC52" s="125"/>
      <c r="AD52" s="125"/>
      <c r="AE52" s="125"/>
      <c r="AF52" s="125"/>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125"/>
      <c r="BH52" s="125"/>
      <c r="BI52" s="125"/>
      <c r="BJ52" s="125"/>
      <c r="BK52" s="125"/>
      <c r="BL52" s="125"/>
      <c r="BM52" s="125"/>
      <c r="BN52" s="125"/>
      <c r="BO52" s="125"/>
      <c r="BP52" s="125"/>
      <c r="BQ52" s="125"/>
      <c r="BR52" s="125"/>
      <c r="BS52" s="125"/>
      <c r="BT52" s="125"/>
      <c r="BU52" s="125"/>
      <c r="BV52" s="125"/>
      <c r="BW52" s="125"/>
      <c r="BX52" s="125"/>
      <c r="BY52" s="125"/>
      <c r="BZ52" s="125"/>
      <c r="CA52" s="125"/>
      <c r="CB52" s="125"/>
      <c r="CC52" s="125"/>
      <c r="CD52" s="125"/>
      <c r="CE52" s="125"/>
      <c r="CF52" s="125"/>
      <c r="CG52" s="125"/>
      <c r="CH52" s="125"/>
      <c r="CI52" s="125"/>
      <c r="CJ52" s="125"/>
      <c r="CK52" s="125"/>
      <c r="CL52" s="125"/>
      <c r="CM52" s="125"/>
      <c r="CN52" s="125"/>
      <c r="CO52" s="125"/>
      <c r="CP52" s="125"/>
      <c r="CQ52" s="125"/>
      <c r="CR52" s="125"/>
      <c r="CS52" s="125"/>
      <c r="CT52" s="125"/>
      <c r="CU52" s="125"/>
      <c r="CV52" s="125"/>
      <c r="CW52" s="125"/>
      <c r="CX52" s="125"/>
      <c r="CY52" s="125"/>
      <c r="CZ52" s="125"/>
      <c r="DA52" s="125"/>
      <c r="DB52" s="125"/>
      <c r="DC52" s="125"/>
      <c r="DD52" s="125"/>
      <c r="DE52" s="125"/>
      <c r="DF52" s="125"/>
      <c r="DG52" s="125"/>
      <c r="DH52" s="125"/>
      <c r="DI52" s="125"/>
      <c r="DJ52" s="125"/>
      <c r="DK52" s="125"/>
      <c r="DL52" s="125"/>
      <c r="DM52" s="125"/>
      <c r="DN52" s="125"/>
      <c r="DO52" s="125"/>
      <c r="DP52" s="125"/>
      <c r="DQ52" s="125"/>
      <c r="DR52" s="125"/>
    </row>
    <row r="53" spans="1:122" ht="15">
      <c r="A53" s="125"/>
      <c r="B53" s="145"/>
      <c r="C53" s="9"/>
      <c r="D53" s="7"/>
      <c r="E53" s="7"/>
      <c r="F53" s="7"/>
      <c r="G53" s="7"/>
      <c r="H53" s="7"/>
      <c r="I53" s="8"/>
      <c r="J53" s="8"/>
      <c r="K53" s="8"/>
      <c r="L53" s="8"/>
      <c r="M53" s="8"/>
      <c r="N53" s="8"/>
      <c r="O53" s="8"/>
      <c r="P53" s="127"/>
      <c r="R53" s="144"/>
      <c r="S53" s="127"/>
      <c r="T53" s="125"/>
      <c r="U53" s="125"/>
      <c r="V53" s="125"/>
      <c r="W53" s="125"/>
      <c r="X53" s="125"/>
      <c r="Y53" s="125"/>
      <c r="Z53" s="125"/>
      <c r="AA53" s="125"/>
      <c r="AB53" s="125"/>
      <c r="AC53" s="125"/>
      <c r="AD53" s="125"/>
      <c r="AE53" s="125"/>
      <c r="AF53" s="125"/>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5"/>
      <c r="BK53" s="125"/>
      <c r="BL53" s="125"/>
      <c r="BM53" s="125"/>
      <c r="BN53" s="125"/>
      <c r="BO53" s="125"/>
      <c r="BP53" s="125"/>
      <c r="BQ53" s="125"/>
      <c r="BR53" s="125"/>
      <c r="BS53" s="125"/>
      <c r="BT53" s="125"/>
      <c r="BU53" s="125"/>
      <c r="BV53" s="125"/>
      <c r="BW53" s="125"/>
      <c r="BX53" s="125"/>
      <c r="BY53" s="125"/>
      <c r="BZ53" s="125"/>
      <c r="CA53" s="125"/>
      <c r="CB53" s="125"/>
      <c r="CC53" s="125"/>
      <c r="CD53" s="125"/>
      <c r="CE53" s="125"/>
      <c r="CF53" s="125"/>
      <c r="CG53" s="125"/>
      <c r="CH53" s="125"/>
      <c r="CI53" s="125"/>
      <c r="CJ53" s="125"/>
      <c r="CK53" s="125"/>
      <c r="CL53" s="125"/>
      <c r="CM53" s="125"/>
      <c r="CN53" s="125"/>
      <c r="CO53" s="125"/>
      <c r="CP53" s="125"/>
      <c r="CQ53" s="125"/>
      <c r="CR53" s="125"/>
      <c r="CS53" s="125"/>
      <c r="CT53" s="125"/>
      <c r="CU53" s="125"/>
      <c r="CV53" s="125"/>
      <c r="CW53" s="125"/>
      <c r="CX53" s="125"/>
      <c r="CY53" s="125"/>
      <c r="CZ53" s="125"/>
      <c r="DA53" s="125"/>
      <c r="DB53" s="125"/>
      <c r="DC53" s="125"/>
      <c r="DD53" s="125"/>
      <c r="DE53" s="125"/>
      <c r="DF53" s="125"/>
      <c r="DG53" s="125"/>
      <c r="DH53" s="125"/>
      <c r="DI53" s="125"/>
      <c r="DJ53" s="125"/>
      <c r="DK53" s="125"/>
      <c r="DL53" s="125"/>
      <c r="DM53" s="125"/>
      <c r="DN53" s="125"/>
      <c r="DO53" s="125"/>
      <c r="DP53" s="125"/>
      <c r="DQ53" s="125"/>
      <c r="DR53" s="125"/>
    </row>
    <row r="54" spans="1:122" ht="15">
      <c r="A54" s="125"/>
      <c r="B54" s="145"/>
      <c r="C54" s="9"/>
      <c r="D54" s="7"/>
      <c r="E54" s="7"/>
      <c r="F54" s="7"/>
      <c r="G54" s="7"/>
      <c r="H54" s="7"/>
      <c r="I54" s="8"/>
      <c r="J54" s="8"/>
      <c r="K54" s="8"/>
      <c r="L54" s="8"/>
      <c r="M54" s="8"/>
      <c r="N54" s="8"/>
      <c r="O54" s="8"/>
      <c r="P54" s="127"/>
      <c r="R54" s="144"/>
      <c r="S54" s="127"/>
      <c r="T54" s="125"/>
      <c r="U54" s="125"/>
      <c r="V54" s="125"/>
      <c r="W54" s="125"/>
      <c r="X54" s="125"/>
      <c r="Y54" s="125"/>
      <c r="Z54" s="125"/>
      <c r="AA54" s="125"/>
      <c r="AB54" s="125"/>
      <c r="AC54" s="125"/>
      <c r="AD54" s="125"/>
      <c r="AE54" s="125"/>
      <c r="AF54" s="125"/>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125"/>
      <c r="BH54" s="125"/>
      <c r="BI54" s="125"/>
      <c r="BJ54" s="125"/>
      <c r="BK54" s="125"/>
      <c r="BL54" s="125"/>
      <c r="BM54" s="125"/>
      <c r="BN54" s="125"/>
      <c r="BO54" s="125"/>
      <c r="BP54" s="125"/>
      <c r="BQ54" s="125"/>
      <c r="BR54" s="125"/>
      <c r="BS54" s="125"/>
      <c r="BT54" s="125"/>
      <c r="BU54" s="125"/>
      <c r="BV54" s="125"/>
      <c r="BW54" s="125"/>
      <c r="BX54" s="125"/>
      <c r="BY54" s="125"/>
      <c r="BZ54" s="125"/>
      <c r="CA54" s="125"/>
      <c r="CB54" s="125"/>
      <c r="CC54" s="125"/>
      <c r="CD54" s="125"/>
      <c r="CE54" s="125"/>
      <c r="CF54" s="125"/>
      <c r="CG54" s="125"/>
      <c r="CH54" s="125"/>
      <c r="CI54" s="125"/>
      <c r="CJ54" s="125"/>
      <c r="CK54" s="125"/>
      <c r="CL54" s="125"/>
      <c r="CM54" s="125"/>
      <c r="CN54" s="125"/>
      <c r="CO54" s="125"/>
      <c r="CP54" s="125"/>
      <c r="CQ54" s="125"/>
      <c r="CR54" s="125"/>
      <c r="CS54" s="125"/>
      <c r="CT54" s="125"/>
      <c r="CU54" s="125"/>
      <c r="CV54" s="125"/>
      <c r="CW54" s="125"/>
      <c r="CX54" s="125"/>
      <c r="CY54" s="125"/>
      <c r="CZ54" s="125"/>
      <c r="DA54" s="125"/>
      <c r="DB54" s="125"/>
      <c r="DC54" s="125"/>
      <c r="DD54" s="125"/>
      <c r="DE54" s="125"/>
      <c r="DF54" s="125"/>
      <c r="DG54" s="125"/>
      <c r="DH54" s="125"/>
      <c r="DI54" s="125"/>
      <c r="DJ54" s="125"/>
      <c r="DK54" s="125"/>
      <c r="DL54" s="125"/>
      <c r="DM54" s="125"/>
      <c r="DN54" s="125"/>
      <c r="DO54" s="125"/>
      <c r="DP54" s="125"/>
      <c r="DQ54" s="125"/>
      <c r="DR54" s="125"/>
    </row>
    <row r="55" spans="1:122" ht="15">
      <c r="A55" s="125"/>
      <c r="B55" s="145"/>
      <c r="C55" s="9"/>
      <c r="D55" s="7"/>
      <c r="E55" s="7"/>
      <c r="F55" s="7"/>
      <c r="G55" s="7"/>
      <c r="H55" s="7"/>
      <c r="I55" s="8"/>
      <c r="J55" s="8"/>
      <c r="K55" s="8"/>
      <c r="L55" s="8"/>
      <c r="M55" s="8"/>
      <c r="N55" s="8"/>
      <c r="O55" s="8"/>
      <c r="P55" s="127"/>
      <c r="R55" s="144"/>
      <c r="S55" s="127"/>
      <c r="T55" s="125"/>
      <c r="U55" s="125"/>
      <c r="V55" s="125"/>
      <c r="W55" s="125"/>
      <c r="X55" s="125"/>
      <c r="Y55" s="125"/>
      <c r="Z55" s="125"/>
      <c r="AA55" s="125"/>
      <c r="AB55" s="125"/>
      <c r="AC55" s="125"/>
      <c r="AD55" s="125"/>
      <c r="AE55" s="125"/>
      <c r="AF55" s="125"/>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5"/>
      <c r="BK55" s="125"/>
      <c r="BL55" s="125"/>
      <c r="BM55" s="125"/>
      <c r="BN55" s="125"/>
      <c r="BO55" s="125"/>
      <c r="BP55" s="125"/>
      <c r="BQ55" s="125"/>
      <c r="BR55" s="125"/>
      <c r="BS55" s="125"/>
      <c r="BT55" s="125"/>
      <c r="BU55" s="125"/>
      <c r="BV55" s="125"/>
      <c r="BW55" s="125"/>
      <c r="BX55" s="125"/>
      <c r="BY55" s="125"/>
      <c r="BZ55" s="125"/>
      <c r="CA55" s="125"/>
      <c r="CB55" s="125"/>
      <c r="CC55" s="125"/>
      <c r="CD55" s="125"/>
      <c r="CE55" s="125"/>
      <c r="CF55" s="125"/>
      <c r="CG55" s="125"/>
      <c r="CH55" s="125"/>
      <c r="CI55" s="125"/>
      <c r="CJ55" s="125"/>
      <c r="CK55" s="125"/>
      <c r="CL55" s="125"/>
      <c r="CM55" s="125"/>
      <c r="CN55" s="125"/>
      <c r="CO55" s="125"/>
      <c r="CP55" s="125"/>
      <c r="CQ55" s="125"/>
      <c r="CR55" s="125"/>
      <c r="CS55" s="125"/>
      <c r="CT55" s="125"/>
      <c r="CU55" s="125"/>
      <c r="CV55" s="125"/>
      <c r="CW55" s="125"/>
      <c r="CX55" s="125"/>
      <c r="CY55" s="125"/>
      <c r="CZ55" s="125"/>
      <c r="DA55" s="125"/>
      <c r="DB55" s="125"/>
      <c r="DC55" s="125"/>
      <c r="DD55" s="125"/>
      <c r="DE55" s="125"/>
      <c r="DF55" s="125"/>
      <c r="DG55" s="125"/>
      <c r="DH55" s="125"/>
      <c r="DI55" s="125"/>
      <c r="DJ55" s="125"/>
      <c r="DK55" s="125"/>
      <c r="DL55" s="125"/>
      <c r="DM55" s="125"/>
      <c r="DN55" s="125"/>
      <c r="DO55" s="125"/>
      <c r="DP55" s="125"/>
      <c r="DQ55" s="125"/>
      <c r="DR55" s="125"/>
    </row>
    <row r="56" spans="1:122" ht="15">
      <c r="A56" s="125"/>
      <c r="B56" s="145"/>
      <c r="C56" s="9"/>
      <c r="D56" s="7"/>
      <c r="E56" s="7"/>
      <c r="F56" s="7"/>
      <c r="G56" s="7"/>
      <c r="H56" s="7"/>
      <c r="I56" s="8"/>
      <c r="J56" s="8"/>
      <c r="K56" s="8"/>
      <c r="L56" s="8"/>
      <c r="M56" s="8"/>
      <c r="N56" s="8"/>
      <c r="O56" s="8"/>
      <c r="P56" s="127"/>
      <c r="R56" s="144"/>
      <c r="S56" s="127"/>
      <c r="T56" s="125"/>
      <c r="U56" s="125"/>
      <c r="V56" s="125"/>
      <c r="W56" s="125"/>
      <c r="X56" s="125"/>
      <c r="Y56" s="125"/>
      <c r="Z56" s="125"/>
      <c r="AA56" s="125"/>
      <c r="AB56" s="125"/>
      <c r="AC56" s="125"/>
      <c r="AD56" s="125"/>
      <c r="AE56" s="125"/>
      <c r="AF56" s="125"/>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5"/>
      <c r="BK56" s="125"/>
      <c r="BL56" s="125"/>
      <c r="BM56" s="125"/>
      <c r="BN56" s="125"/>
      <c r="BO56" s="125"/>
      <c r="BP56" s="125"/>
      <c r="BQ56" s="125"/>
      <c r="BR56" s="125"/>
      <c r="BS56" s="125"/>
      <c r="BT56" s="125"/>
      <c r="BU56" s="125"/>
      <c r="BV56" s="125"/>
      <c r="BW56" s="125"/>
      <c r="BX56" s="125"/>
      <c r="BY56" s="125"/>
      <c r="BZ56" s="125"/>
      <c r="CA56" s="125"/>
      <c r="CB56" s="125"/>
      <c r="CC56" s="125"/>
      <c r="CD56" s="125"/>
      <c r="CE56" s="125"/>
      <c r="CF56" s="125"/>
      <c r="CG56" s="125"/>
      <c r="CH56" s="125"/>
      <c r="CI56" s="125"/>
      <c r="CJ56" s="125"/>
      <c r="CK56" s="125"/>
      <c r="CL56" s="125"/>
      <c r="CM56" s="125"/>
      <c r="CN56" s="125"/>
      <c r="CO56" s="125"/>
      <c r="CP56" s="125"/>
      <c r="CQ56" s="125"/>
      <c r="CR56" s="125"/>
      <c r="CS56" s="125"/>
      <c r="CT56" s="125"/>
      <c r="CU56" s="125"/>
      <c r="CV56" s="125"/>
      <c r="CW56" s="125"/>
      <c r="CX56" s="125"/>
      <c r="CY56" s="125"/>
      <c r="CZ56" s="125"/>
      <c r="DA56" s="125"/>
      <c r="DB56" s="125"/>
      <c r="DC56" s="125"/>
      <c r="DD56" s="125"/>
      <c r="DE56" s="125"/>
      <c r="DF56" s="125"/>
      <c r="DG56" s="125"/>
      <c r="DH56" s="125"/>
      <c r="DI56" s="125"/>
      <c r="DJ56" s="125"/>
      <c r="DK56" s="125"/>
      <c r="DL56" s="125"/>
      <c r="DM56" s="125"/>
      <c r="DN56" s="125"/>
      <c r="DO56" s="125"/>
      <c r="DP56" s="125"/>
      <c r="DQ56" s="125"/>
      <c r="DR56" s="125"/>
    </row>
    <row r="57" spans="1:122" ht="15">
      <c r="A57" s="125"/>
      <c r="B57" s="145"/>
      <c r="C57" s="9"/>
      <c r="D57" s="7"/>
      <c r="E57" s="7"/>
      <c r="F57" s="7"/>
      <c r="G57" s="7"/>
      <c r="H57" s="7"/>
      <c r="I57" s="8"/>
      <c r="J57" s="8"/>
      <c r="K57" s="8"/>
      <c r="L57" s="8"/>
      <c r="M57" s="8"/>
      <c r="N57" s="8"/>
      <c r="O57" s="8"/>
      <c r="P57" s="127"/>
      <c r="R57" s="144"/>
      <c r="S57" s="127"/>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c r="CP57" s="125"/>
      <c r="CQ57" s="125"/>
      <c r="CR57" s="125"/>
      <c r="CS57" s="125"/>
      <c r="CT57" s="125"/>
      <c r="CU57" s="125"/>
      <c r="CV57" s="125"/>
      <c r="CW57" s="125"/>
      <c r="CX57" s="125"/>
      <c r="CY57" s="125"/>
      <c r="CZ57" s="125"/>
      <c r="DA57" s="125"/>
      <c r="DB57" s="125"/>
      <c r="DC57" s="125"/>
      <c r="DD57" s="125"/>
      <c r="DE57" s="125"/>
      <c r="DF57" s="125"/>
      <c r="DG57" s="125"/>
      <c r="DH57" s="125"/>
      <c r="DI57" s="125"/>
      <c r="DJ57" s="125"/>
      <c r="DK57" s="125"/>
      <c r="DL57" s="125"/>
      <c r="DM57" s="125"/>
      <c r="DN57" s="125"/>
      <c r="DO57" s="125"/>
      <c r="DP57" s="125"/>
      <c r="DQ57" s="125"/>
      <c r="DR57" s="125"/>
    </row>
    <row r="58" spans="1:122" ht="15">
      <c r="A58" s="125"/>
      <c r="B58" s="145"/>
      <c r="C58" s="9"/>
      <c r="D58" s="7"/>
      <c r="E58" s="7"/>
      <c r="F58" s="7"/>
      <c r="G58" s="7"/>
      <c r="H58" s="7"/>
      <c r="I58" s="8"/>
      <c r="J58" s="8"/>
      <c r="K58" s="8"/>
      <c r="L58" s="8"/>
      <c r="M58" s="8"/>
      <c r="N58" s="8"/>
      <c r="O58" s="8"/>
      <c r="P58" s="127"/>
      <c r="R58" s="144"/>
      <c r="S58" s="127"/>
      <c r="T58" s="125"/>
      <c r="U58" s="125"/>
      <c r="V58" s="125"/>
      <c r="W58" s="125"/>
      <c r="X58" s="125"/>
      <c r="Y58" s="125"/>
      <c r="Z58" s="125"/>
      <c r="AA58" s="125"/>
      <c r="AB58" s="125"/>
      <c r="AC58" s="125"/>
      <c r="AD58" s="125"/>
      <c r="AE58" s="125"/>
      <c r="AF58" s="125"/>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5"/>
      <c r="BK58" s="125"/>
      <c r="BL58" s="125"/>
      <c r="BM58" s="125"/>
      <c r="BN58" s="125"/>
      <c r="BO58" s="125"/>
      <c r="BP58" s="125"/>
      <c r="BQ58" s="125"/>
      <c r="BR58" s="125"/>
      <c r="BS58" s="125"/>
      <c r="BT58" s="125"/>
      <c r="BU58" s="125"/>
      <c r="BV58" s="125"/>
      <c r="BW58" s="125"/>
      <c r="BX58" s="125"/>
      <c r="BY58" s="125"/>
      <c r="BZ58" s="125"/>
      <c r="CA58" s="125"/>
      <c r="CB58" s="125"/>
      <c r="CC58" s="125"/>
      <c r="CD58" s="125"/>
      <c r="CE58" s="125"/>
      <c r="CF58" s="125"/>
      <c r="CG58" s="125"/>
      <c r="CH58" s="125"/>
      <c r="CI58" s="125"/>
      <c r="CJ58" s="125"/>
      <c r="CK58" s="125"/>
      <c r="CL58" s="125"/>
      <c r="CM58" s="125"/>
      <c r="CN58" s="125"/>
      <c r="CO58" s="125"/>
      <c r="CP58" s="125"/>
      <c r="CQ58" s="125"/>
      <c r="CR58" s="125"/>
      <c r="CS58" s="125"/>
      <c r="CT58" s="125"/>
      <c r="CU58" s="125"/>
      <c r="CV58" s="125"/>
      <c r="CW58" s="125"/>
      <c r="CX58" s="125"/>
      <c r="CY58" s="125"/>
      <c r="CZ58" s="125"/>
      <c r="DA58" s="125"/>
      <c r="DB58" s="125"/>
      <c r="DC58" s="125"/>
      <c r="DD58" s="125"/>
      <c r="DE58" s="125"/>
      <c r="DF58" s="125"/>
      <c r="DG58" s="125"/>
      <c r="DH58" s="125"/>
      <c r="DI58" s="125"/>
      <c r="DJ58" s="125"/>
      <c r="DK58" s="125"/>
      <c r="DL58" s="125"/>
      <c r="DM58" s="125"/>
      <c r="DN58" s="125"/>
      <c r="DO58" s="125"/>
      <c r="DP58" s="125"/>
      <c r="DQ58" s="125"/>
      <c r="DR58" s="125"/>
    </row>
    <row r="59" spans="1:122" ht="15">
      <c r="A59" s="125"/>
      <c r="B59" s="145"/>
      <c r="C59" s="9"/>
      <c r="D59" s="7"/>
      <c r="E59" s="7"/>
      <c r="F59" s="7"/>
      <c r="G59" s="7"/>
      <c r="H59" s="7"/>
      <c r="I59" s="8"/>
      <c r="J59" s="8"/>
      <c r="K59" s="8"/>
      <c r="L59" s="8"/>
      <c r="M59" s="8"/>
      <c r="N59" s="8"/>
      <c r="O59" s="8"/>
      <c r="P59" s="127"/>
      <c r="R59" s="144"/>
      <c r="S59" s="127"/>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5"/>
      <c r="DQ59" s="125"/>
      <c r="DR59" s="125"/>
    </row>
    <row r="60" spans="1:122" ht="15">
      <c r="A60" s="125"/>
      <c r="B60" s="145"/>
      <c r="C60" s="9"/>
      <c r="D60" s="7"/>
      <c r="E60" s="7"/>
      <c r="F60" s="7"/>
      <c r="G60" s="7"/>
      <c r="H60" s="7"/>
      <c r="I60" s="8"/>
      <c r="J60" s="8"/>
      <c r="K60" s="8"/>
      <c r="L60" s="8"/>
      <c r="M60" s="8"/>
      <c r="N60" s="8"/>
      <c r="O60" s="8"/>
      <c r="P60" s="127"/>
      <c r="R60" s="144"/>
      <c r="S60" s="127"/>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c r="DF60" s="125"/>
      <c r="DG60" s="125"/>
      <c r="DH60" s="125"/>
      <c r="DI60" s="125"/>
      <c r="DJ60" s="125"/>
      <c r="DK60" s="125"/>
      <c r="DL60" s="125"/>
      <c r="DM60" s="125"/>
      <c r="DN60" s="125"/>
      <c r="DO60" s="125"/>
      <c r="DP60" s="125"/>
      <c r="DQ60" s="125"/>
      <c r="DR60" s="125"/>
    </row>
    <row r="61" spans="1:122" ht="15">
      <c r="A61" s="125"/>
      <c r="B61" s="145"/>
      <c r="C61" s="9"/>
      <c r="D61" s="7"/>
      <c r="E61" s="7"/>
      <c r="F61" s="7"/>
      <c r="G61" s="7"/>
      <c r="H61" s="7"/>
      <c r="I61" s="8"/>
      <c r="J61" s="8"/>
      <c r="K61" s="8"/>
      <c r="L61" s="8"/>
      <c r="M61" s="8"/>
      <c r="N61" s="8"/>
      <c r="O61" s="8"/>
      <c r="P61" s="127"/>
      <c r="R61" s="144"/>
      <c r="S61" s="127"/>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5"/>
      <c r="BK61" s="125"/>
      <c r="BL61" s="125"/>
      <c r="BM61" s="125"/>
      <c r="BN61" s="125"/>
      <c r="BO61" s="125"/>
      <c r="BP61" s="125"/>
      <c r="BQ61" s="125"/>
      <c r="BR61" s="125"/>
      <c r="BS61" s="125"/>
      <c r="BT61" s="125"/>
      <c r="BU61" s="125"/>
      <c r="BV61" s="125"/>
      <c r="BW61" s="125"/>
      <c r="BX61" s="125"/>
      <c r="BY61" s="125"/>
      <c r="BZ61" s="125"/>
      <c r="CA61" s="125"/>
      <c r="CB61" s="125"/>
      <c r="CC61" s="125"/>
      <c r="CD61" s="125"/>
      <c r="CE61" s="125"/>
      <c r="CF61" s="125"/>
      <c r="CG61" s="125"/>
      <c r="CH61" s="125"/>
      <c r="CI61" s="125"/>
      <c r="CJ61" s="125"/>
      <c r="CK61" s="125"/>
      <c r="CL61" s="125"/>
      <c r="CM61" s="125"/>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125"/>
      <c r="DP61" s="125"/>
      <c r="DQ61" s="125"/>
      <c r="DR61" s="125"/>
    </row>
    <row r="62" spans="1:122" ht="15">
      <c r="A62" s="125"/>
      <c r="B62" s="145"/>
      <c r="C62" s="9"/>
      <c r="D62" s="7"/>
      <c r="E62" s="7"/>
      <c r="F62" s="7"/>
      <c r="G62" s="7"/>
      <c r="H62" s="7"/>
      <c r="I62" s="8"/>
      <c r="J62" s="8"/>
      <c r="K62" s="8"/>
      <c r="L62" s="8"/>
      <c r="M62" s="8"/>
      <c r="N62" s="8"/>
      <c r="O62" s="8"/>
      <c r="P62" s="127"/>
      <c r="R62" s="144"/>
      <c r="S62" s="127"/>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5"/>
      <c r="BK62" s="125"/>
      <c r="BL62" s="125"/>
      <c r="BM62" s="125"/>
      <c r="BN62" s="125"/>
      <c r="BO62" s="125"/>
      <c r="BP62" s="125"/>
      <c r="BQ62" s="125"/>
      <c r="BR62" s="125"/>
      <c r="BS62" s="125"/>
      <c r="BT62" s="125"/>
      <c r="BU62" s="125"/>
      <c r="BV62" s="125"/>
      <c r="BW62" s="125"/>
      <c r="BX62" s="125"/>
      <c r="BY62" s="125"/>
      <c r="BZ62" s="125"/>
      <c r="CA62" s="125"/>
      <c r="CB62" s="125"/>
      <c r="CC62" s="125"/>
      <c r="CD62" s="125"/>
      <c r="CE62" s="125"/>
      <c r="CF62" s="125"/>
      <c r="CG62" s="125"/>
      <c r="CH62" s="125"/>
      <c r="CI62" s="125"/>
      <c r="CJ62" s="125"/>
      <c r="CK62" s="125"/>
      <c r="CL62" s="125"/>
      <c r="CM62" s="125"/>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c r="DL62" s="125"/>
      <c r="DM62" s="125"/>
      <c r="DN62" s="125"/>
      <c r="DO62" s="125"/>
      <c r="DP62" s="125"/>
      <c r="DQ62" s="125"/>
      <c r="DR62" s="125"/>
    </row>
    <row r="63" spans="1:122" ht="15">
      <c r="A63" s="125"/>
      <c r="B63" s="145"/>
      <c r="C63" s="9"/>
      <c r="D63" s="7"/>
      <c r="E63" s="7"/>
      <c r="F63" s="7"/>
      <c r="G63" s="7"/>
      <c r="H63" s="7"/>
      <c r="I63" s="8"/>
      <c r="J63" s="8"/>
      <c r="K63" s="8"/>
      <c r="L63" s="8"/>
      <c r="M63" s="8"/>
      <c r="N63" s="8"/>
      <c r="O63" s="8"/>
      <c r="P63" s="127"/>
      <c r="R63" s="144"/>
      <c r="S63" s="127"/>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125"/>
      <c r="CL63" s="125"/>
      <c r="CM63" s="125"/>
      <c r="CN63" s="125"/>
      <c r="CO63" s="125"/>
      <c r="CP63" s="125"/>
      <c r="CQ63" s="125"/>
      <c r="CR63" s="125"/>
      <c r="CS63" s="125"/>
      <c r="CT63" s="125"/>
      <c r="CU63" s="125"/>
      <c r="CV63" s="125"/>
      <c r="CW63" s="125"/>
      <c r="CX63" s="125"/>
      <c r="CY63" s="125"/>
      <c r="CZ63" s="125"/>
      <c r="DA63" s="125"/>
      <c r="DB63" s="125"/>
      <c r="DC63" s="125"/>
      <c r="DD63" s="125"/>
      <c r="DE63" s="125"/>
      <c r="DF63" s="125"/>
      <c r="DG63" s="125"/>
      <c r="DH63" s="125"/>
      <c r="DI63" s="125"/>
      <c r="DJ63" s="125"/>
      <c r="DK63" s="125"/>
      <c r="DL63" s="125"/>
      <c r="DM63" s="125"/>
      <c r="DN63" s="125"/>
      <c r="DO63" s="125"/>
      <c r="DP63" s="125"/>
      <c r="DQ63" s="125"/>
      <c r="DR63" s="125"/>
    </row>
    <row r="64" spans="1:122" ht="15">
      <c r="A64" s="125"/>
      <c r="B64" s="145"/>
      <c r="C64" s="9"/>
      <c r="D64" s="7"/>
      <c r="E64" s="7"/>
      <c r="F64" s="7"/>
      <c r="G64" s="7"/>
      <c r="H64" s="7"/>
      <c r="I64" s="8"/>
      <c r="J64" s="8"/>
      <c r="K64" s="8"/>
      <c r="L64" s="8"/>
      <c r="M64" s="8"/>
      <c r="N64" s="8"/>
      <c r="O64" s="8"/>
      <c r="P64" s="127"/>
      <c r="R64" s="144"/>
      <c r="S64" s="127"/>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5"/>
      <c r="BK64" s="125"/>
      <c r="BL64" s="125"/>
      <c r="BM64" s="125"/>
      <c r="BN64" s="125"/>
      <c r="BO64" s="125"/>
      <c r="BP64" s="125"/>
      <c r="BQ64" s="125"/>
      <c r="BR64" s="125"/>
      <c r="BS64" s="125"/>
      <c r="BT64" s="125"/>
      <c r="BU64" s="125"/>
      <c r="BV64" s="125"/>
      <c r="BW64" s="125"/>
      <c r="BX64" s="125"/>
      <c r="BY64" s="125"/>
      <c r="BZ64" s="125"/>
      <c r="CA64" s="125"/>
      <c r="CB64" s="125"/>
      <c r="CC64" s="125"/>
      <c r="CD64" s="125"/>
      <c r="CE64" s="125"/>
      <c r="CF64" s="125"/>
      <c r="CG64" s="125"/>
      <c r="CH64" s="125"/>
      <c r="CI64" s="125"/>
      <c r="CJ64" s="125"/>
      <c r="CK64" s="125"/>
      <c r="CL64" s="125"/>
      <c r="CM64" s="125"/>
      <c r="CN64" s="125"/>
      <c r="CO64" s="125"/>
      <c r="CP64" s="125"/>
      <c r="CQ64" s="125"/>
      <c r="CR64" s="125"/>
      <c r="CS64" s="125"/>
      <c r="CT64" s="125"/>
      <c r="CU64" s="125"/>
      <c r="CV64" s="125"/>
      <c r="CW64" s="125"/>
      <c r="CX64" s="125"/>
      <c r="CY64" s="125"/>
      <c r="CZ64" s="125"/>
      <c r="DA64" s="125"/>
      <c r="DB64" s="125"/>
      <c r="DC64" s="125"/>
      <c r="DD64" s="125"/>
      <c r="DE64" s="125"/>
      <c r="DF64" s="125"/>
      <c r="DG64" s="125"/>
      <c r="DH64" s="125"/>
      <c r="DI64" s="125"/>
      <c r="DJ64" s="125"/>
      <c r="DK64" s="125"/>
      <c r="DL64" s="125"/>
      <c r="DM64" s="125"/>
      <c r="DN64" s="125"/>
      <c r="DO64" s="125"/>
      <c r="DP64" s="125"/>
      <c r="DQ64" s="125"/>
      <c r="DR64" s="125"/>
    </row>
    <row r="65" spans="1:122" ht="15">
      <c r="A65" s="125"/>
      <c r="B65" s="145"/>
      <c r="C65" s="9"/>
      <c r="D65" s="7"/>
      <c r="E65" s="7"/>
      <c r="F65" s="7"/>
      <c r="G65" s="7"/>
      <c r="H65" s="7"/>
      <c r="I65" s="8"/>
      <c r="J65" s="8"/>
      <c r="K65" s="8"/>
      <c r="L65" s="8"/>
      <c r="M65" s="8"/>
      <c r="N65" s="8"/>
      <c r="O65" s="8"/>
      <c r="P65" s="127"/>
      <c r="R65" s="144"/>
      <c r="S65" s="127"/>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5"/>
      <c r="BK65" s="125"/>
      <c r="BL65" s="125"/>
      <c r="BM65" s="125"/>
      <c r="BN65" s="125"/>
      <c r="BO65" s="125"/>
      <c r="BP65" s="125"/>
      <c r="BQ65" s="125"/>
      <c r="BR65" s="125"/>
      <c r="BS65" s="125"/>
      <c r="BT65" s="125"/>
      <c r="BU65" s="125"/>
      <c r="BV65" s="125"/>
      <c r="BW65" s="125"/>
      <c r="BX65" s="125"/>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5"/>
      <c r="DQ65" s="125"/>
      <c r="DR65" s="125"/>
    </row>
    <row r="66" spans="1:122" ht="15">
      <c r="A66" s="125"/>
      <c r="B66" s="145"/>
      <c r="C66" s="9"/>
      <c r="D66" s="7"/>
      <c r="E66" s="7"/>
      <c r="F66" s="7"/>
      <c r="G66" s="7"/>
      <c r="H66" s="7"/>
      <c r="I66" s="8"/>
      <c r="J66" s="8"/>
      <c r="K66" s="8"/>
      <c r="L66" s="8"/>
      <c r="M66" s="8"/>
      <c r="N66" s="8"/>
      <c r="O66" s="8"/>
      <c r="P66" s="127"/>
      <c r="R66" s="144"/>
      <c r="S66" s="127"/>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5"/>
      <c r="BK66" s="125"/>
      <c r="BL66" s="125"/>
      <c r="BM66" s="125"/>
      <c r="BN66" s="125"/>
      <c r="BO66" s="125"/>
      <c r="BP66" s="125"/>
      <c r="BQ66" s="125"/>
      <c r="BR66" s="125"/>
      <c r="BS66" s="125"/>
      <c r="BT66" s="125"/>
      <c r="BU66" s="125"/>
      <c r="BV66" s="125"/>
      <c r="BW66" s="125"/>
      <c r="BX66" s="125"/>
      <c r="BY66" s="125"/>
      <c r="BZ66" s="125"/>
      <c r="CA66" s="125"/>
      <c r="CB66" s="125"/>
      <c r="CC66" s="125"/>
      <c r="CD66" s="125"/>
      <c r="CE66" s="125"/>
      <c r="CF66" s="125"/>
      <c r="CG66" s="125"/>
      <c r="CH66" s="125"/>
      <c r="CI66" s="125"/>
      <c r="CJ66" s="125"/>
      <c r="CK66" s="125"/>
      <c r="CL66" s="125"/>
      <c r="CM66" s="125"/>
      <c r="CN66" s="125"/>
      <c r="CO66" s="125"/>
      <c r="CP66" s="125"/>
      <c r="CQ66" s="125"/>
      <c r="CR66" s="125"/>
      <c r="CS66" s="125"/>
      <c r="CT66" s="125"/>
      <c r="CU66" s="125"/>
      <c r="CV66" s="125"/>
      <c r="CW66" s="125"/>
      <c r="CX66" s="125"/>
      <c r="CY66" s="125"/>
      <c r="CZ66" s="125"/>
      <c r="DA66" s="125"/>
      <c r="DB66" s="125"/>
      <c r="DC66" s="125"/>
      <c r="DD66" s="125"/>
      <c r="DE66" s="125"/>
      <c r="DF66" s="125"/>
      <c r="DG66" s="125"/>
      <c r="DH66" s="125"/>
      <c r="DI66" s="125"/>
      <c r="DJ66" s="125"/>
      <c r="DK66" s="125"/>
      <c r="DL66" s="125"/>
      <c r="DM66" s="125"/>
      <c r="DN66" s="125"/>
      <c r="DO66" s="125"/>
      <c r="DP66" s="125"/>
      <c r="DQ66" s="125"/>
      <c r="DR66" s="125"/>
    </row>
    <row r="67" spans="1:122" ht="15">
      <c r="A67" s="125"/>
      <c r="B67" s="145"/>
      <c r="C67" s="9"/>
      <c r="D67" s="7"/>
      <c r="E67" s="7"/>
      <c r="F67" s="7"/>
      <c r="G67" s="7"/>
      <c r="H67" s="7"/>
      <c r="I67" s="8"/>
      <c r="J67" s="8"/>
      <c r="K67" s="8"/>
      <c r="L67" s="8"/>
      <c r="M67" s="8"/>
      <c r="N67" s="8"/>
      <c r="O67" s="8"/>
      <c r="P67" s="127"/>
      <c r="R67" s="144"/>
      <c r="S67" s="127"/>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5"/>
      <c r="BK67" s="125"/>
      <c r="BL67" s="125"/>
      <c r="BM67" s="125"/>
      <c r="BN67" s="125"/>
      <c r="BO67" s="125"/>
      <c r="BP67" s="125"/>
      <c r="BQ67" s="125"/>
      <c r="BR67" s="125"/>
      <c r="BS67" s="125"/>
      <c r="BT67" s="125"/>
      <c r="BU67" s="125"/>
      <c r="BV67" s="125"/>
      <c r="BW67" s="125"/>
      <c r="BX67" s="125"/>
      <c r="BY67" s="125"/>
      <c r="BZ67" s="125"/>
      <c r="CA67" s="125"/>
      <c r="CB67" s="125"/>
      <c r="CC67" s="125"/>
      <c r="CD67" s="125"/>
      <c r="CE67" s="125"/>
      <c r="CF67" s="125"/>
      <c r="CG67" s="125"/>
      <c r="CH67" s="125"/>
      <c r="CI67" s="125"/>
      <c r="CJ67" s="125"/>
      <c r="CK67" s="125"/>
      <c r="CL67" s="125"/>
      <c r="CM67" s="125"/>
      <c r="CN67" s="125"/>
      <c r="CO67" s="125"/>
      <c r="CP67" s="125"/>
      <c r="CQ67" s="125"/>
      <c r="CR67" s="125"/>
      <c r="CS67" s="125"/>
      <c r="CT67" s="125"/>
      <c r="CU67" s="125"/>
      <c r="CV67" s="125"/>
      <c r="CW67" s="125"/>
      <c r="CX67" s="125"/>
      <c r="CY67" s="125"/>
      <c r="CZ67" s="125"/>
      <c r="DA67" s="125"/>
      <c r="DB67" s="125"/>
      <c r="DC67" s="125"/>
      <c r="DD67" s="125"/>
      <c r="DE67" s="125"/>
      <c r="DF67" s="125"/>
      <c r="DG67" s="125"/>
      <c r="DH67" s="125"/>
      <c r="DI67" s="125"/>
      <c r="DJ67" s="125"/>
      <c r="DK67" s="125"/>
      <c r="DL67" s="125"/>
      <c r="DM67" s="125"/>
      <c r="DN67" s="125"/>
      <c r="DO67" s="125"/>
      <c r="DP67" s="125"/>
      <c r="DQ67" s="125"/>
      <c r="DR67" s="125"/>
    </row>
    <row r="68" spans="1:122" ht="15">
      <c r="A68" s="125"/>
      <c r="B68" s="145"/>
      <c r="C68" s="9"/>
      <c r="D68" s="7"/>
      <c r="E68" s="7"/>
      <c r="F68" s="7"/>
      <c r="G68" s="7"/>
      <c r="H68" s="7"/>
      <c r="I68" s="8"/>
      <c r="J68" s="8"/>
      <c r="K68" s="8"/>
      <c r="L68" s="8"/>
      <c r="M68" s="8"/>
      <c r="N68" s="8"/>
      <c r="O68" s="8"/>
      <c r="P68" s="127"/>
      <c r="R68" s="144"/>
      <c r="S68" s="127"/>
      <c r="T68" s="125"/>
      <c r="U68" s="125"/>
      <c r="V68" s="125"/>
      <c r="W68" s="125"/>
      <c r="X68" s="125"/>
      <c r="Y68" s="125"/>
      <c r="Z68" s="125"/>
      <c r="AA68" s="125"/>
      <c r="AB68" s="125"/>
      <c r="AC68" s="125"/>
      <c r="AD68" s="125"/>
      <c r="AE68" s="125"/>
      <c r="AF68" s="125"/>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5"/>
      <c r="BK68" s="125"/>
      <c r="BL68" s="125"/>
      <c r="BM68" s="125"/>
      <c r="BN68" s="125"/>
      <c r="BO68" s="125"/>
      <c r="BP68" s="125"/>
      <c r="BQ68" s="125"/>
      <c r="BR68" s="125"/>
      <c r="BS68" s="125"/>
      <c r="BT68" s="125"/>
      <c r="BU68" s="125"/>
      <c r="BV68" s="125"/>
      <c r="BW68" s="125"/>
      <c r="BX68" s="125"/>
      <c r="BY68" s="125"/>
      <c r="BZ68" s="125"/>
      <c r="CA68" s="125"/>
      <c r="CB68" s="125"/>
      <c r="CC68" s="125"/>
      <c r="CD68" s="125"/>
      <c r="CE68" s="125"/>
      <c r="CF68" s="125"/>
      <c r="CG68" s="125"/>
      <c r="CH68" s="125"/>
      <c r="CI68" s="125"/>
      <c r="CJ68" s="125"/>
      <c r="CK68" s="125"/>
      <c r="CL68" s="125"/>
      <c r="CM68" s="125"/>
      <c r="CN68" s="125"/>
      <c r="CO68" s="125"/>
      <c r="CP68" s="125"/>
      <c r="CQ68" s="125"/>
      <c r="CR68" s="125"/>
      <c r="CS68" s="125"/>
      <c r="CT68" s="125"/>
      <c r="CU68" s="125"/>
      <c r="CV68" s="125"/>
      <c r="CW68" s="125"/>
      <c r="CX68" s="125"/>
      <c r="CY68" s="125"/>
      <c r="CZ68" s="125"/>
      <c r="DA68" s="125"/>
      <c r="DB68" s="125"/>
      <c r="DC68" s="125"/>
      <c r="DD68" s="125"/>
      <c r="DE68" s="125"/>
      <c r="DF68" s="125"/>
      <c r="DG68" s="125"/>
      <c r="DH68" s="125"/>
      <c r="DI68" s="125"/>
      <c r="DJ68" s="125"/>
      <c r="DK68" s="125"/>
      <c r="DL68" s="125"/>
      <c r="DM68" s="125"/>
      <c r="DN68" s="125"/>
      <c r="DO68" s="125"/>
      <c r="DP68" s="125"/>
      <c r="DQ68" s="125"/>
      <c r="DR68" s="125"/>
    </row>
    <row r="69" spans="1:122" ht="15">
      <c r="A69" s="125"/>
      <c r="B69" s="145"/>
      <c r="C69" s="9"/>
      <c r="D69" s="7"/>
      <c r="E69" s="7"/>
      <c r="F69" s="7"/>
      <c r="G69" s="7"/>
      <c r="H69" s="7"/>
      <c r="I69" s="8"/>
      <c r="J69" s="8"/>
      <c r="K69" s="8"/>
      <c r="L69" s="8"/>
      <c r="M69" s="8"/>
      <c r="N69" s="8"/>
      <c r="O69" s="8"/>
      <c r="P69" s="127"/>
      <c r="R69" s="144"/>
      <c r="S69" s="127"/>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c r="DF69" s="125"/>
      <c r="DG69" s="125"/>
      <c r="DH69" s="125"/>
      <c r="DI69" s="125"/>
      <c r="DJ69" s="125"/>
      <c r="DK69" s="125"/>
      <c r="DL69" s="125"/>
      <c r="DM69" s="125"/>
      <c r="DN69" s="125"/>
      <c r="DO69" s="125"/>
      <c r="DP69" s="125"/>
      <c r="DQ69" s="125"/>
      <c r="DR69" s="125"/>
    </row>
    <row r="70" spans="1:122" ht="15">
      <c r="A70" s="125"/>
      <c r="B70" s="145"/>
      <c r="C70" s="9"/>
      <c r="D70" s="7"/>
      <c r="E70" s="7"/>
      <c r="F70" s="7"/>
      <c r="G70" s="7"/>
      <c r="H70" s="7"/>
      <c r="I70" s="8"/>
      <c r="J70" s="8"/>
      <c r="K70" s="8"/>
      <c r="L70" s="8"/>
      <c r="M70" s="8"/>
      <c r="N70" s="8"/>
      <c r="O70" s="8"/>
      <c r="P70" s="127"/>
      <c r="R70" s="144"/>
      <c r="S70" s="127"/>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c r="DF70" s="125"/>
      <c r="DG70" s="125"/>
      <c r="DH70" s="125"/>
      <c r="DI70" s="125"/>
      <c r="DJ70" s="125"/>
      <c r="DK70" s="125"/>
      <c r="DL70" s="125"/>
      <c r="DM70" s="125"/>
      <c r="DN70" s="125"/>
      <c r="DO70" s="125"/>
      <c r="DP70" s="125"/>
      <c r="DQ70" s="125"/>
      <c r="DR70" s="125"/>
    </row>
    <row r="71" spans="1:122" ht="15">
      <c r="A71" s="125"/>
      <c r="B71" s="145"/>
      <c r="C71" s="9"/>
      <c r="D71" s="7"/>
      <c r="E71" s="7"/>
      <c r="F71" s="7"/>
      <c r="G71" s="7"/>
      <c r="H71" s="7"/>
      <c r="I71" s="8"/>
      <c r="J71" s="8"/>
      <c r="K71" s="8"/>
      <c r="L71" s="8"/>
      <c r="M71" s="8"/>
      <c r="N71" s="8"/>
      <c r="O71" s="8"/>
      <c r="P71" s="127"/>
      <c r="R71" s="144"/>
      <c r="S71" s="127"/>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5"/>
      <c r="BK71" s="125"/>
      <c r="BL71" s="125"/>
      <c r="BM71" s="125"/>
      <c r="BN71" s="125"/>
      <c r="BO71" s="125"/>
      <c r="BP71" s="125"/>
      <c r="BQ71" s="125"/>
      <c r="BR71" s="125"/>
      <c r="BS71" s="125"/>
      <c r="BT71" s="125"/>
      <c r="BU71" s="125"/>
      <c r="BV71" s="125"/>
      <c r="BW71" s="125"/>
      <c r="BX71" s="125"/>
      <c r="BY71" s="125"/>
      <c r="BZ71" s="125"/>
      <c r="CA71" s="125"/>
      <c r="CB71" s="125"/>
      <c r="CC71" s="125"/>
      <c r="CD71" s="125"/>
      <c r="CE71" s="125"/>
      <c r="CF71" s="125"/>
      <c r="CG71" s="125"/>
      <c r="CH71" s="125"/>
      <c r="CI71" s="125"/>
      <c r="CJ71" s="125"/>
      <c r="CK71" s="125"/>
      <c r="CL71" s="125"/>
      <c r="CM71" s="125"/>
      <c r="CN71" s="125"/>
      <c r="CO71" s="125"/>
      <c r="CP71" s="125"/>
      <c r="CQ71" s="125"/>
      <c r="CR71" s="125"/>
      <c r="CS71" s="125"/>
      <c r="CT71" s="125"/>
      <c r="CU71" s="125"/>
      <c r="CV71" s="125"/>
      <c r="CW71" s="125"/>
      <c r="CX71" s="125"/>
      <c r="CY71" s="125"/>
      <c r="CZ71" s="125"/>
      <c r="DA71" s="125"/>
      <c r="DB71" s="125"/>
      <c r="DC71" s="125"/>
      <c r="DD71" s="125"/>
      <c r="DE71" s="125"/>
      <c r="DF71" s="125"/>
      <c r="DG71" s="125"/>
      <c r="DH71" s="125"/>
      <c r="DI71" s="125"/>
      <c r="DJ71" s="125"/>
      <c r="DK71" s="125"/>
      <c r="DL71" s="125"/>
      <c r="DM71" s="125"/>
      <c r="DN71" s="125"/>
      <c r="DO71" s="125"/>
      <c r="DP71" s="125"/>
      <c r="DQ71" s="125"/>
      <c r="DR71" s="125"/>
    </row>
    <row r="72" spans="1:122" ht="15">
      <c r="A72" s="125"/>
      <c r="B72" s="145"/>
      <c r="C72" s="9"/>
      <c r="D72" s="7"/>
      <c r="E72" s="7"/>
      <c r="F72" s="7"/>
      <c r="G72" s="7"/>
      <c r="H72" s="7"/>
      <c r="I72" s="8"/>
      <c r="J72" s="8"/>
      <c r="K72" s="8"/>
      <c r="L72" s="8"/>
      <c r="M72" s="8"/>
      <c r="N72" s="8"/>
      <c r="O72" s="8"/>
      <c r="P72" s="127"/>
      <c r="R72" s="144"/>
      <c r="S72" s="127"/>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125"/>
      <c r="BH72" s="125"/>
      <c r="BI72" s="125"/>
      <c r="BJ72" s="125"/>
      <c r="BK72" s="125"/>
      <c r="BL72" s="125"/>
      <c r="BM72" s="125"/>
      <c r="BN72" s="125"/>
      <c r="BO72" s="125"/>
      <c r="BP72" s="125"/>
      <c r="BQ72" s="125"/>
      <c r="BR72" s="125"/>
      <c r="BS72" s="125"/>
      <c r="BT72" s="125"/>
      <c r="BU72" s="125"/>
      <c r="BV72" s="125"/>
      <c r="BW72" s="125"/>
      <c r="BX72" s="125"/>
      <c r="BY72" s="125"/>
      <c r="BZ72" s="125"/>
      <c r="CA72" s="125"/>
      <c r="CB72" s="125"/>
      <c r="CC72" s="125"/>
      <c r="CD72" s="125"/>
      <c r="CE72" s="125"/>
      <c r="CF72" s="125"/>
      <c r="CG72" s="125"/>
      <c r="CH72" s="125"/>
      <c r="CI72" s="125"/>
      <c r="CJ72" s="125"/>
      <c r="CK72" s="125"/>
      <c r="CL72" s="125"/>
      <c r="CM72" s="125"/>
      <c r="CN72" s="125"/>
      <c r="CO72" s="125"/>
      <c r="CP72" s="125"/>
      <c r="CQ72" s="125"/>
      <c r="CR72" s="125"/>
      <c r="CS72" s="125"/>
      <c r="CT72" s="125"/>
      <c r="CU72" s="125"/>
      <c r="CV72" s="125"/>
      <c r="CW72" s="125"/>
      <c r="CX72" s="125"/>
      <c r="CY72" s="125"/>
      <c r="CZ72" s="125"/>
      <c r="DA72" s="125"/>
      <c r="DB72" s="125"/>
      <c r="DC72" s="125"/>
      <c r="DD72" s="125"/>
      <c r="DE72" s="125"/>
      <c r="DF72" s="125"/>
      <c r="DG72" s="125"/>
      <c r="DH72" s="125"/>
      <c r="DI72" s="125"/>
      <c r="DJ72" s="125"/>
      <c r="DK72" s="125"/>
      <c r="DL72" s="125"/>
      <c r="DM72" s="125"/>
      <c r="DN72" s="125"/>
      <c r="DO72" s="125"/>
      <c r="DP72" s="125"/>
      <c r="DQ72" s="125"/>
      <c r="DR72" s="125"/>
    </row>
    <row r="73" spans="1:122" ht="15">
      <c r="A73" s="125"/>
      <c r="B73" s="145"/>
      <c r="C73" s="9"/>
      <c r="D73" s="7"/>
      <c r="E73" s="7"/>
      <c r="F73" s="7"/>
      <c r="G73" s="7"/>
      <c r="H73" s="7"/>
      <c r="I73" s="8"/>
      <c r="J73" s="8"/>
      <c r="K73" s="8"/>
      <c r="L73" s="8"/>
      <c r="M73" s="8"/>
      <c r="N73" s="8"/>
      <c r="O73" s="8"/>
      <c r="P73" s="127"/>
      <c r="R73" s="144"/>
      <c r="S73" s="127"/>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125"/>
      <c r="AZ73" s="125"/>
      <c r="BA73" s="125"/>
      <c r="BB73" s="125"/>
      <c r="BC73" s="125"/>
      <c r="BD73" s="125"/>
      <c r="BE73" s="125"/>
      <c r="BF73" s="125"/>
      <c r="BG73" s="125"/>
      <c r="BH73" s="125"/>
      <c r="BI73" s="125"/>
      <c r="BJ73" s="125"/>
      <c r="BK73" s="125"/>
      <c r="BL73" s="125"/>
      <c r="BM73" s="125"/>
      <c r="BN73" s="125"/>
      <c r="BO73" s="125"/>
      <c r="BP73" s="125"/>
      <c r="BQ73" s="125"/>
      <c r="BR73" s="125"/>
      <c r="BS73" s="125"/>
      <c r="BT73" s="125"/>
      <c r="BU73" s="125"/>
      <c r="BV73" s="125"/>
      <c r="BW73" s="125"/>
      <c r="BX73" s="125"/>
      <c r="BY73" s="125"/>
      <c r="BZ73" s="125"/>
      <c r="CA73" s="125"/>
      <c r="CB73" s="125"/>
      <c r="CC73" s="125"/>
      <c r="CD73" s="125"/>
      <c r="CE73" s="125"/>
      <c r="CF73" s="125"/>
      <c r="CG73" s="125"/>
      <c r="CH73" s="125"/>
      <c r="CI73" s="125"/>
      <c r="CJ73" s="125"/>
      <c r="CK73" s="125"/>
      <c r="CL73" s="125"/>
      <c r="CM73" s="125"/>
      <c r="CN73" s="125"/>
      <c r="CO73" s="125"/>
      <c r="CP73" s="125"/>
      <c r="CQ73" s="125"/>
      <c r="CR73" s="125"/>
      <c r="CS73" s="125"/>
      <c r="CT73" s="125"/>
      <c r="CU73" s="125"/>
      <c r="CV73" s="125"/>
      <c r="CW73" s="125"/>
      <c r="CX73" s="125"/>
      <c r="CY73" s="125"/>
      <c r="CZ73" s="125"/>
      <c r="DA73" s="125"/>
      <c r="DB73" s="125"/>
      <c r="DC73" s="125"/>
      <c r="DD73" s="125"/>
      <c r="DE73" s="125"/>
      <c r="DF73" s="125"/>
      <c r="DG73" s="125"/>
      <c r="DH73" s="125"/>
      <c r="DI73" s="125"/>
      <c r="DJ73" s="125"/>
      <c r="DK73" s="125"/>
      <c r="DL73" s="125"/>
      <c r="DM73" s="125"/>
      <c r="DN73" s="125"/>
      <c r="DO73" s="125"/>
      <c r="DP73" s="125"/>
      <c r="DQ73" s="125"/>
      <c r="DR73" s="125"/>
    </row>
    <row r="74" spans="1:122" ht="15">
      <c r="A74" s="125"/>
      <c r="B74" s="145"/>
      <c r="C74" s="9"/>
      <c r="D74" s="7"/>
      <c r="E74" s="7"/>
      <c r="F74" s="7"/>
      <c r="G74" s="7"/>
      <c r="H74" s="7"/>
      <c r="I74" s="8"/>
      <c r="J74" s="8"/>
      <c r="K74" s="8"/>
      <c r="L74" s="8"/>
      <c r="M74" s="8"/>
      <c r="N74" s="8"/>
      <c r="O74" s="8"/>
      <c r="P74" s="127"/>
      <c r="R74" s="144"/>
      <c r="S74" s="127"/>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c r="BO74" s="125"/>
      <c r="BP74" s="125"/>
      <c r="BQ74" s="125"/>
      <c r="BR74" s="125"/>
      <c r="BS74" s="125"/>
      <c r="BT74" s="125"/>
      <c r="BU74" s="125"/>
      <c r="BV74" s="125"/>
      <c r="BW74" s="125"/>
      <c r="BX74" s="125"/>
      <c r="BY74" s="125"/>
      <c r="BZ74" s="125"/>
      <c r="CA74" s="125"/>
      <c r="CB74" s="125"/>
      <c r="CC74" s="125"/>
      <c r="CD74" s="125"/>
      <c r="CE74" s="125"/>
      <c r="CF74" s="125"/>
      <c r="CG74" s="125"/>
      <c r="CH74" s="125"/>
      <c r="CI74" s="125"/>
      <c r="CJ74" s="125"/>
      <c r="CK74" s="125"/>
      <c r="CL74" s="125"/>
      <c r="CM74" s="125"/>
      <c r="CN74" s="125"/>
      <c r="CO74" s="125"/>
      <c r="CP74" s="125"/>
      <c r="CQ74" s="125"/>
      <c r="CR74" s="125"/>
      <c r="CS74" s="125"/>
      <c r="CT74" s="125"/>
      <c r="CU74" s="125"/>
      <c r="CV74" s="125"/>
      <c r="CW74" s="125"/>
      <c r="CX74" s="125"/>
      <c r="CY74" s="125"/>
      <c r="CZ74" s="125"/>
      <c r="DA74" s="125"/>
      <c r="DB74" s="125"/>
      <c r="DC74" s="125"/>
      <c r="DD74" s="125"/>
      <c r="DE74" s="125"/>
      <c r="DF74" s="125"/>
      <c r="DG74" s="125"/>
      <c r="DH74" s="125"/>
      <c r="DI74" s="125"/>
      <c r="DJ74" s="125"/>
      <c r="DK74" s="125"/>
      <c r="DL74" s="125"/>
      <c r="DM74" s="125"/>
      <c r="DN74" s="125"/>
      <c r="DO74" s="125"/>
      <c r="DP74" s="125"/>
      <c r="DQ74" s="125"/>
      <c r="DR74" s="125"/>
    </row>
    <row r="75" spans="1:122" ht="15">
      <c r="A75" s="125"/>
      <c r="B75" s="145"/>
      <c r="C75" s="9"/>
      <c r="D75" s="7"/>
      <c r="E75" s="7"/>
      <c r="F75" s="7"/>
      <c r="G75" s="7"/>
      <c r="H75" s="7"/>
      <c r="I75" s="8"/>
      <c r="J75" s="8"/>
      <c r="K75" s="8"/>
      <c r="L75" s="8"/>
      <c r="M75" s="8"/>
      <c r="N75" s="8"/>
      <c r="O75" s="8"/>
      <c r="P75" s="127"/>
      <c r="R75" s="144"/>
      <c r="S75" s="127"/>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c r="DF75" s="125"/>
      <c r="DG75" s="125"/>
      <c r="DH75" s="125"/>
      <c r="DI75" s="125"/>
      <c r="DJ75" s="125"/>
      <c r="DK75" s="125"/>
      <c r="DL75" s="125"/>
      <c r="DM75" s="125"/>
      <c r="DN75" s="125"/>
      <c r="DO75" s="125"/>
      <c r="DP75" s="125"/>
      <c r="DQ75" s="125"/>
      <c r="DR75" s="125"/>
    </row>
    <row r="76" spans="1:122" ht="15">
      <c r="A76" s="125"/>
      <c r="B76" s="145"/>
      <c r="C76" s="9"/>
      <c r="D76" s="7"/>
      <c r="E76" s="7"/>
      <c r="F76" s="7"/>
      <c r="G76" s="7"/>
      <c r="H76" s="7"/>
      <c r="I76" s="8"/>
      <c r="J76" s="8"/>
      <c r="K76" s="8"/>
      <c r="L76" s="8"/>
      <c r="M76" s="8"/>
      <c r="N76" s="8"/>
      <c r="O76" s="8"/>
      <c r="P76" s="127"/>
      <c r="R76" s="144"/>
      <c r="S76" s="127"/>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c r="DF76" s="125"/>
      <c r="DG76" s="125"/>
      <c r="DH76" s="125"/>
      <c r="DI76" s="125"/>
      <c r="DJ76" s="125"/>
      <c r="DK76" s="125"/>
      <c r="DL76" s="125"/>
      <c r="DM76" s="125"/>
      <c r="DN76" s="125"/>
      <c r="DO76" s="125"/>
      <c r="DP76" s="125"/>
      <c r="DQ76" s="125"/>
      <c r="DR76" s="125"/>
    </row>
    <row r="77" spans="1:122" ht="15">
      <c r="A77" s="125"/>
      <c r="B77" s="145"/>
      <c r="C77" s="9"/>
      <c r="D77" s="7"/>
      <c r="E77" s="7"/>
      <c r="F77" s="7"/>
      <c r="G77" s="7"/>
      <c r="H77" s="7"/>
      <c r="I77" s="8"/>
      <c r="J77" s="8"/>
      <c r="K77" s="8"/>
      <c r="L77" s="8"/>
      <c r="M77" s="8"/>
      <c r="N77" s="8"/>
      <c r="O77" s="8"/>
      <c r="P77" s="127"/>
      <c r="R77" s="144"/>
      <c r="S77" s="127"/>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125"/>
      <c r="AZ77" s="125"/>
      <c r="BA77" s="125"/>
      <c r="BB77" s="125"/>
      <c r="BC77" s="125"/>
      <c r="BD77" s="125"/>
      <c r="BE77" s="125"/>
      <c r="BF77" s="125"/>
      <c r="BG77" s="125"/>
      <c r="BH77" s="125"/>
      <c r="BI77" s="125"/>
      <c r="BJ77" s="125"/>
      <c r="BK77" s="125"/>
      <c r="BL77" s="125"/>
      <c r="BM77" s="125"/>
      <c r="BN77" s="125"/>
      <c r="BO77" s="125"/>
      <c r="BP77" s="125"/>
      <c r="BQ77" s="125"/>
      <c r="BR77" s="125"/>
      <c r="BS77" s="125"/>
      <c r="BT77" s="125"/>
      <c r="BU77" s="125"/>
      <c r="BV77" s="125"/>
      <c r="BW77" s="125"/>
      <c r="BX77" s="125"/>
      <c r="BY77" s="125"/>
      <c r="BZ77" s="125"/>
      <c r="CA77" s="125"/>
      <c r="CB77" s="125"/>
      <c r="CC77" s="125"/>
      <c r="CD77" s="125"/>
      <c r="CE77" s="125"/>
      <c r="CF77" s="125"/>
      <c r="CG77" s="125"/>
      <c r="CH77" s="125"/>
      <c r="CI77" s="125"/>
      <c r="CJ77" s="125"/>
      <c r="CK77" s="125"/>
      <c r="CL77" s="125"/>
      <c r="CM77" s="125"/>
      <c r="CN77" s="125"/>
      <c r="CO77" s="125"/>
      <c r="CP77" s="125"/>
      <c r="CQ77" s="125"/>
      <c r="CR77" s="125"/>
      <c r="CS77" s="125"/>
      <c r="CT77" s="125"/>
      <c r="CU77" s="125"/>
      <c r="CV77" s="125"/>
      <c r="CW77" s="125"/>
      <c r="CX77" s="125"/>
      <c r="CY77" s="125"/>
      <c r="CZ77" s="125"/>
      <c r="DA77" s="125"/>
      <c r="DB77" s="125"/>
      <c r="DC77" s="125"/>
      <c r="DD77" s="125"/>
      <c r="DE77" s="125"/>
      <c r="DF77" s="125"/>
      <c r="DG77" s="125"/>
      <c r="DH77" s="125"/>
      <c r="DI77" s="125"/>
      <c r="DJ77" s="125"/>
      <c r="DK77" s="125"/>
      <c r="DL77" s="125"/>
      <c r="DM77" s="125"/>
      <c r="DN77" s="125"/>
      <c r="DO77" s="125"/>
      <c r="DP77" s="125"/>
      <c r="DQ77" s="125"/>
      <c r="DR77" s="125"/>
    </row>
    <row r="78" spans="1:122" ht="15">
      <c r="A78" s="125"/>
      <c r="B78" s="145"/>
      <c r="C78" s="9"/>
      <c r="D78" s="7"/>
      <c r="E78" s="7"/>
      <c r="F78" s="7"/>
      <c r="G78" s="7"/>
      <c r="H78" s="7"/>
      <c r="I78" s="8"/>
      <c r="J78" s="8"/>
      <c r="K78" s="8"/>
      <c r="L78" s="8"/>
      <c r="M78" s="8"/>
      <c r="N78" s="8"/>
      <c r="O78" s="8"/>
      <c r="P78" s="127"/>
      <c r="R78" s="144"/>
      <c r="S78" s="127"/>
      <c r="T78" s="125"/>
      <c r="U78" s="125"/>
      <c r="V78" s="125"/>
      <c r="W78" s="125"/>
      <c r="X78" s="125"/>
      <c r="Y78" s="125"/>
      <c r="Z78" s="125"/>
      <c r="AA78" s="125"/>
      <c r="AB78" s="125"/>
      <c r="AC78" s="125"/>
      <c r="AD78" s="125"/>
      <c r="AE78" s="125"/>
      <c r="AF78" s="125"/>
      <c r="AG78" s="125"/>
      <c r="AH78" s="125"/>
      <c r="AI78" s="125"/>
      <c r="AJ78" s="125"/>
      <c r="AK78" s="125"/>
      <c r="AL78" s="125"/>
      <c r="AM78" s="125"/>
      <c r="AN78" s="125"/>
      <c r="AO78" s="125"/>
      <c r="AP78" s="125"/>
      <c r="AQ78" s="125"/>
      <c r="AR78" s="125"/>
      <c r="AS78" s="125"/>
      <c r="AT78" s="125"/>
      <c r="AU78" s="125"/>
      <c r="AV78" s="125"/>
      <c r="AW78" s="125"/>
      <c r="AX78" s="125"/>
      <c r="AY78" s="125"/>
      <c r="AZ78" s="125"/>
      <c r="BA78" s="125"/>
      <c r="BB78" s="125"/>
      <c r="BC78" s="125"/>
      <c r="BD78" s="125"/>
      <c r="BE78" s="125"/>
      <c r="BF78" s="125"/>
      <c r="BG78" s="125"/>
      <c r="BH78" s="125"/>
      <c r="BI78" s="125"/>
      <c r="BJ78" s="125"/>
      <c r="BK78" s="125"/>
      <c r="BL78" s="125"/>
      <c r="BM78" s="125"/>
      <c r="BN78" s="125"/>
      <c r="BO78" s="125"/>
      <c r="BP78" s="125"/>
      <c r="BQ78" s="125"/>
      <c r="BR78" s="125"/>
      <c r="BS78" s="125"/>
      <c r="BT78" s="125"/>
      <c r="BU78" s="125"/>
      <c r="BV78" s="125"/>
      <c r="BW78" s="125"/>
      <c r="BX78" s="125"/>
      <c r="BY78" s="125"/>
      <c r="BZ78" s="125"/>
      <c r="CA78" s="125"/>
      <c r="CB78" s="125"/>
      <c r="CC78" s="125"/>
      <c r="CD78" s="125"/>
      <c r="CE78" s="125"/>
      <c r="CF78" s="125"/>
      <c r="CG78" s="125"/>
      <c r="CH78" s="125"/>
      <c r="CI78" s="125"/>
      <c r="CJ78" s="125"/>
      <c r="CK78" s="125"/>
      <c r="CL78" s="125"/>
      <c r="CM78" s="125"/>
      <c r="CN78" s="125"/>
      <c r="CO78" s="125"/>
      <c r="CP78" s="125"/>
      <c r="CQ78" s="125"/>
      <c r="CR78" s="125"/>
      <c r="CS78" s="125"/>
      <c r="CT78" s="125"/>
      <c r="CU78" s="125"/>
      <c r="CV78" s="125"/>
      <c r="CW78" s="125"/>
      <c r="CX78" s="125"/>
      <c r="CY78" s="125"/>
      <c r="CZ78" s="125"/>
      <c r="DA78" s="125"/>
      <c r="DB78" s="125"/>
      <c r="DC78" s="125"/>
      <c r="DD78" s="125"/>
      <c r="DE78" s="125"/>
      <c r="DF78" s="125"/>
      <c r="DG78" s="125"/>
      <c r="DH78" s="125"/>
      <c r="DI78" s="125"/>
      <c r="DJ78" s="125"/>
      <c r="DK78" s="125"/>
      <c r="DL78" s="125"/>
      <c r="DM78" s="125"/>
      <c r="DN78" s="125"/>
      <c r="DO78" s="125"/>
      <c r="DP78" s="125"/>
      <c r="DQ78" s="125"/>
      <c r="DR78" s="125"/>
    </row>
    <row r="79" spans="1:122" ht="15">
      <c r="A79" s="125"/>
      <c r="B79" s="145"/>
      <c r="C79" s="9"/>
      <c r="D79" s="7"/>
      <c r="E79" s="7"/>
      <c r="F79" s="7"/>
      <c r="G79" s="7"/>
      <c r="H79" s="7"/>
      <c r="I79" s="8"/>
      <c r="J79" s="8"/>
      <c r="K79" s="8"/>
      <c r="L79" s="8"/>
      <c r="M79" s="8"/>
      <c r="N79" s="8"/>
      <c r="O79" s="8"/>
      <c r="P79" s="127"/>
      <c r="R79" s="144"/>
      <c r="S79" s="127"/>
      <c r="T79" s="125"/>
      <c r="U79" s="125"/>
      <c r="V79" s="125"/>
      <c r="W79" s="125"/>
      <c r="X79" s="125"/>
      <c r="Y79" s="125"/>
      <c r="Z79" s="125"/>
      <c r="AA79" s="125"/>
      <c r="AB79" s="125"/>
      <c r="AC79" s="125"/>
      <c r="AD79" s="125"/>
      <c r="AE79" s="125"/>
      <c r="AF79" s="125"/>
      <c r="AG79" s="125"/>
      <c r="AH79" s="125"/>
      <c r="AI79" s="125"/>
      <c r="AJ79" s="125"/>
      <c r="AK79" s="125"/>
      <c r="AL79" s="125"/>
      <c r="AM79" s="125"/>
      <c r="AN79" s="125"/>
      <c r="AO79" s="125"/>
      <c r="AP79" s="125"/>
      <c r="AQ79" s="125"/>
      <c r="AR79" s="125"/>
      <c r="AS79" s="125"/>
      <c r="AT79" s="125"/>
      <c r="AU79" s="125"/>
      <c r="AV79" s="125"/>
      <c r="AW79" s="125"/>
      <c r="AX79" s="125"/>
      <c r="AY79" s="125"/>
      <c r="AZ79" s="125"/>
      <c r="BA79" s="125"/>
      <c r="BB79" s="125"/>
      <c r="BC79" s="125"/>
      <c r="BD79" s="125"/>
      <c r="BE79" s="125"/>
      <c r="BF79" s="125"/>
      <c r="BG79" s="125"/>
      <c r="BH79" s="125"/>
      <c r="BI79" s="125"/>
      <c r="BJ79" s="125"/>
      <c r="BK79" s="125"/>
      <c r="BL79" s="125"/>
      <c r="BM79" s="125"/>
      <c r="BN79" s="125"/>
      <c r="BO79" s="125"/>
      <c r="BP79" s="125"/>
      <c r="BQ79" s="125"/>
      <c r="BR79" s="125"/>
      <c r="BS79" s="125"/>
      <c r="BT79" s="125"/>
      <c r="BU79" s="125"/>
      <c r="BV79" s="125"/>
      <c r="BW79" s="125"/>
      <c r="BX79" s="125"/>
      <c r="BY79" s="125"/>
      <c r="BZ79" s="125"/>
      <c r="CA79" s="125"/>
      <c r="CB79" s="125"/>
      <c r="CC79" s="125"/>
      <c r="CD79" s="125"/>
      <c r="CE79" s="125"/>
      <c r="CF79" s="125"/>
      <c r="CG79" s="125"/>
      <c r="CH79" s="125"/>
      <c r="CI79" s="125"/>
      <c r="CJ79" s="125"/>
      <c r="CK79" s="125"/>
      <c r="CL79" s="125"/>
      <c r="CM79" s="125"/>
      <c r="CN79" s="125"/>
      <c r="CO79" s="125"/>
      <c r="CP79" s="125"/>
      <c r="CQ79" s="125"/>
      <c r="CR79" s="125"/>
      <c r="CS79" s="125"/>
      <c r="CT79" s="125"/>
      <c r="CU79" s="125"/>
      <c r="CV79" s="125"/>
      <c r="CW79" s="125"/>
      <c r="CX79" s="125"/>
      <c r="CY79" s="125"/>
      <c r="CZ79" s="125"/>
      <c r="DA79" s="125"/>
      <c r="DB79" s="125"/>
      <c r="DC79" s="125"/>
      <c r="DD79" s="125"/>
      <c r="DE79" s="125"/>
      <c r="DF79" s="125"/>
      <c r="DG79" s="125"/>
      <c r="DH79" s="125"/>
      <c r="DI79" s="125"/>
      <c r="DJ79" s="125"/>
      <c r="DK79" s="125"/>
      <c r="DL79" s="125"/>
      <c r="DM79" s="125"/>
      <c r="DN79" s="125"/>
      <c r="DO79" s="125"/>
      <c r="DP79" s="125"/>
      <c r="DQ79" s="125"/>
      <c r="DR79" s="125"/>
    </row>
    <row r="80" spans="1:122" ht="15">
      <c r="A80" s="125"/>
      <c r="B80" s="145"/>
      <c r="C80" s="9"/>
      <c r="D80" s="7"/>
      <c r="E80" s="7"/>
      <c r="F80" s="7"/>
      <c r="G80" s="7"/>
      <c r="H80" s="7"/>
      <c r="I80" s="8"/>
      <c r="J80" s="8"/>
      <c r="K80" s="8"/>
      <c r="L80" s="8"/>
      <c r="M80" s="8"/>
      <c r="N80" s="8"/>
      <c r="O80" s="8"/>
      <c r="P80" s="127"/>
      <c r="R80" s="144"/>
      <c r="S80" s="127"/>
      <c r="T80" s="125"/>
      <c r="U80" s="125"/>
      <c r="V80" s="125"/>
      <c r="W80" s="125"/>
      <c r="X80" s="125"/>
      <c r="Y80" s="125"/>
      <c r="Z80" s="125"/>
      <c r="AA80" s="125"/>
      <c r="AB80" s="125"/>
      <c r="AC80" s="125"/>
      <c r="AD80" s="125"/>
      <c r="AE80" s="125"/>
      <c r="AF80" s="125"/>
      <c r="AG80" s="125"/>
      <c r="AH80" s="125"/>
      <c r="AI80" s="125"/>
      <c r="AJ80" s="125"/>
      <c r="AK80" s="125"/>
      <c r="AL80" s="125"/>
      <c r="AM80" s="125"/>
      <c r="AN80" s="125"/>
      <c r="AO80" s="125"/>
      <c r="AP80" s="125"/>
      <c r="AQ80" s="125"/>
      <c r="AR80" s="125"/>
      <c r="AS80" s="125"/>
      <c r="AT80" s="125"/>
      <c r="AU80" s="125"/>
      <c r="AV80" s="125"/>
      <c r="AW80" s="125"/>
      <c r="AX80" s="125"/>
      <c r="AY80" s="125"/>
      <c r="AZ80" s="125"/>
      <c r="BA80" s="125"/>
      <c r="BB80" s="125"/>
      <c r="BC80" s="125"/>
      <c r="BD80" s="125"/>
      <c r="BE80" s="125"/>
      <c r="BF80" s="125"/>
      <c r="BG80" s="125"/>
      <c r="BH80" s="125"/>
      <c r="BI80" s="125"/>
      <c r="BJ80" s="125"/>
      <c r="BK80" s="125"/>
      <c r="BL80" s="125"/>
      <c r="BM80" s="125"/>
      <c r="BN80" s="125"/>
      <c r="BO80" s="125"/>
      <c r="BP80" s="125"/>
      <c r="BQ80" s="125"/>
      <c r="BR80" s="125"/>
      <c r="BS80" s="125"/>
      <c r="BT80" s="125"/>
      <c r="BU80" s="125"/>
      <c r="BV80" s="125"/>
      <c r="BW80" s="125"/>
      <c r="BX80" s="125"/>
      <c r="BY80" s="125"/>
      <c r="BZ80" s="125"/>
      <c r="CA80" s="125"/>
      <c r="CB80" s="125"/>
      <c r="CC80" s="125"/>
      <c r="CD80" s="125"/>
      <c r="CE80" s="125"/>
      <c r="CF80" s="125"/>
      <c r="CG80" s="125"/>
      <c r="CH80" s="125"/>
      <c r="CI80" s="125"/>
      <c r="CJ80" s="125"/>
      <c r="CK80" s="125"/>
      <c r="CL80" s="125"/>
      <c r="CM80" s="125"/>
      <c r="CN80" s="125"/>
      <c r="CO80" s="125"/>
      <c r="CP80" s="125"/>
      <c r="CQ80" s="125"/>
      <c r="CR80" s="125"/>
      <c r="CS80" s="125"/>
      <c r="CT80" s="125"/>
      <c r="CU80" s="125"/>
      <c r="CV80" s="125"/>
      <c r="CW80" s="125"/>
      <c r="CX80" s="125"/>
      <c r="CY80" s="125"/>
      <c r="CZ80" s="125"/>
      <c r="DA80" s="125"/>
      <c r="DB80" s="125"/>
      <c r="DC80" s="125"/>
      <c r="DD80" s="125"/>
      <c r="DE80" s="125"/>
      <c r="DF80" s="125"/>
      <c r="DG80" s="125"/>
      <c r="DH80" s="125"/>
      <c r="DI80" s="125"/>
      <c r="DJ80" s="125"/>
      <c r="DK80" s="125"/>
      <c r="DL80" s="125"/>
      <c r="DM80" s="125"/>
      <c r="DN80" s="125"/>
      <c r="DO80" s="125"/>
      <c r="DP80" s="125"/>
      <c r="DQ80" s="125"/>
      <c r="DR80" s="125"/>
    </row>
    <row r="81" spans="1:122" ht="15">
      <c r="A81" s="125"/>
      <c r="B81" s="145"/>
      <c r="C81" s="9"/>
      <c r="D81" s="7"/>
      <c r="E81" s="7"/>
      <c r="F81" s="7"/>
      <c r="G81" s="7"/>
      <c r="H81" s="7"/>
      <c r="I81" s="8"/>
      <c r="J81" s="8"/>
      <c r="K81" s="8"/>
      <c r="L81" s="8"/>
      <c r="M81" s="8"/>
      <c r="N81" s="8"/>
      <c r="O81" s="8"/>
      <c r="P81" s="127"/>
      <c r="R81" s="144"/>
      <c r="S81" s="127"/>
      <c r="T81" s="125"/>
      <c r="U81" s="125"/>
      <c r="V81" s="125"/>
      <c r="W81" s="125"/>
      <c r="X81" s="125"/>
      <c r="Y81" s="125"/>
      <c r="Z81" s="125"/>
      <c r="AA81" s="125"/>
      <c r="AB81" s="125"/>
      <c r="AC81" s="125"/>
      <c r="AD81" s="125"/>
      <c r="AE81" s="125"/>
      <c r="AF81" s="125"/>
      <c r="AG81" s="125"/>
      <c r="AH81" s="125"/>
      <c r="AI81" s="125"/>
      <c r="AJ81" s="125"/>
      <c r="AK81" s="125"/>
      <c r="AL81" s="125"/>
      <c r="AM81" s="125"/>
      <c r="AN81" s="125"/>
      <c r="AO81" s="125"/>
      <c r="AP81" s="125"/>
      <c r="AQ81" s="125"/>
      <c r="AR81" s="125"/>
      <c r="AS81" s="125"/>
      <c r="AT81" s="125"/>
      <c r="AU81" s="125"/>
      <c r="AV81" s="125"/>
      <c r="AW81" s="125"/>
      <c r="AX81" s="125"/>
      <c r="AY81" s="125"/>
      <c r="AZ81" s="125"/>
      <c r="BA81" s="125"/>
      <c r="BB81" s="125"/>
      <c r="BC81" s="125"/>
      <c r="BD81" s="125"/>
      <c r="BE81" s="125"/>
      <c r="BF81" s="125"/>
      <c r="BG81" s="125"/>
      <c r="BH81" s="125"/>
      <c r="BI81" s="125"/>
      <c r="BJ81" s="125"/>
      <c r="BK81" s="125"/>
      <c r="BL81" s="125"/>
      <c r="BM81" s="125"/>
      <c r="BN81" s="125"/>
      <c r="BO81" s="125"/>
      <c r="BP81" s="125"/>
      <c r="BQ81" s="125"/>
      <c r="BR81" s="125"/>
      <c r="BS81" s="125"/>
      <c r="BT81" s="125"/>
      <c r="BU81" s="125"/>
      <c r="BV81" s="125"/>
      <c r="BW81" s="125"/>
      <c r="BX81" s="125"/>
      <c r="BY81" s="125"/>
      <c r="BZ81" s="125"/>
      <c r="CA81" s="125"/>
      <c r="CB81" s="125"/>
      <c r="CC81" s="125"/>
      <c r="CD81" s="125"/>
      <c r="CE81" s="125"/>
      <c r="CF81" s="125"/>
      <c r="CG81" s="125"/>
      <c r="CH81" s="125"/>
      <c r="CI81" s="125"/>
      <c r="CJ81" s="125"/>
      <c r="CK81" s="125"/>
      <c r="CL81" s="125"/>
      <c r="CM81" s="125"/>
      <c r="CN81" s="125"/>
      <c r="CO81" s="125"/>
      <c r="CP81" s="125"/>
      <c r="CQ81" s="125"/>
      <c r="CR81" s="125"/>
      <c r="CS81" s="125"/>
      <c r="CT81" s="125"/>
      <c r="CU81" s="125"/>
      <c r="CV81" s="125"/>
      <c r="CW81" s="125"/>
      <c r="CX81" s="125"/>
      <c r="CY81" s="125"/>
      <c r="CZ81" s="125"/>
      <c r="DA81" s="125"/>
      <c r="DB81" s="125"/>
      <c r="DC81" s="125"/>
      <c r="DD81" s="125"/>
      <c r="DE81" s="125"/>
      <c r="DF81" s="125"/>
      <c r="DG81" s="125"/>
      <c r="DH81" s="125"/>
      <c r="DI81" s="125"/>
      <c r="DJ81" s="125"/>
      <c r="DK81" s="125"/>
      <c r="DL81" s="125"/>
      <c r="DM81" s="125"/>
      <c r="DN81" s="125"/>
      <c r="DO81" s="125"/>
      <c r="DP81" s="125"/>
      <c r="DQ81" s="125"/>
      <c r="DR81" s="125"/>
    </row>
    <row r="82" spans="1:122" ht="15">
      <c r="A82" s="125"/>
      <c r="B82" s="145"/>
      <c r="C82" s="9"/>
      <c r="D82" s="7"/>
      <c r="E82" s="7"/>
      <c r="F82" s="7"/>
      <c r="G82" s="7"/>
      <c r="H82" s="7"/>
      <c r="I82" s="8"/>
      <c r="J82" s="8"/>
      <c r="K82" s="8"/>
      <c r="L82" s="8"/>
      <c r="M82" s="8"/>
      <c r="N82" s="8"/>
      <c r="O82" s="8"/>
      <c r="P82" s="127"/>
      <c r="R82" s="144"/>
      <c r="S82" s="127"/>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125"/>
      <c r="CG82" s="125"/>
      <c r="CH82" s="125"/>
      <c r="CI82" s="125"/>
      <c r="CJ82" s="125"/>
      <c r="CK82" s="125"/>
      <c r="CL82" s="125"/>
      <c r="CM82" s="125"/>
      <c r="CN82" s="125"/>
      <c r="CO82" s="125"/>
      <c r="CP82" s="125"/>
      <c r="CQ82" s="125"/>
      <c r="CR82" s="125"/>
      <c r="CS82" s="125"/>
      <c r="CT82" s="125"/>
      <c r="CU82" s="125"/>
      <c r="CV82" s="125"/>
      <c r="CW82" s="125"/>
      <c r="CX82" s="125"/>
      <c r="CY82" s="125"/>
      <c r="CZ82" s="125"/>
      <c r="DA82" s="125"/>
      <c r="DB82" s="125"/>
      <c r="DC82" s="125"/>
      <c r="DD82" s="125"/>
      <c r="DE82" s="125"/>
      <c r="DF82" s="125"/>
      <c r="DG82" s="125"/>
      <c r="DH82" s="125"/>
      <c r="DI82" s="125"/>
      <c r="DJ82" s="125"/>
      <c r="DK82" s="125"/>
      <c r="DL82" s="125"/>
      <c r="DM82" s="125"/>
      <c r="DN82" s="125"/>
      <c r="DO82" s="125"/>
      <c r="DP82" s="125"/>
      <c r="DQ82" s="125"/>
      <c r="DR82" s="125"/>
    </row>
    <row r="83" spans="1:122" ht="15">
      <c r="A83" s="125"/>
      <c r="B83" s="145"/>
      <c r="C83" s="9"/>
      <c r="D83" s="7"/>
      <c r="E83" s="7"/>
      <c r="F83" s="7"/>
      <c r="G83" s="7"/>
      <c r="H83" s="7"/>
      <c r="I83" s="8"/>
      <c r="J83" s="8"/>
      <c r="K83" s="8"/>
      <c r="L83" s="8"/>
      <c r="M83" s="8"/>
      <c r="N83" s="8"/>
      <c r="O83" s="8"/>
      <c r="P83" s="127"/>
      <c r="R83" s="144"/>
      <c r="S83" s="127"/>
      <c r="T83" s="125"/>
      <c r="U83" s="125"/>
      <c r="V83" s="125"/>
      <c r="W83" s="125"/>
      <c r="X83" s="125"/>
      <c r="Y83" s="125"/>
      <c r="Z83" s="125"/>
      <c r="AA83" s="125"/>
      <c r="AB83" s="125"/>
      <c r="AC83" s="125"/>
      <c r="AD83" s="125"/>
      <c r="AE83" s="125"/>
      <c r="AF83" s="125"/>
      <c r="AG83" s="125"/>
      <c r="AH83" s="125"/>
      <c r="AI83" s="125"/>
      <c r="AJ83" s="125"/>
      <c r="AK83" s="125"/>
      <c r="AL83" s="125"/>
      <c r="AM83" s="125"/>
      <c r="AN83" s="125"/>
      <c r="AO83" s="125"/>
      <c r="AP83" s="125"/>
      <c r="AQ83" s="125"/>
      <c r="AR83" s="125"/>
      <c r="AS83" s="125"/>
      <c r="AT83" s="125"/>
      <c r="AU83" s="125"/>
      <c r="AV83" s="125"/>
      <c r="AW83" s="125"/>
      <c r="AX83" s="125"/>
      <c r="AY83" s="125"/>
      <c r="AZ83" s="125"/>
      <c r="BA83" s="125"/>
      <c r="BB83" s="125"/>
      <c r="BC83" s="125"/>
      <c r="BD83" s="125"/>
      <c r="BE83" s="125"/>
      <c r="BF83" s="125"/>
      <c r="BG83" s="125"/>
      <c r="BH83" s="125"/>
      <c r="BI83" s="125"/>
      <c r="BJ83" s="125"/>
      <c r="BK83" s="125"/>
      <c r="BL83" s="125"/>
      <c r="BM83" s="125"/>
      <c r="BN83" s="125"/>
      <c r="BO83" s="125"/>
      <c r="BP83" s="125"/>
      <c r="BQ83" s="125"/>
      <c r="BR83" s="125"/>
      <c r="BS83" s="125"/>
      <c r="BT83" s="125"/>
      <c r="BU83" s="125"/>
      <c r="BV83" s="125"/>
      <c r="BW83" s="125"/>
      <c r="BX83" s="125"/>
      <c r="BY83" s="125"/>
      <c r="BZ83" s="125"/>
      <c r="CA83" s="125"/>
      <c r="CB83" s="125"/>
      <c r="CC83" s="125"/>
      <c r="CD83" s="125"/>
      <c r="CE83" s="125"/>
      <c r="CF83" s="125"/>
      <c r="CG83" s="125"/>
      <c r="CH83" s="125"/>
      <c r="CI83" s="125"/>
      <c r="CJ83" s="125"/>
      <c r="CK83" s="125"/>
      <c r="CL83" s="125"/>
      <c r="CM83" s="125"/>
      <c r="CN83" s="125"/>
      <c r="CO83" s="125"/>
      <c r="CP83" s="125"/>
      <c r="CQ83" s="125"/>
      <c r="CR83" s="125"/>
      <c r="CS83" s="125"/>
      <c r="CT83" s="125"/>
      <c r="CU83" s="125"/>
      <c r="CV83" s="125"/>
      <c r="CW83" s="125"/>
      <c r="CX83" s="125"/>
      <c r="CY83" s="125"/>
      <c r="CZ83" s="125"/>
      <c r="DA83" s="125"/>
      <c r="DB83" s="125"/>
      <c r="DC83" s="125"/>
      <c r="DD83" s="125"/>
      <c r="DE83" s="125"/>
      <c r="DF83" s="125"/>
      <c r="DG83" s="125"/>
      <c r="DH83" s="125"/>
      <c r="DI83" s="125"/>
      <c r="DJ83" s="125"/>
      <c r="DK83" s="125"/>
      <c r="DL83" s="125"/>
      <c r="DM83" s="125"/>
      <c r="DN83" s="125"/>
      <c r="DO83" s="125"/>
      <c r="DP83" s="125"/>
      <c r="DQ83" s="125"/>
      <c r="DR83" s="125"/>
    </row>
    <row r="84" spans="1:122" ht="15">
      <c r="A84" s="125"/>
      <c r="B84" s="145"/>
      <c r="C84" s="9"/>
      <c r="D84" s="7"/>
      <c r="E84" s="7"/>
      <c r="F84" s="7"/>
      <c r="G84" s="7"/>
      <c r="H84" s="7"/>
      <c r="I84" s="8"/>
      <c r="J84" s="8"/>
      <c r="K84" s="8"/>
      <c r="L84" s="8"/>
      <c r="M84" s="8"/>
      <c r="N84" s="8"/>
      <c r="O84" s="8"/>
      <c r="P84" s="127"/>
      <c r="R84" s="144"/>
      <c r="S84" s="127"/>
      <c r="T84" s="125"/>
      <c r="U84" s="125"/>
      <c r="V84" s="125"/>
      <c r="W84" s="125"/>
      <c r="X84" s="125"/>
      <c r="Y84" s="125"/>
      <c r="Z84" s="125"/>
      <c r="AA84" s="125"/>
      <c r="AB84" s="125"/>
      <c r="AC84" s="125"/>
      <c r="AD84" s="125"/>
      <c r="AE84" s="125"/>
      <c r="AF84" s="125"/>
      <c r="AG84" s="125"/>
      <c r="AH84" s="125"/>
      <c r="AI84" s="125"/>
      <c r="AJ84" s="125"/>
      <c r="AK84" s="125"/>
      <c r="AL84" s="125"/>
      <c r="AM84" s="125"/>
      <c r="AN84" s="125"/>
      <c r="AO84" s="125"/>
      <c r="AP84" s="125"/>
      <c r="AQ84" s="125"/>
      <c r="AR84" s="125"/>
      <c r="AS84" s="125"/>
      <c r="AT84" s="125"/>
      <c r="AU84" s="125"/>
      <c r="AV84" s="125"/>
      <c r="AW84" s="125"/>
      <c r="AX84" s="125"/>
      <c r="AY84" s="125"/>
      <c r="AZ84" s="125"/>
      <c r="BA84" s="125"/>
      <c r="BB84" s="125"/>
      <c r="BC84" s="125"/>
      <c r="BD84" s="125"/>
      <c r="BE84" s="125"/>
      <c r="BF84" s="125"/>
      <c r="BG84" s="125"/>
      <c r="BH84" s="125"/>
      <c r="BI84" s="125"/>
      <c r="BJ84" s="125"/>
      <c r="BK84" s="125"/>
      <c r="BL84" s="125"/>
      <c r="BM84" s="125"/>
      <c r="BN84" s="125"/>
      <c r="BO84" s="125"/>
      <c r="BP84" s="125"/>
      <c r="BQ84" s="125"/>
      <c r="BR84" s="125"/>
      <c r="BS84" s="125"/>
      <c r="BT84" s="125"/>
      <c r="BU84" s="125"/>
      <c r="BV84" s="125"/>
      <c r="BW84" s="125"/>
      <c r="BX84" s="125"/>
      <c r="BY84" s="125"/>
      <c r="BZ84" s="125"/>
      <c r="CA84" s="125"/>
      <c r="CB84" s="125"/>
      <c r="CC84" s="125"/>
      <c r="CD84" s="125"/>
      <c r="CE84" s="125"/>
      <c r="CF84" s="125"/>
      <c r="CG84" s="125"/>
      <c r="CH84" s="125"/>
      <c r="CI84" s="125"/>
      <c r="CJ84" s="125"/>
      <c r="CK84" s="125"/>
      <c r="CL84" s="125"/>
      <c r="CM84" s="125"/>
      <c r="CN84" s="125"/>
      <c r="CO84" s="125"/>
      <c r="CP84" s="125"/>
      <c r="CQ84" s="125"/>
      <c r="CR84" s="125"/>
      <c r="CS84" s="125"/>
      <c r="CT84" s="125"/>
      <c r="CU84" s="125"/>
      <c r="CV84" s="125"/>
      <c r="CW84" s="125"/>
      <c r="CX84" s="125"/>
      <c r="CY84" s="125"/>
      <c r="CZ84" s="125"/>
      <c r="DA84" s="125"/>
      <c r="DB84" s="125"/>
      <c r="DC84" s="125"/>
      <c r="DD84" s="125"/>
      <c r="DE84" s="125"/>
      <c r="DF84" s="125"/>
      <c r="DG84" s="125"/>
      <c r="DH84" s="125"/>
      <c r="DI84" s="125"/>
      <c r="DJ84" s="125"/>
      <c r="DK84" s="125"/>
      <c r="DL84" s="125"/>
      <c r="DM84" s="125"/>
      <c r="DN84" s="125"/>
      <c r="DO84" s="125"/>
      <c r="DP84" s="125"/>
      <c r="DQ84" s="125"/>
      <c r="DR84" s="125"/>
    </row>
    <row r="85" spans="1:122" ht="15">
      <c r="A85" s="125"/>
      <c r="B85" s="145"/>
      <c r="C85" s="9"/>
      <c r="D85" s="7"/>
      <c r="E85" s="7"/>
      <c r="F85" s="7"/>
      <c r="G85" s="7"/>
      <c r="H85" s="7"/>
      <c r="I85" s="8"/>
      <c r="J85" s="8"/>
      <c r="K85" s="8"/>
      <c r="L85" s="8"/>
      <c r="M85" s="8"/>
      <c r="N85" s="8"/>
      <c r="O85" s="8"/>
      <c r="P85" s="127"/>
      <c r="R85" s="144"/>
      <c r="S85" s="127"/>
      <c r="T85" s="125"/>
      <c r="U85" s="125"/>
      <c r="V85" s="125"/>
      <c r="W85" s="125"/>
      <c r="X85" s="125"/>
      <c r="Y85" s="125"/>
      <c r="Z85" s="125"/>
      <c r="AA85" s="125"/>
      <c r="AB85" s="125"/>
      <c r="AC85" s="125"/>
      <c r="AD85" s="125"/>
      <c r="AE85" s="125"/>
      <c r="AF85" s="125"/>
      <c r="AG85" s="125"/>
      <c r="AH85" s="125"/>
      <c r="AI85" s="125"/>
      <c r="AJ85" s="125"/>
      <c r="AK85" s="125"/>
      <c r="AL85" s="125"/>
      <c r="AM85" s="125"/>
      <c r="AN85" s="125"/>
      <c r="AO85" s="125"/>
      <c r="AP85" s="125"/>
      <c r="AQ85" s="125"/>
      <c r="AR85" s="125"/>
      <c r="AS85" s="125"/>
      <c r="AT85" s="125"/>
      <c r="AU85" s="125"/>
      <c r="AV85" s="125"/>
      <c r="AW85" s="125"/>
      <c r="AX85" s="125"/>
      <c r="AY85" s="125"/>
      <c r="AZ85" s="125"/>
      <c r="BA85" s="125"/>
      <c r="BB85" s="125"/>
      <c r="BC85" s="125"/>
      <c r="BD85" s="125"/>
      <c r="BE85" s="125"/>
      <c r="BF85" s="125"/>
      <c r="BG85" s="125"/>
      <c r="BH85" s="125"/>
      <c r="BI85" s="125"/>
      <c r="BJ85" s="125"/>
      <c r="BK85" s="125"/>
      <c r="BL85" s="125"/>
      <c r="BM85" s="125"/>
      <c r="BN85" s="125"/>
      <c r="BO85" s="125"/>
      <c r="BP85" s="125"/>
      <c r="BQ85" s="125"/>
      <c r="BR85" s="125"/>
      <c r="BS85" s="125"/>
      <c r="BT85" s="125"/>
      <c r="BU85" s="125"/>
      <c r="BV85" s="125"/>
      <c r="BW85" s="125"/>
      <c r="BX85" s="125"/>
      <c r="BY85" s="125"/>
      <c r="BZ85" s="125"/>
      <c r="CA85" s="125"/>
      <c r="CB85" s="125"/>
      <c r="CC85" s="125"/>
      <c r="CD85" s="125"/>
      <c r="CE85" s="125"/>
      <c r="CF85" s="125"/>
      <c r="CG85" s="125"/>
      <c r="CH85" s="125"/>
      <c r="CI85" s="125"/>
      <c r="CJ85" s="125"/>
      <c r="CK85" s="125"/>
      <c r="CL85" s="125"/>
      <c r="CM85" s="125"/>
      <c r="CN85" s="125"/>
      <c r="CO85" s="125"/>
      <c r="CP85" s="125"/>
      <c r="CQ85" s="125"/>
      <c r="CR85" s="125"/>
      <c r="CS85" s="125"/>
      <c r="CT85" s="125"/>
      <c r="CU85" s="125"/>
      <c r="CV85" s="125"/>
      <c r="CW85" s="125"/>
      <c r="CX85" s="125"/>
      <c r="CY85" s="125"/>
      <c r="CZ85" s="125"/>
      <c r="DA85" s="125"/>
      <c r="DB85" s="125"/>
      <c r="DC85" s="125"/>
      <c r="DD85" s="125"/>
      <c r="DE85" s="125"/>
      <c r="DF85" s="125"/>
      <c r="DG85" s="125"/>
      <c r="DH85" s="125"/>
      <c r="DI85" s="125"/>
      <c r="DJ85" s="125"/>
      <c r="DK85" s="125"/>
      <c r="DL85" s="125"/>
      <c r="DM85" s="125"/>
      <c r="DN85" s="125"/>
      <c r="DO85" s="125"/>
      <c r="DP85" s="125"/>
      <c r="DQ85" s="125"/>
      <c r="DR85" s="125"/>
    </row>
    <row r="86" spans="1:122" ht="15">
      <c r="A86" s="125"/>
      <c r="B86" s="145"/>
      <c r="C86" s="9"/>
      <c r="D86" s="7"/>
      <c r="E86" s="7"/>
      <c r="F86" s="7"/>
      <c r="G86" s="7"/>
      <c r="H86" s="7"/>
      <c r="I86" s="8"/>
      <c r="J86" s="8"/>
      <c r="K86" s="8"/>
      <c r="L86" s="8"/>
      <c r="M86" s="8"/>
      <c r="N86" s="8"/>
      <c r="O86" s="8"/>
      <c r="P86" s="127"/>
      <c r="R86" s="144"/>
      <c r="S86" s="127"/>
      <c r="T86" s="125"/>
      <c r="U86" s="125"/>
      <c r="V86" s="125"/>
      <c r="W86" s="125"/>
      <c r="X86" s="125"/>
      <c r="Y86" s="125"/>
      <c r="Z86" s="125"/>
      <c r="AA86" s="125"/>
      <c r="AB86" s="125"/>
      <c r="AC86" s="125"/>
      <c r="AD86" s="125"/>
      <c r="AE86" s="125"/>
      <c r="AF86" s="125"/>
      <c r="AG86" s="125"/>
      <c r="AH86" s="125"/>
      <c r="AI86" s="125"/>
      <c r="AJ86" s="125"/>
      <c r="AK86" s="125"/>
      <c r="AL86" s="125"/>
      <c r="AM86" s="125"/>
      <c r="AN86" s="125"/>
      <c r="AO86" s="125"/>
      <c r="AP86" s="125"/>
      <c r="AQ86" s="125"/>
      <c r="AR86" s="125"/>
      <c r="AS86" s="125"/>
      <c r="AT86" s="125"/>
      <c r="AU86" s="125"/>
      <c r="AV86" s="125"/>
      <c r="AW86" s="125"/>
      <c r="AX86" s="125"/>
      <c r="AY86" s="125"/>
      <c r="AZ86" s="125"/>
      <c r="BA86" s="125"/>
      <c r="BB86" s="125"/>
      <c r="BC86" s="125"/>
      <c r="BD86" s="125"/>
      <c r="BE86" s="125"/>
      <c r="BF86" s="125"/>
      <c r="BG86" s="125"/>
      <c r="BH86" s="125"/>
      <c r="BI86" s="125"/>
      <c r="BJ86" s="125"/>
      <c r="BK86" s="125"/>
      <c r="BL86" s="125"/>
      <c r="BM86" s="125"/>
      <c r="BN86" s="125"/>
      <c r="BO86" s="125"/>
      <c r="BP86" s="125"/>
      <c r="BQ86" s="125"/>
      <c r="BR86" s="125"/>
      <c r="BS86" s="125"/>
      <c r="BT86" s="125"/>
      <c r="BU86" s="125"/>
      <c r="BV86" s="125"/>
      <c r="BW86" s="125"/>
      <c r="BX86" s="125"/>
      <c r="BY86" s="125"/>
      <c r="BZ86" s="125"/>
      <c r="CA86" s="125"/>
      <c r="CB86" s="125"/>
      <c r="CC86" s="125"/>
      <c r="CD86" s="125"/>
      <c r="CE86" s="125"/>
      <c r="CF86" s="125"/>
      <c r="CG86" s="125"/>
      <c r="CH86" s="125"/>
      <c r="CI86" s="125"/>
      <c r="CJ86" s="125"/>
      <c r="CK86" s="125"/>
      <c r="CL86" s="125"/>
      <c r="CM86" s="125"/>
      <c r="CN86" s="125"/>
      <c r="CO86" s="125"/>
      <c r="CP86" s="125"/>
      <c r="CQ86" s="125"/>
      <c r="CR86" s="125"/>
      <c r="CS86" s="125"/>
      <c r="CT86" s="125"/>
      <c r="CU86" s="125"/>
      <c r="CV86" s="125"/>
      <c r="CW86" s="125"/>
      <c r="CX86" s="125"/>
      <c r="CY86" s="125"/>
      <c r="CZ86" s="125"/>
      <c r="DA86" s="125"/>
      <c r="DB86" s="125"/>
      <c r="DC86" s="125"/>
      <c r="DD86" s="125"/>
      <c r="DE86" s="125"/>
      <c r="DF86" s="125"/>
      <c r="DG86" s="125"/>
      <c r="DH86" s="125"/>
      <c r="DI86" s="125"/>
      <c r="DJ86" s="125"/>
      <c r="DK86" s="125"/>
      <c r="DL86" s="125"/>
      <c r="DM86" s="125"/>
      <c r="DN86" s="125"/>
      <c r="DO86" s="125"/>
      <c r="DP86" s="125"/>
      <c r="DQ86" s="125"/>
      <c r="DR86" s="125"/>
    </row>
    <row r="87" spans="1:122" ht="15">
      <c r="A87" s="125"/>
      <c r="B87" s="145"/>
      <c r="C87" s="9"/>
      <c r="D87" s="7"/>
      <c r="E87" s="7"/>
      <c r="F87" s="7"/>
      <c r="G87" s="7"/>
      <c r="H87" s="7"/>
      <c r="I87" s="8"/>
      <c r="J87" s="8"/>
      <c r="K87" s="8"/>
      <c r="L87" s="8"/>
      <c r="M87" s="8"/>
      <c r="N87" s="8"/>
      <c r="O87" s="8"/>
      <c r="P87" s="127"/>
      <c r="R87" s="144"/>
      <c r="S87" s="127"/>
      <c r="T87" s="125"/>
      <c r="U87" s="125"/>
      <c r="V87" s="125"/>
      <c r="W87" s="125"/>
      <c r="X87" s="125"/>
      <c r="Y87" s="125"/>
      <c r="Z87" s="125"/>
      <c r="AA87" s="125"/>
      <c r="AB87" s="125"/>
      <c r="AC87" s="125"/>
      <c r="AD87" s="125"/>
      <c r="AE87" s="125"/>
      <c r="AF87" s="125"/>
      <c r="AG87" s="125"/>
      <c r="AH87" s="125"/>
      <c r="AI87" s="125"/>
      <c r="AJ87" s="125"/>
      <c r="AK87" s="125"/>
      <c r="AL87" s="125"/>
      <c r="AM87" s="125"/>
      <c r="AN87" s="125"/>
      <c r="AO87" s="125"/>
      <c r="AP87" s="125"/>
      <c r="AQ87" s="125"/>
      <c r="AR87" s="125"/>
      <c r="AS87" s="125"/>
      <c r="AT87" s="125"/>
      <c r="AU87" s="125"/>
      <c r="AV87" s="125"/>
      <c r="AW87" s="125"/>
      <c r="AX87" s="125"/>
      <c r="AY87" s="125"/>
      <c r="AZ87" s="125"/>
      <c r="BA87" s="125"/>
      <c r="BB87" s="125"/>
      <c r="BC87" s="125"/>
      <c r="BD87" s="125"/>
      <c r="BE87" s="125"/>
      <c r="BF87" s="125"/>
      <c r="BG87" s="125"/>
      <c r="BH87" s="125"/>
      <c r="BI87" s="125"/>
      <c r="BJ87" s="125"/>
      <c r="BK87" s="125"/>
      <c r="BL87" s="125"/>
      <c r="BM87" s="125"/>
      <c r="BN87" s="125"/>
      <c r="BO87" s="125"/>
      <c r="BP87" s="125"/>
      <c r="BQ87" s="125"/>
      <c r="BR87" s="125"/>
      <c r="BS87" s="125"/>
      <c r="BT87" s="125"/>
      <c r="BU87" s="125"/>
      <c r="BV87" s="125"/>
      <c r="BW87" s="125"/>
      <c r="BX87" s="125"/>
      <c r="BY87" s="125"/>
      <c r="BZ87" s="125"/>
      <c r="CA87" s="125"/>
      <c r="CB87" s="125"/>
      <c r="CC87" s="125"/>
      <c r="CD87" s="125"/>
      <c r="CE87" s="125"/>
      <c r="CF87" s="125"/>
      <c r="CG87" s="125"/>
      <c r="CH87" s="125"/>
      <c r="CI87" s="125"/>
      <c r="CJ87" s="125"/>
      <c r="CK87" s="125"/>
      <c r="CL87" s="125"/>
      <c r="CM87" s="125"/>
      <c r="CN87" s="125"/>
      <c r="CO87" s="125"/>
      <c r="CP87" s="125"/>
      <c r="CQ87" s="125"/>
      <c r="CR87" s="125"/>
      <c r="CS87" s="125"/>
      <c r="CT87" s="125"/>
      <c r="CU87" s="125"/>
      <c r="CV87" s="125"/>
      <c r="CW87" s="125"/>
      <c r="CX87" s="125"/>
      <c r="CY87" s="125"/>
      <c r="CZ87" s="125"/>
      <c r="DA87" s="125"/>
      <c r="DB87" s="125"/>
      <c r="DC87" s="125"/>
      <c r="DD87" s="125"/>
      <c r="DE87" s="125"/>
      <c r="DF87" s="125"/>
      <c r="DG87" s="125"/>
      <c r="DH87" s="125"/>
      <c r="DI87" s="125"/>
      <c r="DJ87" s="125"/>
      <c r="DK87" s="125"/>
      <c r="DL87" s="125"/>
      <c r="DM87" s="125"/>
      <c r="DN87" s="125"/>
      <c r="DO87" s="125"/>
      <c r="DP87" s="125"/>
      <c r="DQ87" s="125"/>
      <c r="DR87" s="125"/>
    </row>
    <row r="88" spans="1:122" ht="15">
      <c r="A88" s="125"/>
      <c r="B88" s="145"/>
      <c r="C88" s="9"/>
      <c r="D88" s="7"/>
      <c r="E88" s="7"/>
      <c r="F88" s="7"/>
      <c r="G88" s="7"/>
      <c r="H88" s="7"/>
      <c r="I88" s="8"/>
      <c r="J88" s="8"/>
      <c r="K88" s="8"/>
      <c r="L88" s="8"/>
      <c r="M88" s="8"/>
      <c r="N88" s="8"/>
      <c r="O88" s="8"/>
      <c r="P88" s="127"/>
      <c r="R88" s="144"/>
      <c r="S88" s="127"/>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c r="CR88" s="125"/>
      <c r="CS88" s="125"/>
      <c r="CT88" s="125"/>
      <c r="CU88" s="125"/>
      <c r="CV88" s="125"/>
      <c r="CW88" s="125"/>
      <c r="CX88" s="125"/>
      <c r="CY88" s="125"/>
      <c r="CZ88" s="125"/>
      <c r="DA88" s="125"/>
      <c r="DB88" s="125"/>
      <c r="DC88" s="125"/>
      <c r="DD88" s="125"/>
      <c r="DE88" s="125"/>
      <c r="DF88" s="125"/>
      <c r="DG88" s="125"/>
      <c r="DH88" s="125"/>
      <c r="DI88" s="125"/>
      <c r="DJ88" s="125"/>
      <c r="DK88" s="125"/>
      <c r="DL88" s="125"/>
      <c r="DM88" s="125"/>
      <c r="DN88" s="125"/>
      <c r="DO88" s="125"/>
      <c r="DP88" s="125"/>
      <c r="DQ88" s="125"/>
      <c r="DR88" s="125"/>
    </row>
    <row r="89" spans="1:122" ht="15">
      <c r="A89" s="125"/>
      <c r="B89" s="145"/>
      <c r="C89" s="9"/>
      <c r="D89" s="7"/>
      <c r="E89" s="7"/>
      <c r="F89" s="7"/>
      <c r="G89" s="7"/>
      <c r="H89" s="7"/>
      <c r="I89" s="8"/>
      <c r="J89" s="8"/>
      <c r="K89" s="8"/>
      <c r="L89" s="8"/>
      <c r="M89" s="8"/>
      <c r="N89" s="8"/>
      <c r="O89" s="8"/>
      <c r="P89" s="127"/>
      <c r="R89" s="144"/>
      <c r="S89" s="127"/>
      <c r="T89" s="125"/>
      <c r="U89" s="125"/>
      <c r="V89" s="125"/>
      <c r="W89" s="125"/>
      <c r="X89" s="125"/>
      <c r="Y89" s="125"/>
      <c r="Z89" s="125"/>
      <c r="AA89" s="125"/>
      <c r="AB89" s="125"/>
      <c r="AC89" s="125"/>
      <c r="AD89" s="125"/>
      <c r="AE89" s="125"/>
      <c r="AF89" s="125"/>
      <c r="AG89" s="125"/>
      <c r="AH89" s="125"/>
      <c r="AI89" s="125"/>
      <c r="AJ89" s="125"/>
      <c r="AK89" s="125"/>
      <c r="AL89" s="125"/>
      <c r="AM89" s="125"/>
      <c r="AN89" s="125"/>
      <c r="AO89" s="125"/>
      <c r="AP89" s="125"/>
      <c r="AQ89" s="125"/>
      <c r="AR89" s="125"/>
      <c r="AS89" s="125"/>
      <c r="AT89" s="125"/>
      <c r="AU89" s="125"/>
      <c r="AV89" s="125"/>
      <c r="AW89" s="125"/>
      <c r="AX89" s="125"/>
      <c r="AY89" s="125"/>
      <c r="AZ89" s="125"/>
      <c r="BA89" s="125"/>
      <c r="BB89" s="125"/>
      <c r="BC89" s="125"/>
      <c r="BD89" s="125"/>
      <c r="BE89" s="125"/>
      <c r="BF89" s="125"/>
      <c r="BG89" s="125"/>
      <c r="BH89" s="125"/>
      <c r="BI89" s="125"/>
      <c r="BJ89" s="125"/>
      <c r="BK89" s="125"/>
      <c r="BL89" s="125"/>
      <c r="BM89" s="125"/>
      <c r="BN89" s="125"/>
      <c r="BO89" s="125"/>
      <c r="BP89" s="125"/>
      <c r="BQ89" s="125"/>
      <c r="BR89" s="125"/>
      <c r="BS89" s="125"/>
      <c r="BT89" s="125"/>
      <c r="BU89" s="125"/>
      <c r="BV89" s="125"/>
      <c r="BW89" s="125"/>
      <c r="BX89" s="125"/>
      <c r="BY89" s="125"/>
      <c r="BZ89" s="125"/>
      <c r="CA89" s="125"/>
      <c r="CB89" s="125"/>
      <c r="CC89" s="125"/>
      <c r="CD89" s="125"/>
      <c r="CE89" s="125"/>
      <c r="CF89" s="125"/>
      <c r="CG89" s="125"/>
      <c r="CH89" s="125"/>
      <c r="CI89" s="125"/>
      <c r="CJ89" s="125"/>
      <c r="CK89" s="125"/>
      <c r="CL89" s="125"/>
      <c r="CM89" s="125"/>
      <c r="CN89" s="125"/>
      <c r="CO89" s="125"/>
      <c r="CP89" s="125"/>
      <c r="CQ89" s="125"/>
      <c r="CR89" s="125"/>
      <c r="CS89" s="125"/>
      <c r="CT89" s="125"/>
      <c r="CU89" s="125"/>
      <c r="CV89" s="125"/>
      <c r="CW89" s="125"/>
      <c r="CX89" s="125"/>
      <c r="CY89" s="125"/>
      <c r="CZ89" s="125"/>
      <c r="DA89" s="125"/>
      <c r="DB89" s="125"/>
      <c r="DC89" s="125"/>
      <c r="DD89" s="125"/>
      <c r="DE89" s="125"/>
      <c r="DF89" s="125"/>
      <c r="DG89" s="125"/>
      <c r="DH89" s="125"/>
      <c r="DI89" s="125"/>
      <c r="DJ89" s="125"/>
      <c r="DK89" s="125"/>
      <c r="DL89" s="125"/>
      <c r="DM89" s="125"/>
      <c r="DN89" s="125"/>
      <c r="DO89" s="125"/>
      <c r="DP89" s="125"/>
      <c r="DQ89" s="125"/>
      <c r="DR89" s="125"/>
    </row>
    <row r="90" spans="1:122" ht="15">
      <c r="A90" s="125"/>
      <c r="B90" s="145"/>
      <c r="C90" s="9"/>
      <c r="D90" s="7"/>
      <c r="E90" s="7"/>
      <c r="F90" s="7"/>
      <c r="G90" s="7"/>
      <c r="H90" s="7"/>
      <c r="I90" s="8"/>
      <c r="J90" s="8"/>
      <c r="K90" s="8"/>
      <c r="L90" s="8"/>
      <c r="M90" s="8"/>
      <c r="N90" s="8"/>
      <c r="O90" s="8"/>
      <c r="P90" s="127"/>
      <c r="R90" s="144"/>
      <c r="S90" s="127"/>
      <c r="T90" s="125"/>
      <c r="U90" s="125"/>
      <c r="V90" s="125"/>
      <c r="W90" s="125"/>
      <c r="X90" s="125"/>
      <c r="Y90" s="125"/>
      <c r="Z90" s="125"/>
      <c r="AA90" s="125"/>
      <c r="AB90" s="125"/>
      <c r="AC90" s="125"/>
      <c r="AD90" s="125"/>
      <c r="AE90" s="125"/>
      <c r="AF90" s="125"/>
      <c r="AG90" s="125"/>
      <c r="AH90" s="125"/>
      <c r="AI90" s="125"/>
      <c r="AJ90" s="125"/>
      <c r="AK90" s="125"/>
      <c r="AL90" s="125"/>
      <c r="AM90" s="125"/>
      <c r="AN90" s="125"/>
      <c r="AO90" s="125"/>
      <c r="AP90" s="125"/>
      <c r="AQ90" s="125"/>
      <c r="AR90" s="125"/>
      <c r="AS90" s="125"/>
      <c r="AT90" s="125"/>
      <c r="AU90" s="125"/>
      <c r="AV90" s="125"/>
      <c r="AW90" s="125"/>
      <c r="AX90" s="125"/>
      <c r="AY90" s="125"/>
      <c r="AZ90" s="125"/>
      <c r="BA90" s="125"/>
      <c r="BB90" s="125"/>
      <c r="BC90" s="125"/>
      <c r="BD90" s="125"/>
      <c r="BE90" s="125"/>
      <c r="BF90" s="125"/>
      <c r="BG90" s="125"/>
      <c r="BH90" s="125"/>
      <c r="BI90" s="125"/>
      <c r="BJ90" s="125"/>
      <c r="BK90" s="125"/>
      <c r="BL90" s="125"/>
      <c r="BM90" s="125"/>
      <c r="BN90" s="125"/>
      <c r="BO90" s="125"/>
      <c r="BP90" s="125"/>
      <c r="BQ90" s="125"/>
      <c r="BR90" s="125"/>
      <c r="BS90" s="125"/>
      <c r="BT90" s="125"/>
      <c r="BU90" s="125"/>
      <c r="BV90" s="125"/>
      <c r="BW90" s="125"/>
      <c r="BX90" s="125"/>
      <c r="BY90" s="125"/>
      <c r="BZ90" s="125"/>
      <c r="CA90" s="125"/>
      <c r="CB90" s="125"/>
      <c r="CC90" s="125"/>
      <c r="CD90" s="125"/>
      <c r="CE90" s="125"/>
      <c r="CF90" s="125"/>
      <c r="CG90" s="125"/>
      <c r="CH90" s="125"/>
      <c r="CI90" s="125"/>
      <c r="CJ90" s="125"/>
      <c r="CK90" s="125"/>
      <c r="CL90" s="125"/>
      <c r="CM90" s="125"/>
      <c r="CN90" s="125"/>
      <c r="CO90" s="125"/>
      <c r="CP90" s="125"/>
      <c r="CQ90" s="125"/>
      <c r="CR90" s="125"/>
      <c r="CS90" s="125"/>
      <c r="CT90" s="125"/>
      <c r="CU90" s="125"/>
      <c r="CV90" s="125"/>
      <c r="CW90" s="125"/>
      <c r="CX90" s="125"/>
      <c r="CY90" s="125"/>
      <c r="CZ90" s="125"/>
      <c r="DA90" s="125"/>
      <c r="DB90" s="125"/>
      <c r="DC90" s="125"/>
      <c r="DD90" s="125"/>
      <c r="DE90" s="125"/>
      <c r="DF90" s="125"/>
      <c r="DG90" s="125"/>
      <c r="DH90" s="125"/>
      <c r="DI90" s="125"/>
      <c r="DJ90" s="125"/>
      <c r="DK90" s="125"/>
      <c r="DL90" s="125"/>
      <c r="DM90" s="125"/>
      <c r="DN90" s="125"/>
      <c r="DO90" s="125"/>
      <c r="DP90" s="125"/>
      <c r="DQ90" s="125"/>
      <c r="DR90" s="125"/>
    </row>
    <row r="91" spans="1:122" ht="15">
      <c r="A91" s="125"/>
      <c r="B91" s="145"/>
      <c r="C91" s="9"/>
      <c r="D91" s="7"/>
      <c r="E91" s="7"/>
      <c r="F91" s="7"/>
      <c r="G91" s="7"/>
      <c r="H91" s="7"/>
      <c r="I91" s="8"/>
      <c r="J91" s="8"/>
      <c r="K91" s="8"/>
      <c r="L91" s="8"/>
      <c r="M91" s="8"/>
      <c r="N91" s="8"/>
      <c r="O91" s="8"/>
      <c r="P91" s="127"/>
      <c r="R91" s="144"/>
      <c r="S91" s="127"/>
      <c r="T91" s="125"/>
      <c r="U91" s="125"/>
      <c r="V91" s="125"/>
      <c r="W91" s="125"/>
      <c r="X91" s="125"/>
      <c r="Y91" s="125"/>
      <c r="Z91" s="125"/>
      <c r="AA91" s="125"/>
      <c r="AB91" s="125"/>
      <c r="AC91" s="125"/>
      <c r="AD91" s="125"/>
      <c r="AE91" s="125"/>
      <c r="AF91" s="125"/>
      <c r="AG91" s="125"/>
      <c r="AH91" s="125"/>
      <c r="AI91" s="125"/>
      <c r="AJ91" s="125"/>
      <c r="AK91" s="125"/>
      <c r="AL91" s="125"/>
      <c r="AM91" s="125"/>
      <c r="AN91" s="125"/>
      <c r="AO91" s="125"/>
      <c r="AP91" s="125"/>
      <c r="AQ91" s="125"/>
      <c r="AR91" s="125"/>
      <c r="AS91" s="125"/>
      <c r="AT91" s="125"/>
      <c r="AU91" s="125"/>
      <c r="AV91" s="125"/>
      <c r="AW91" s="125"/>
      <c r="AX91" s="125"/>
      <c r="AY91" s="125"/>
      <c r="AZ91" s="125"/>
      <c r="BA91" s="125"/>
      <c r="BB91" s="125"/>
      <c r="BC91" s="125"/>
      <c r="BD91" s="125"/>
      <c r="BE91" s="125"/>
      <c r="BF91" s="125"/>
      <c r="BG91" s="125"/>
      <c r="BH91" s="125"/>
      <c r="BI91" s="125"/>
      <c r="BJ91" s="125"/>
      <c r="BK91" s="125"/>
      <c r="BL91" s="125"/>
      <c r="BM91" s="125"/>
      <c r="BN91" s="125"/>
      <c r="BO91" s="125"/>
      <c r="BP91" s="125"/>
      <c r="BQ91" s="125"/>
      <c r="BR91" s="125"/>
      <c r="BS91" s="125"/>
      <c r="BT91" s="125"/>
      <c r="BU91" s="125"/>
      <c r="BV91" s="125"/>
      <c r="BW91" s="125"/>
      <c r="BX91" s="125"/>
      <c r="BY91" s="125"/>
      <c r="BZ91" s="125"/>
      <c r="CA91" s="125"/>
      <c r="CB91" s="125"/>
      <c r="CC91" s="125"/>
      <c r="CD91" s="125"/>
      <c r="CE91" s="125"/>
      <c r="CF91" s="125"/>
      <c r="CG91" s="125"/>
      <c r="CH91" s="125"/>
      <c r="CI91" s="125"/>
      <c r="CJ91" s="125"/>
      <c r="CK91" s="125"/>
      <c r="CL91" s="125"/>
      <c r="CM91" s="125"/>
      <c r="CN91" s="125"/>
      <c r="CO91" s="125"/>
      <c r="CP91" s="125"/>
      <c r="CQ91" s="125"/>
      <c r="CR91" s="125"/>
      <c r="CS91" s="125"/>
      <c r="CT91" s="125"/>
      <c r="CU91" s="125"/>
      <c r="CV91" s="125"/>
      <c r="CW91" s="125"/>
      <c r="CX91" s="125"/>
      <c r="CY91" s="125"/>
      <c r="CZ91" s="125"/>
      <c r="DA91" s="125"/>
      <c r="DB91" s="125"/>
      <c r="DC91" s="125"/>
      <c r="DD91" s="125"/>
      <c r="DE91" s="125"/>
      <c r="DF91" s="125"/>
      <c r="DG91" s="125"/>
      <c r="DH91" s="125"/>
      <c r="DI91" s="125"/>
      <c r="DJ91" s="125"/>
      <c r="DK91" s="125"/>
      <c r="DL91" s="125"/>
      <c r="DM91" s="125"/>
      <c r="DN91" s="125"/>
      <c r="DO91" s="125"/>
      <c r="DP91" s="125"/>
      <c r="DQ91" s="125"/>
      <c r="DR91" s="125"/>
    </row>
    <row r="92" spans="1:122" ht="15">
      <c r="A92" s="125"/>
      <c r="B92" s="145"/>
      <c r="C92" s="9"/>
      <c r="D92" s="7"/>
      <c r="E92" s="7"/>
      <c r="F92" s="7"/>
      <c r="G92" s="7"/>
      <c r="H92" s="7"/>
      <c r="I92" s="8"/>
      <c r="J92" s="8"/>
      <c r="K92" s="8"/>
      <c r="L92" s="8"/>
      <c r="M92" s="8"/>
      <c r="N92" s="8"/>
      <c r="O92" s="8"/>
      <c r="P92" s="127"/>
      <c r="R92" s="144"/>
      <c r="S92" s="127"/>
      <c r="T92" s="125"/>
      <c r="U92" s="125"/>
      <c r="V92" s="125"/>
      <c r="W92" s="125"/>
      <c r="X92" s="125"/>
      <c r="Y92" s="125"/>
      <c r="Z92" s="125"/>
      <c r="AA92" s="125"/>
      <c r="AB92" s="125"/>
      <c r="AC92" s="125"/>
      <c r="AD92" s="125"/>
      <c r="AE92" s="125"/>
      <c r="AF92" s="125"/>
      <c r="AG92" s="125"/>
      <c r="AH92" s="125"/>
      <c r="AI92" s="125"/>
      <c r="AJ92" s="125"/>
      <c r="AK92" s="125"/>
      <c r="AL92" s="125"/>
      <c r="AM92" s="125"/>
      <c r="AN92" s="125"/>
      <c r="AO92" s="125"/>
      <c r="AP92" s="125"/>
      <c r="AQ92" s="125"/>
      <c r="AR92" s="125"/>
      <c r="AS92" s="125"/>
      <c r="AT92" s="125"/>
      <c r="AU92" s="125"/>
      <c r="AV92" s="125"/>
      <c r="AW92" s="125"/>
      <c r="AX92" s="125"/>
      <c r="AY92" s="125"/>
      <c r="AZ92" s="125"/>
      <c r="BA92" s="125"/>
      <c r="BB92" s="125"/>
      <c r="BC92" s="125"/>
      <c r="BD92" s="125"/>
      <c r="BE92" s="125"/>
      <c r="BF92" s="125"/>
      <c r="BG92" s="125"/>
      <c r="BH92" s="125"/>
      <c r="BI92" s="125"/>
      <c r="BJ92" s="125"/>
      <c r="BK92" s="125"/>
      <c r="BL92" s="125"/>
      <c r="BM92" s="125"/>
      <c r="BN92" s="125"/>
      <c r="BO92" s="125"/>
      <c r="BP92" s="125"/>
      <c r="BQ92" s="125"/>
      <c r="BR92" s="125"/>
      <c r="BS92" s="125"/>
      <c r="BT92" s="125"/>
      <c r="BU92" s="125"/>
      <c r="BV92" s="125"/>
      <c r="BW92" s="125"/>
      <c r="BX92" s="125"/>
      <c r="BY92" s="125"/>
      <c r="BZ92" s="125"/>
      <c r="CA92" s="125"/>
      <c r="CB92" s="125"/>
      <c r="CC92" s="125"/>
      <c r="CD92" s="125"/>
      <c r="CE92" s="125"/>
      <c r="CF92" s="125"/>
      <c r="CG92" s="125"/>
      <c r="CH92" s="125"/>
      <c r="CI92" s="125"/>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5"/>
      <c r="DQ92" s="125"/>
      <c r="DR92" s="125"/>
    </row>
    <row r="93" spans="1:122" ht="15">
      <c r="A93" s="125"/>
      <c r="B93" s="145"/>
      <c r="C93" s="9"/>
      <c r="D93" s="7"/>
      <c r="E93" s="7"/>
      <c r="F93" s="7"/>
      <c r="G93" s="7"/>
      <c r="H93" s="7"/>
      <c r="I93" s="8"/>
      <c r="J93" s="8"/>
      <c r="K93" s="8"/>
      <c r="L93" s="8"/>
      <c r="M93" s="8"/>
      <c r="N93" s="8"/>
      <c r="O93" s="8"/>
      <c r="P93" s="127"/>
      <c r="R93" s="144"/>
      <c r="S93" s="127"/>
      <c r="T93" s="125"/>
      <c r="U93" s="125"/>
      <c r="V93" s="125"/>
      <c r="W93" s="125"/>
      <c r="X93" s="125"/>
      <c r="Y93" s="125"/>
      <c r="Z93" s="125"/>
      <c r="AA93" s="125"/>
      <c r="AB93" s="125"/>
      <c r="AC93" s="125"/>
      <c r="AD93" s="125"/>
      <c r="AE93" s="125"/>
      <c r="AF93" s="125"/>
      <c r="AG93" s="125"/>
      <c r="AH93" s="125"/>
      <c r="AI93" s="125"/>
      <c r="AJ93" s="125"/>
      <c r="AK93" s="125"/>
      <c r="AL93" s="125"/>
      <c r="AM93" s="125"/>
      <c r="AN93" s="125"/>
      <c r="AO93" s="125"/>
      <c r="AP93" s="125"/>
      <c r="AQ93" s="125"/>
      <c r="AR93" s="125"/>
      <c r="AS93" s="125"/>
      <c r="AT93" s="125"/>
      <c r="AU93" s="125"/>
      <c r="AV93" s="125"/>
      <c r="AW93" s="125"/>
      <c r="AX93" s="125"/>
      <c r="AY93" s="125"/>
      <c r="AZ93" s="125"/>
      <c r="BA93" s="125"/>
      <c r="BB93" s="125"/>
      <c r="BC93" s="125"/>
      <c r="BD93" s="125"/>
      <c r="BE93" s="125"/>
      <c r="BF93" s="125"/>
      <c r="BG93" s="125"/>
      <c r="BH93" s="125"/>
      <c r="BI93" s="125"/>
      <c r="BJ93" s="125"/>
      <c r="BK93" s="125"/>
      <c r="BL93" s="125"/>
      <c r="BM93" s="125"/>
      <c r="BN93" s="125"/>
      <c r="BO93" s="125"/>
      <c r="BP93" s="125"/>
      <c r="BQ93" s="125"/>
      <c r="BR93" s="125"/>
      <c r="BS93" s="125"/>
      <c r="BT93" s="125"/>
      <c r="BU93" s="125"/>
      <c r="BV93" s="125"/>
      <c r="BW93" s="125"/>
      <c r="BX93" s="125"/>
      <c r="BY93" s="125"/>
      <c r="BZ93" s="125"/>
      <c r="CA93" s="125"/>
      <c r="CB93" s="125"/>
      <c r="CC93" s="125"/>
      <c r="CD93" s="125"/>
      <c r="CE93" s="125"/>
      <c r="CF93" s="125"/>
      <c r="CG93" s="125"/>
      <c r="CH93" s="125"/>
      <c r="CI93" s="125"/>
      <c r="CJ93" s="125"/>
      <c r="CK93" s="125"/>
      <c r="CL93" s="125"/>
      <c r="CM93" s="125"/>
      <c r="CN93" s="125"/>
      <c r="CO93" s="125"/>
      <c r="CP93" s="125"/>
      <c r="CQ93" s="125"/>
      <c r="CR93" s="125"/>
      <c r="CS93" s="125"/>
      <c r="CT93" s="125"/>
      <c r="CU93" s="125"/>
      <c r="CV93" s="125"/>
      <c r="CW93" s="125"/>
      <c r="CX93" s="125"/>
      <c r="CY93" s="125"/>
      <c r="CZ93" s="125"/>
      <c r="DA93" s="125"/>
      <c r="DB93" s="125"/>
      <c r="DC93" s="125"/>
      <c r="DD93" s="125"/>
      <c r="DE93" s="125"/>
      <c r="DF93" s="125"/>
      <c r="DG93" s="125"/>
      <c r="DH93" s="125"/>
      <c r="DI93" s="125"/>
      <c r="DJ93" s="125"/>
      <c r="DK93" s="125"/>
      <c r="DL93" s="125"/>
      <c r="DM93" s="125"/>
      <c r="DN93" s="125"/>
      <c r="DO93" s="125"/>
      <c r="DP93" s="125"/>
      <c r="DQ93" s="125"/>
      <c r="DR93" s="125"/>
    </row>
    <row r="94" spans="1:122" ht="15">
      <c r="A94" s="125"/>
      <c r="B94" s="145"/>
      <c r="C94" s="9"/>
      <c r="D94" s="7"/>
      <c r="E94" s="7"/>
      <c r="F94" s="7"/>
      <c r="G94" s="7"/>
      <c r="H94" s="7"/>
      <c r="I94" s="8"/>
      <c r="J94" s="8"/>
      <c r="K94" s="8"/>
      <c r="L94" s="8"/>
      <c r="M94" s="8"/>
      <c r="N94" s="8"/>
      <c r="O94" s="8"/>
      <c r="P94" s="127"/>
      <c r="R94" s="144"/>
      <c r="S94" s="127"/>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125"/>
      <c r="CG94" s="125"/>
      <c r="CH94" s="125"/>
      <c r="CI94" s="125"/>
      <c r="CJ94" s="125"/>
      <c r="CK94" s="125"/>
      <c r="CL94" s="125"/>
      <c r="CM94" s="125"/>
      <c r="CN94" s="125"/>
      <c r="CO94" s="125"/>
      <c r="CP94" s="125"/>
      <c r="CQ94" s="125"/>
      <c r="CR94" s="125"/>
      <c r="CS94" s="125"/>
      <c r="CT94" s="125"/>
      <c r="CU94" s="125"/>
      <c r="CV94" s="125"/>
      <c r="CW94" s="125"/>
      <c r="CX94" s="125"/>
      <c r="CY94" s="125"/>
      <c r="CZ94" s="125"/>
      <c r="DA94" s="125"/>
      <c r="DB94" s="125"/>
      <c r="DC94" s="125"/>
      <c r="DD94" s="125"/>
      <c r="DE94" s="125"/>
      <c r="DF94" s="125"/>
      <c r="DG94" s="125"/>
      <c r="DH94" s="125"/>
      <c r="DI94" s="125"/>
      <c r="DJ94" s="125"/>
      <c r="DK94" s="125"/>
      <c r="DL94" s="125"/>
      <c r="DM94" s="125"/>
      <c r="DN94" s="125"/>
      <c r="DO94" s="125"/>
      <c r="DP94" s="125"/>
      <c r="DQ94" s="125"/>
      <c r="DR94" s="125"/>
    </row>
    <row r="95" spans="1:122" ht="15">
      <c r="A95" s="125"/>
      <c r="B95" s="145"/>
      <c r="C95" s="9"/>
      <c r="D95" s="7"/>
      <c r="E95" s="7"/>
      <c r="F95" s="7"/>
      <c r="G95" s="7"/>
      <c r="H95" s="7"/>
      <c r="I95" s="8"/>
      <c r="J95" s="8"/>
      <c r="K95" s="8"/>
      <c r="L95" s="8"/>
      <c r="M95" s="8"/>
      <c r="N95" s="8"/>
      <c r="O95" s="8"/>
      <c r="P95" s="127"/>
      <c r="R95" s="144"/>
      <c r="S95" s="127"/>
      <c r="T95" s="125"/>
      <c r="U95" s="125"/>
      <c r="V95" s="125"/>
      <c r="W95" s="125"/>
      <c r="X95" s="125"/>
      <c r="Y95" s="125"/>
      <c r="Z95" s="125"/>
      <c r="AA95" s="125"/>
      <c r="AB95" s="125"/>
      <c r="AC95" s="125"/>
      <c r="AD95" s="125"/>
      <c r="AE95" s="125"/>
      <c r="AF95" s="125"/>
      <c r="AG95" s="125"/>
      <c r="AH95" s="125"/>
      <c r="AI95" s="125"/>
      <c r="AJ95" s="125"/>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5"/>
      <c r="BO95" s="125"/>
      <c r="BP95" s="125"/>
      <c r="BQ95" s="125"/>
      <c r="BR95" s="125"/>
      <c r="BS95" s="125"/>
      <c r="BT95" s="125"/>
      <c r="BU95" s="125"/>
      <c r="BV95" s="125"/>
      <c r="BW95" s="125"/>
      <c r="BX95" s="125"/>
      <c r="BY95" s="125"/>
      <c r="BZ95" s="125"/>
      <c r="CA95" s="125"/>
      <c r="CB95" s="125"/>
      <c r="CC95" s="125"/>
      <c r="CD95" s="125"/>
      <c r="CE95" s="125"/>
      <c r="CF95" s="125"/>
      <c r="CG95" s="125"/>
      <c r="CH95" s="125"/>
      <c r="CI95" s="125"/>
      <c r="CJ95" s="125"/>
      <c r="CK95" s="125"/>
      <c r="CL95" s="125"/>
      <c r="CM95" s="125"/>
      <c r="CN95" s="125"/>
      <c r="CO95" s="125"/>
      <c r="CP95" s="125"/>
      <c r="CQ95" s="125"/>
      <c r="CR95" s="125"/>
      <c r="CS95" s="125"/>
      <c r="CT95" s="125"/>
      <c r="CU95" s="125"/>
      <c r="CV95" s="125"/>
      <c r="CW95" s="125"/>
      <c r="CX95" s="125"/>
      <c r="CY95" s="125"/>
      <c r="CZ95" s="125"/>
      <c r="DA95" s="125"/>
      <c r="DB95" s="125"/>
      <c r="DC95" s="125"/>
      <c r="DD95" s="125"/>
      <c r="DE95" s="125"/>
      <c r="DF95" s="125"/>
      <c r="DG95" s="125"/>
      <c r="DH95" s="125"/>
      <c r="DI95" s="125"/>
      <c r="DJ95" s="125"/>
      <c r="DK95" s="125"/>
      <c r="DL95" s="125"/>
      <c r="DM95" s="125"/>
      <c r="DN95" s="125"/>
      <c r="DO95" s="125"/>
      <c r="DP95" s="125"/>
      <c r="DQ95" s="125"/>
      <c r="DR95" s="125"/>
    </row>
    <row r="96" spans="1:122" ht="15">
      <c r="A96" s="125"/>
      <c r="B96" s="145"/>
      <c r="C96" s="9"/>
      <c r="D96" s="7"/>
      <c r="E96" s="7"/>
      <c r="F96" s="7"/>
      <c r="G96" s="7"/>
      <c r="H96" s="7"/>
      <c r="I96" s="8"/>
      <c r="J96" s="8"/>
      <c r="K96" s="8"/>
      <c r="L96" s="8"/>
      <c r="M96" s="8"/>
      <c r="N96" s="8"/>
      <c r="O96" s="8"/>
      <c r="P96" s="127"/>
      <c r="R96" s="144"/>
      <c r="S96" s="127"/>
      <c r="T96" s="125"/>
      <c r="U96" s="125"/>
      <c r="V96" s="125"/>
      <c r="W96" s="125"/>
      <c r="X96" s="125"/>
      <c r="Y96" s="125"/>
      <c r="Z96" s="125"/>
      <c r="AA96" s="125"/>
      <c r="AB96" s="125"/>
      <c r="AC96" s="125"/>
      <c r="AD96" s="125"/>
      <c r="AE96" s="125"/>
      <c r="AF96" s="125"/>
      <c r="AG96" s="125"/>
      <c r="AH96" s="125"/>
      <c r="AI96" s="125"/>
      <c r="AJ96" s="125"/>
      <c r="AK96" s="125"/>
      <c r="AL96" s="125"/>
      <c r="AM96" s="125"/>
      <c r="AN96" s="125"/>
      <c r="AO96" s="125"/>
      <c r="AP96" s="125"/>
      <c r="AQ96" s="125"/>
      <c r="AR96" s="125"/>
      <c r="AS96" s="125"/>
      <c r="AT96" s="125"/>
      <c r="AU96" s="125"/>
      <c r="AV96" s="125"/>
      <c r="AW96" s="125"/>
      <c r="AX96" s="125"/>
      <c r="AY96" s="125"/>
      <c r="AZ96" s="125"/>
      <c r="BA96" s="125"/>
      <c r="BB96" s="125"/>
      <c r="BC96" s="125"/>
      <c r="BD96" s="125"/>
      <c r="BE96" s="125"/>
      <c r="BF96" s="125"/>
      <c r="BG96" s="125"/>
      <c r="BH96" s="125"/>
      <c r="BI96" s="125"/>
      <c r="BJ96" s="125"/>
      <c r="BK96" s="125"/>
      <c r="BL96" s="125"/>
      <c r="BM96" s="125"/>
      <c r="BN96" s="125"/>
      <c r="BO96" s="125"/>
      <c r="BP96" s="125"/>
      <c r="BQ96" s="125"/>
      <c r="BR96" s="125"/>
      <c r="BS96" s="125"/>
      <c r="BT96" s="125"/>
      <c r="BU96" s="125"/>
      <c r="BV96" s="125"/>
      <c r="BW96" s="125"/>
      <c r="BX96" s="125"/>
      <c r="BY96" s="125"/>
      <c r="BZ96" s="125"/>
      <c r="CA96" s="125"/>
      <c r="CB96" s="125"/>
      <c r="CC96" s="125"/>
      <c r="CD96" s="125"/>
      <c r="CE96" s="125"/>
      <c r="CF96" s="125"/>
      <c r="CG96" s="125"/>
      <c r="CH96" s="125"/>
      <c r="CI96" s="125"/>
      <c r="CJ96" s="125"/>
      <c r="CK96" s="125"/>
      <c r="CL96" s="125"/>
      <c r="CM96" s="125"/>
      <c r="CN96" s="125"/>
      <c r="CO96" s="125"/>
      <c r="CP96" s="125"/>
      <c r="CQ96" s="125"/>
      <c r="CR96" s="125"/>
      <c r="CS96" s="125"/>
      <c r="CT96" s="125"/>
      <c r="CU96" s="125"/>
      <c r="CV96" s="125"/>
      <c r="CW96" s="125"/>
      <c r="CX96" s="125"/>
      <c r="CY96" s="125"/>
      <c r="CZ96" s="125"/>
      <c r="DA96" s="125"/>
      <c r="DB96" s="125"/>
      <c r="DC96" s="125"/>
      <c r="DD96" s="125"/>
      <c r="DE96" s="125"/>
      <c r="DF96" s="125"/>
      <c r="DG96" s="125"/>
      <c r="DH96" s="125"/>
      <c r="DI96" s="125"/>
      <c r="DJ96" s="125"/>
      <c r="DK96" s="125"/>
      <c r="DL96" s="125"/>
      <c r="DM96" s="125"/>
      <c r="DN96" s="125"/>
      <c r="DO96" s="125"/>
      <c r="DP96" s="125"/>
      <c r="DQ96" s="125"/>
      <c r="DR96" s="125"/>
    </row>
    <row r="97" spans="1:122" ht="15">
      <c r="A97" s="125"/>
      <c r="B97" s="145"/>
      <c r="C97" s="9"/>
      <c r="D97" s="7"/>
      <c r="E97" s="7"/>
      <c r="F97" s="7"/>
      <c r="G97" s="7"/>
      <c r="H97" s="7"/>
      <c r="I97" s="8"/>
      <c r="J97" s="8"/>
      <c r="K97" s="8"/>
      <c r="L97" s="8"/>
      <c r="M97" s="8"/>
      <c r="N97" s="8"/>
      <c r="O97" s="8"/>
      <c r="P97" s="127"/>
      <c r="R97" s="144"/>
      <c r="S97" s="127"/>
      <c r="T97" s="125"/>
      <c r="U97" s="125"/>
      <c r="V97" s="125"/>
      <c r="W97" s="125"/>
      <c r="X97" s="125"/>
      <c r="Y97" s="125"/>
      <c r="Z97" s="125"/>
      <c r="AA97" s="125"/>
      <c r="AB97" s="125"/>
      <c r="AC97" s="125"/>
      <c r="AD97" s="125"/>
      <c r="AE97" s="125"/>
      <c r="AF97" s="125"/>
      <c r="AG97" s="125"/>
      <c r="AH97" s="125"/>
      <c r="AI97" s="125"/>
      <c r="AJ97" s="125"/>
      <c r="AK97" s="125"/>
      <c r="AL97" s="125"/>
      <c r="AM97" s="125"/>
      <c r="AN97" s="125"/>
      <c r="AO97" s="125"/>
      <c r="AP97" s="125"/>
      <c r="AQ97" s="125"/>
      <c r="AR97" s="125"/>
      <c r="AS97" s="125"/>
      <c r="AT97" s="125"/>
      <c r="AU97" s="125"/>
      <c r="AV97" s="125"/>
      <c r="AW97" s="125"/>
      <c r="AX97" s="125"/>
      <c r="AY97" s="125"/>
      <c r="AZ97" s="125"/>
      <c r="BA97" s="125"/>
      <c r="BB97" s="125"/>
      <c r="BC97" s="125"/>
      <c r="BD97" s="125"/>
      <c r="BE97" s="125"/>
      <c r="BF97" s="125"/>
      <c r="BG97" s="125"/>
      <c r="BH97" s="125"/>
      <c r="BI97" s="125"/>
      <c r="BJ97" s="125"/>
      <c r="BK97" s="125"/>
      <c r="BL97" s="125"/>
      <c r="BM97" s="125"/>
      <c r="BN97" s="125"/>
      <c r="BO97" s="125"/>
      <c r="BP97" s="125"/>
      <c r="BQ97" s="125"/>
      <c r="BR97" s="125"/>
      <c r="BS97" s="125"/>
      <c r="BT97" s="125"/>
      <c r="BU97" s="125"/>
      <c r="BV97" s="125"/>
      <c r="BW97" s="125"/>
      <c r="BX97" s="125"/>
      <c r="BY97" s="125"/>
      <c r="BZ97" s="125"/>
      <c r="CA97" s="125"/>
      <c r="CB97" s="125"/>
      <c r="CC97" s="125"/>
      <c r="CD97" s="125"/>
      <c r="CE97" s="125"/>
      <c r="CF97" s="125"/>
      <c r="CG97" s="125"/>
      <c r="CH97" s="125"/>
      <c r="CI97" s="125"/>
      <c r="CJ97" s="125"/>
      <c r="CK97" s="125"/>
      <c r="CL97" s="125"/>
      <c r="CM97" s="125"/>
      <c r="CN97" s="125"/>
      <c r="CO97" s="125"/>
      <c r="CP97" s="125"/>
      <c r="CQ97" s="125"/>
      <c r="CR97" s="125"/>
      <c r="CS97" s="125"/>
      <c r="CT97" s="125"/>
      <c r="CU97" s="125"/>
      <c r="CV97" s="125"/>
      <c r="CW97" s="125"/>
      <c r="CX97" s="125"/>
      <c r="CY97" s="125"/>
      <c r="CZ97" s="125"/>
      <c r="DA97" s="125"/>
      <c r="DB97" s="125"/>
      <c r="DC97" s="125"/>
      <c r="DD97" s="125"/>
      <c r="DE97" s="125"/>
      <c r="DF97" s="125"/>
      <c r="DG97" s="125"/>
      <c r="DH97" s="125"/>
      <c r="DI97" s="125"/>
      <c r="DJ97" s="125"/>
      <c r="DK97" s="125"/>
      <c r="DL97" s="125"/>
      <c r="DM97" s="125"/>
      <c r="DN97" s="125"/>
      <c r="DO97" s="125"/>
      <c r="DP97" s="125"/>
      <c r="DQ97" s="125"/>
      <c r="DR97" s="125"/>
    </row>
    <row r="98" spans="1:122" ht="15">
      <c r="A98" s="125"/>
      <c r="B98" s="145"/>
      <c r="C98" s="9"/>
      <c r="D98" s="7"/>
      <c r="E98" s="7"/>
      <c r="F98" s="7"/>
      <c r="G98" s="7"/>
      <c r="H98" s="7"/>
      <c r="I98" s="8"/>
      <c r="J98" s="8"/>
      <c r="K98" s="8"/>
      <c r="L98" s="8"/>
      <c r="M98" s="8"/>
      <c r="N98" s="8"/>
      <c r="O98" s="8"/>
      <c r="P98" s="127"/>
      <c r="R98" s="144"/>
      <c r="S98" s="127"/>
      <c r="T98" s="125"/>
      <c r="U98" s="125"/>
      <c r="V98" s="125"/>
      <c r="W98" s="125"/>
      <c r="X98" s="125"/>
      <c r="Y98" s="125"/>
      <c r="Z98" s="125"/>
      <c r="AA98" s="125"/>
      <c r="AB98" s="125"/>
      <c r="AC98" s="125"/>
      <c r="AD98" s="125"/>
      <c r="AE98" s="125"/>
      <c r="AF98" s="125"/>
      <c r="AG98" s="125"/>
      <c r="AH98" s="125"/>
      <c r="AI98" s="125"/>
      <c r="AJ98" s="125"/>
      <c r="AK98" s="125"/>
      <c r="AL98" s="125"/>
      <c r="AM98" s="125"/>
      <c r="AN98" s="125"/>
      <c r="AO98" s="125"/>
      <c r="AP98" s="125"/>
      <c r="AQ98" s="125"/>
      <c r="AR98" s="125"/>
      <c r="AS98" s="125"/>
      <c r="AT98" s="125"/>
      <c r="AU98" s="125"/>
      <c r="AV98" s="125"/>
      <c r="AW98" s="125"/>
      <c r="AX98" s="125"/>
      <c r="AY98" s="125"/>
      <c r="AZ98" s="125"/>
      <c r="BA98" s="125"/>
      <c r="BB98" s="125"/>
      <c r="BC98" s="125"/>
      <c r="BD98" s="125"/>
      <c r="BE98" s="125"/>
      <c r="BF98" s="125"/>
      <c r="BG98" s="125"/>
      <c r="BH98" s="125"/>
      <c r="BI98" s="125"/>
      <c r="BJ98" s="125"/>
      <c r="BK98" s="125"/>
      <c r="BL98" s="125"/>
      <c r="BM98" s="125"/>
      <c r="BN98" s="125"/>
      <c r="BO98" s="125"/>
      <c r="BP98" s="125"/>
      <c r="BQ98" s="125"/>
      <c r="BR98" s="125"/>
      <c r="BS98" s="125"/>
      <c r="BT98" s="125"/>
      <c r="BU98" s="125"/>
      <c r="BV98" s="125"/>
      <c r="BW98" s="125"/>
      <c r="BX98" s="125"/>
      <c r="BY98" s="125"/>
      <c r="BZ98" s="125"/>
      <c r="CA98" s="125"/>
      <c r="CB98" s="125"/>
      <c r="CC98" s="125"/>
      <c r="CD98" s="125"/>
      <c r="CE98" s="125"/>
      <c r="CF98" s="125"/>
      <c r="CG98" s="125"/>
      <c r="CH98" s="125"/>
      <c r="CI98" s="125"/>
      <c r="CJ98" s="125"/>
      <c r="CK98" s="125"/>
      <c r="CL98" s="125"/>
      <c r="CM98" s="125"/>
      <c r="CN98" s="125"/>
      <c r="CO98" s="125"/>
      <c r="CP98" s="125"/>
      <c r="CQ98" s="125"/>
      <c r="CR98" s="125"/>
      <c r="CS98" s="125"/>
      <c r="CT98" s="125"/>
      <c r="CU98" s="125"/>
      <c r="CV98" s="125"/>
      <c r="CW98" s="125"/>
      <c r="CX98" s="125"/>
      <c r="CY98" s="125"/>
      <c r="CZ98" s="125"/>
      <c r="DA98" s="125"/>
      <c r="DB98" s="125"/>
      <c r="DC98" s="125"/>
      <c r="DD98" s="125"/>
      <c r="DE98" s="125"/>
      <c r="DF98" s="125"/>
      <c r="DG98" s="125"/>
      <c r="DH98" s="125"/>
      <c r="DI98" s="125"/>
      <c r="DJ98" s="125"/>
      <c r="DK98" s="125"/>
      <c r="DL98" s="125"/>
      <c r="DM98" s="125"/>
      <c r="DN98" s="125"/>
      <c r="DO98" s="125"/>
      <c r="DP98" s="125"/>
      <c r="DQ98" s="125"/>
      <c r="DR98" s="125"/>
    </row>
    <row r="99" spans="1:122" ht="15">
      <c r="A99" s="125"/>
      <c r="B99" s="145"/>
      <c r="C99" s="9"/>
      <c r="D99" s="7"/>
      <c r="E99" s="7"/>
      <c r="F99" s="7"/>
      <c r="G99" s="7"/>
      <c r="H99" s="7"/>
      <c r="I99" s="8"/>
      <c r="J99" s="8"/>
      <c r="K99" s="8"/>
      <c r="L99" s="8"/>
      <c r="M99" s="8"/>
      <c r="N99" s="8"/>
      <c r="O99" s="8"/>
      <c r="P99" s="127"/>
      <c r="R99" s="144"/>
      <c r="S99" s="127"/>
      <c r="T99" s="125"/>
      <c r="U99" s="125"/>
      <c r="V99" s="125"/>
      <c r="W99" s="125"/>
      <c r="X99" s="125"/>
      <c r="Y99" s="125"/>
      <c r="Z99" s="125"/>
      <c r="AA99" s="125"/>
      <c r="AB99" s="125"/>
      <c r="AC99" s="125"/>
      <c r="AD99" s="125"/>
      <c r="AE99" s="125"/>
      <c r="AF99" s="125"/>
      <c r="AG99" s="125"/>
      <c r="AH99" s="125"/>
      <c r="AI99" s="125"/>
      <c r="AJ99" s="125"/>
      <c r="AK99" s="125"/>
      <c r="AL99" s="125"/>
      <c r="AM99" s="125"/>
      <c r="AN99" s="125"/>
      <c r="AO99" s="125"/>
      <c r="AP99" s="125"/>
      <c r="AQ99" s="125"/>
      <c r="AR99" s="125"/>
      <c r="AS99" s="125"/>
      <c r="AT99" s="125"/>
      <c r="AU99" s="125"/>
      <c r="AV99" s="125"/>
      <c r="AW99" s="125"/>
      <c r="AX99" s="125"/>
      <c r="AY99" s="125"/>
      <c r="AZ99" s="125"/>
      <c r="BA99" s="125"/>
      <c r="BB99" s="125"/>
      <c r="BC99" s="125"/>
      <c r="BD99" s="125"/>
      <c r="BE99" s="125"/>
      <c r="BF99" s="125"/>
      <c r="BG99" s="125"/>
      <c r="BH99" s="125"/>
      <c r="BI99" s="125"/>
      <c r="BJ99" s="125"/>
      <c r="BK99" s="125"/>
      <c r="BL99" s="125"/>
      <c r="BM99" s="125"/>
      <c r="BN99" s="125"/>
      <c r="BO99" s="125"/>
      <c r="BP99" s="125"/>
      <c r="BQ99" s="125"/>
      <c r="BR99" s="125"/>
      <c r="BS99" s="125"/>
      <c r="BT99" s="125"/>
      <c r="BU99" s="125"/>
      <c r="BV99" s="125"/>
      <c r="BW99" s="125"/>
      <c r="BX99" s="125"/>
      <c r="BY99" s="125"/>
      <c r="BZ99" s="125"/>
      <c r="CA99" s="125"/>
      <c r="CB99" s="125"/>
      <c r="CC99" s="125"/>
      <c r="CD99" s="125"/>
      <c r="CE99" s="125"/>
      <c r="CF99" s="125"/>
      <c r="CG99" s="125"/>
      <c r="CH99" s="125"/>
      <c r="CI99" s="125"/>
      <c r="CJ99" s="125"/>
      <c r="CK99" s="125"/>
      <c r="CL99" s="125"/>
      <c r="CM99" s="125"/>
      <c r="CN99" s="125"/>
      <c r="CO99" s="125"/>
      <c r="CP99" s="125"/>
      <c r="CQ99" s="125"/>
      <c r="CR99" s="125"/>
      <c r="CS99" s="125"/>
      <c r="CT99" s="125"/>
      <c r="CU99" s="125"/>
      <c r="CV99" s="125"/>
      <c r="CW99" s="125"/>
      <c r="CX99" s="125"/>
      <c r="CY99" s="125"/>
      <c r="CZ99" s="125"/>
      <c r="DA99" s="125"/>
      <c r="DB99" s="125"/>
      <c r="DC99" s="125"/>
      <c r="DD99" s="125"/>
      <c r="DE99" s="125"/>
      <c r="DF99" s="125"/>
      <c r="DG99" s="125"/>
      <c r="DH99" s="125"/>
      <c r="DI99" s="125"/>
      <c r="DJ99" s="125"/>
      <c r="DK99" s="125"/>
      <c r="DL99" s="125"/>
      <c r="DM99" s="125"/>
      <c r="DN99" s="125"/>
      <c r="DO99" s="125"/>
      <c r="DP99" s="125"/>
      <c r="DQ99" s="125"/>
      <c r="DR99" s="125"/>
    </row>
    <row r="100" spans="1:122" ht="15">
      <c r="A100" s="125"/>
      <c r="B100" s="145"/>
      <c r="C100" s="9"/>
      <c r="D100" s="7"/>
      <c r="E100" s="7"/>
      <c r="F100" s="7"/>
      <c r="G100" s="7"/>
      <c r="H100" s="7"/>
      <c r="I100" s="8"/>
      <c r="J100" s="8"/>
      <c r="K100" s="8"/>
      <c r="L100" s="8"/>
      <c r="M100" s="8"/>
      <c r="N100" s="8"/>
      <c r="O100" s="8"/>
      <c r="P100" s="127"/>
      <c r="R100" s="144"/>
      <c r="S100" s="127"/>
      <c r="T100" s="125"/>
      <c r="U100" s="125"/>
      <c r="V100" s="125"/>
      <c r="W100" s="125"/>
      <c r="X100" s="125"/>
      <c r="Y100" s="125"/>
      <c r="Z100" s="125"/>
      <c r="AA100" s="125"/>
      <c r="AB100" s="125"/>
      <c r="AC100" s="125"/>
      <c r="AD100" s="125"/>
      <c r="AE100" s="125"/>
      <c r="AF100" s="125"/>
      <c r="AG100" s="125"/>
      <c r="AH100" s="125"/>
      <c r="AI100" s="125"/>
      <c r="AJ100" s="125"/>
      <c r="AK100" s="125"/>
      <c r="AL100" s="125"/>
      <c r="AM100" s="125"/>
      <c r="AN100" s="125"/>
      <c r="AO100" s="125"/>
      <c r="AP100" s="125"/>
      <c r="AQ100" s="125"/>
      <c r="AR100" s="125"/>
      <c r="AS100" s="125"/>
      <c r="AT100" s="125"/>
      <c r="AU100" s="125"/>
      <c r="AV100" s="125"/>
      <c r="AW100" s="125"/>
      <c r="AX100" s="125"/>
      <c r="AY100" s="125"/>
      <c r="AZ100" s="125"/>
      <c r="BA100" s="125"/>
      <c r="BB100" s="125"/>
      <c r="BC100" s="125"/>
      <c r="BD100" s="125"/>
      <c r="BE100" s="125"/>
      <c r="BF100" s="125"/>
      <c r="BG100" s="125"/>
      <c r="BH100" s="125"/>
      <c r="BI100" s="125"/>
      <c r="BJ100" s="125"/>
      <c r="BK100" s="125"/>
      <c r="BL100" s="125"/>
      <c r="BM100" s="125"/>
      <c r="BN100" s="125"/>
      <c r="BO100" s="125"/>
      <c r="BP100" s="125"/>
      <c r="BQ100" s="125"/>
      <c r="BR100" s="125"/>
      <c r="BS100" s="125"/>
      <c r="BT100" s="125"/>
      <c r="BU100" s="125"/>
      <c r="BV100" s="125"/>
      <c r="BW100" s="125"/>
      <c r="BX100" s="125"/>
      <c r="BY100" s="125"/>
      <c r="BZ100" s="125"/>
      <c r="CA100" s="125"/>
      <c r="CB100" s="125"/>
      <c r="CC100" s="125"/>
      <c r="CD100" s="125"/>
      <c r="CE100" s="125"/>
      <c r="CF100" s="125"/>
      <c r="CG100" s="125"/>
      <c r="CH100" s="125"/>
      <c r="CI100" s="125"/>
      <c r="CJ100" s="125"/>
      <c r="CK100" s="125"/>
      <c r="CL100" s="125"/>
      <c r="CM100" s="125"/>
      <c r="CN100" s="125"/>
      <c r="CO100" s="125"/>
      <c r="CP100" s="125"/>
      <c r="CQ100" s="125"/>
      <c r="CR100" s="125"/>
      <c r="CS100" s="125"/>
      <c r="CT100" s="125"/>
      <c r="CU100" s="125"/>
      <c r="CV100" s="125"/>
      <c r="CW100" s="125"/>
      <c r="CX100" s="125"/>
      <c r="CY100" s="125"/>
      <c r="CZ100" s="125"/>
      <c r="DA100" s="125"/>
      <c r="DB100" s="125"/>
      <c r="DC100" s="125"/>
      <c r="DD100" s="125"/>
      <c r="DE100" s="125"/>
      <c r="DF100" s="125"/>
      <c r="DG100" s="125"/>
      <c r="DH100" s="125"/>
      <c r="DI100" s="125"/>
      <c r="DJ100" s="125"/>
      <c r="DK100" s="125"/>
      <c r="DL100" s="125"/>
      <c r="DM100" s="125"/>
      <c r="DN100" s="125"/>
      <c r="DO100" s="125"/>
      <c r="DP100" s="125"/>
      <c r="DQ100" s="125"/>
      <c r="DR100" s="125"/>
    </row>
    <row r="101" spans="1:122" ht="15">
      <c r="A101" s="125"/>
      <c r="B101" s="145"/>
      <c r="C101" s="9"/>
      <c r="D101" s="7"/>
      <c r="E101" s="7"/>
      <c r="F101" s="7"/>
      <c r="G101" s="7"/>
      <c r="H101" s="7"/>
      <c r="I101" s="8"/>
      <c r="J101" s="8"/>
      <c r="K101" s="8"/>
      <c r="L101" s="8"/>
      <c r="M101" s="8"/>
      <c r="N101" s="8"/>
      <c r="O101" s="8"/>
      <c r="P101" s="127"/>
      <c r="R101" s="144"/>
      <c r="S101" s="127"/>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c r="BP101" s="125"/>
      <c r="BQ101" s="125"/>
      <c r="BR101" s="125"/>
      <c r="BS101" s="125"/>
      <c r="BT101" s="125"/>
      <c r="BU101" s="125"/>
      <c r="BV101" s="125"/>
      <c r="BW101" s="125"/>
      <c r="BX101" s="125"/>
      <c r="BY101" s="125"/>
      <c r="BZ101" s="125"/>
      <c r="CA101" s="125"/>
      <c r="CB101" s="125"/>
      <c r="CC101" s="125"/>
      <c r="CD101" s="125"/>
      <c r="CE101" s="125"/>
      <c r="CF101" s="125"/>
      <c r="CG101" s="125"/>
      <c r="CH101" s="125"/>
      <c r="CI101" s="125"/>
      <c r="CJ101" s="125"/>
      <c r="CK101" s="125"/>
      <c r="CL101" s="125"/>
      <c r="CM101" s="125"/>
      <c r="CN101" s="125"/>
      <c r="CO101" s="125"/>
      <c r="CP101" s="125"/>
      <c r="CQ101" s="125"/>
      <c r="CR101" s="125"/>
      <c r="CS101" s="125"/>
      <c r="CT101" s="125"/>
      <c r="CU101" s="125"/>
      <c r="CV101" s="125"/>
      <c r="CW101" s="125"/>
      <c r="CX101" s="125"/>
      <c r="CY101" s="125"/>
      <c r="CZ101" s="125"/>
      <c r="DA101" s="125"/>
      <c r="DB101" s="125"/>
      <c r="DC101" s="125"/>
      <c r="DD101" s="125"/>
      <c r="DE101" s="125"/>
      <c r="DF101" s="125"/>
      <c r="DG101" s="125"/>
      <c r="DH101" s="125"/>
      <c r="DI101" s="125"/>
      <c r="DJ101" s="125"/>
      <c r="DK101" s="125"/>
      <c r="DL101" s="125"/>
      <c r="DM101" s="125"/>
      <c r="DN101" s="125"/>
      <c r="DO101" s="125"/>
      <c r="DP101" s="125"/>
      <c r="DQ101" s="125"/>
      <c r="DR101" s="125"/>
    </row>
    <row r="102" spans="1:122" ht="15">
      <c r="A102" s="125"/>
      <c r="B102" s="145"/>
      <c r="C102" s="9"/>
      <c r="D102" s="7"/>
      <c r="E102" s="7"/>
      <c r="F102" s="7"/>
      <c r="G102" s="7"/>
      <c r="H102" s="7"/>
      <c r="I102" s="8"/>
      <c r="J102" s="8"/>
      <c r="K102" s="8"/>
      <c r="L102" s="8"/>
      <c r="M102" s="8"/>
      <c r="N102" s="8"/>
      <c r="O102" s="8"/>
      <c r="P102" s="127"/>
      <c r="R102" s="144"/>
      <c r="S102" s="127"/>
      <c r="T102" s="125"/>
      <c r="U102" s="125"/>
      <c r="V102" s="125"/>
      <c r="W102" s="125"/>
      <c r="X102" s="125"/>
      <c r="Y102" s="125"/>
      <c r="Z102" s="125"/>
      <c r="AA102" s="125"/>
      <c r="AB102" s="125"/>
      <c r="AC102" s="125"/>
      <c r="AD102" s="125"/>
      <c r="AE102" s="125"/>
      <c r="AF102" s="125"/>
      <c r="AG102" s="125"/>
      <c r="AH102" s="125"/>
      <c r="AI102" s="125"/>
      <c r="AJ102" s="125"/>
      <c r="AK102" s="125"/>
      <c r="AL102" s="125"/>
      <c r="AM102" s="125"/>
      <c r="AN102" s="125"/>
      <c r="AO102" s="125"/>
      <c r="AP102" s="125"/>
      <c r="AQ102" s="125"/>
      <c r="AR102" s="125"/>
      <c r="AS102" s="125"/>
      <c r="AT102" s="125"/>
      <c r="AU102" s="125"/>
      <c r="AV102" s="125"/>
      <c r="AW102" s="125"/>
      <c r="AX102" s="125"/>
      <c r="AY102" s="125"/>
      <c r="AZ102" s="125"/>
      <c r="BA102" s="125"/>
      <c r="BB102" s="125"/>
      <c r="BC102" s="125"/>
      <c r="BD102" s="125"/>
      <c r="BE102" s="125"/>
      <c r="BF102" s="125"/>
      <c r="BG102" s="125"/>
      <c r="BH102" s="125"/>
      <c r="BI102" s="125"/>
      <c r="BJ102" s="125"/>
      <c r="BK102" s="125"/>
      <c r="BL102" s="125"/>
      <c r="BM102" s="125"/>
      <c r="BN102" s="125"/>
      <c r="BO102" s="125"/>
      <c r="BP102" s="125"/>
      <c r="BQ102" s="125"/>
      <c r="BR102" s="125"/>
      <c r="BS102" s="125"/>
      <c r="BT102" s="125"/>
      <c r="BU102" s="125"/>
      <c r="BV102" s="125"/>
      <c r="BW102" s="125"/>
      <c r="BX102" s="125"/>
      <c r="BY102" s="125"/>
      <c r="BZ102" s="125"/>
      <c r="CA102" s="125"/>
      <c r="CB102" s="125"/>
      <c r="CC102" s="125"/>
      <c r="CD102" s="125"/>
      <c r="CE102" s="125"/>
      <c r="CF102" s="125"/>
      <c r="CG102" s="125"/>
      <c r="CH102" s="125"/>
      <c r="CI102" s="125"/>
      <c r="CJ102" s="125"/>
      <c r="CK102" s="125"/>
      <c r="CL102" s="125"/>
      <c r="CM102" s="125"/>
      <c r="CN102" s="125"/>
      <c r="CO102" s="125"/>
      <c r="CP102" s="125"/>
      <c r="CQ102" s="125"/>
      <c r="CR102" s="125"/>
      <c r="CS102" s="125"/>
      <c r="CT102" s="125"/>
      <c r="CU102" s="125"/>
      <c r="CV102" s="125"/>
      <c r="CW102" s="125"/>
      <c r="CX102" s="125"/>
      <c r="CY102" s="125"/>
      <c r="CZ102" s="125"/>
      <c r="DA102" s="125"/>
      <c r="DB102" s="125"/>
      <c r="DC102" s="125"/>
      <c r="DD102" s="125"/>
      <c r="DE102" s="125"/>
      <c r="DF102" s="125"/>
      <c r="DG102" s="125"/>
      <c r="DH102" s="125"/>
      <c r="DI102" s="125"/>
      <c r="DJ102" s="125"/>
      <c r="DK102" s="125"/>
      <c r="DL102" s="125"/>
      <c r="DM102" s="125"/>
      <c r="DN102" s="125"/>
      <c r="DO102" s="125"/>
      <c r="DP102" s="125"/>
      <c r="DQ102" s="125"/>
      <c r="DR102" s="125"/>
    </row>
    <row r="103" spans="1:122" ht="15">
      <c r="A103" s="125"/>
      <c r="B103" s="145"/>
      <c r="C103" s="9"/>
      <c r="D103" s="7"/>
      <c r="E103" s="7"/>
      <c r="F103" s="7"/>
      <c r="G103" s="7"/>
      <c r="H103" s="7"/>
      <c r="I103" s="8"/>
      <c r="J103" s="8"/>
      <c r="K103" s="8"/>
      <c r="L103" s="8"/>
      <c r="M103" s="8"/>
      <c r="N103" s="8"/>
      <c r="O103" s="8"/>
      <c r="P103" s="127"/>
      <c r="R103" s="144"/>
      <c r="S103" s="127"/>
      <c r="T103" s="125"/>
      <c r="U103" s="125"/>
      <c r="V103" s="125"/>
      <c r="W103" s="125"/>
      <c r="X103" s="125"/>
      <c r="Y103" s="125"/>
      <c r="Z103" s="125"/>
      <c r="AA103" s="125"/>
      <c r="AB103" s="125"/>
      <c r="AC103" s="125"/>
      <c r="AD103" s="125"/>
      <c r="AE103" s="125"/>
      <c r="AF103" s="125"/>
      <c r="AG103" s="125"/>
      <c r="AH103" s="125"/>
      <c r="AI103" s="125"/>
      <c r="AJ103" s="125"/>
      <c r="AK103" s="125"/>
      <c r="AL103" s="125"/>
      <c r="AM103" s="125"/>
      <c r="AN103" s="125"/>
      <c r="AO103" s="125"/>
      <c r="AP103" s="125"/>
      <c r="AQ103" s="125"/>
      <c r="AR103" s="125"/>
      <c r="AS103" s="125"/>
      <c r="AT103" s="125"/>
      <c r="AU103" s="125"/>
      <c r="AV103" s="125"/>
      <c r="AW103" s="125"/>
      <c r="AX103" s="125"/>
      <c r="AY103" s="125"/>
      <c r="AZ103" s="125"/>
      <c r="BA103" s="125"/>
      <c r="BB103" s="125"/>
      <c r="BC103" s="125"/>
      <c r="BD103" s="125"/>
      <c r="BE103" s="125"/>
      <c r="BF103" s="125"/>
      <c r="BG103" s="125"/>
      <c r="BH103" s="125"/>
      <c r="BI103" s="125"/>
      <c r="BJ103" s="125"/>
      <c r="BK103" s="125"/>
      <c r="BL103" s="125"/>
      <c r="BM103" s="125"/>
      <c r="BN103" s="125"/>
      <c r="BO103" s="125"/>
      <c r="BP103" s="125"/>
      <c r="BQ103" s="125"/>
      <c r="BR103" s="125"/>
      <c r="BS103" s="125"/>
      <c r="BT103" s="125"/>
      <c r="BU103" s="125"/>
      <c r="BV103" s="125"/>
      <c r="BW103" s="125"/>
      <c r="BX103" s="125"/>
      <c r="BY103" s="125"/>
      <c r="BZ103" s="125"/>
      <c r="CA103" s="125"/>
      <c r="CB103" s="125"/>
      <c r="CC103" s="125"/>
      <c r="CD103" s="125"/>
      <c r="CE103" s="125"/>
      <c r="CF103" s="125"/>
      <c r="CG103" s="125"/>
      <c r="CH103" s="125"/>
      <c r="CI103" s="125"/>
      <c r="CJ103" s="125"/>
      <c r="CK103" s="125"/>
      <c r="CL103" s="125"/>
      <c r="CM103" s="125"/>
      <c r="CN103" s="125"/>
      <c r="CO103" s="125"/>
      <c r="CP103" s="125"/>
      <c r="CQ103" s="125"/>
      <c r="CR103" s="125"/>
      <c r="CS103" s="125"/>
      <c r="CT103" s="125"/>
      <c r="CU103" s="125"/>
      <c r="CV103" s="125"/>
      <c r="CW103" s="125"/>
      <c r="CX103" s="125"/>
      <c r="CY103" s="125"/>
      <c r="CZ103" s="125"/>
      <c r="DA103" s="125"/>
      <c r="DB103" s="125"/>
      <c r="DC103" s="125"/>
      <c r="DD103" s="125"/>
      <c r="DE103" s="125"/>
      <c r="DF103" s="125"/>
      <c r="DG103" s="125"/>
      <c r="DH103" s="125"/>
      <c r="DI103" s="125"/>
      <c r="DJ103" s="125"/>
      <c r="DK103" s="125"/>
      <c r="DL103" s="125"/>
      <c r="DM103" s="125"/>
      <c r="DN103" s="125"/>
      <c r="DO103" s="125"/>
      <c r="DP103" s="125"/>
      <c r="DQ103" s="125"/>
      <c r="DR103" s="125"/>
    </row>
    <row r="104" spans="1:122" ht="15">
      <c r="A104" s="125"/>
      <c r="B104" s="145"/>
      <c r="C104" s="9"/>
      <c r="D104" s="7"/>
      <c r="E104" s="7"/>
      <c r="F104" s="7"/>
      <c r="G104" s="7"/>
      <c r="H104" s="7"/>
      <c r="I104" s="8"/>
      <c r="J104" s="8"/>
      <c r="K104" s="8"/>
      <c r="L104" s="8"/>
      <c r="M104" s="8"/>
      <c r="N104" s="8"/>
      <c r="O104" s="8"/>
      <c r="P104" s="127"/>
      <c r="R104" s="144"/>
      <c r="S104" s="127"/>
      <c r="T104" s="125"/>
      <c r="U104" s="125"/>
      <c r="V104" s="125"/>
      <c r="W104" s="125"/>
      <c r="X104" s="125"/>
      <c r="Y104" s="125"/>
      <c r="Z104" s="125"/>
      <c r="AA104" s="125"/>
      <c r="AB104" s="125"/>
      <c r="AC104" s="125"/>
      <c r="AD104" s="125"/>
      <c r="AE104" s="125"/>
      <c r="AF104" s="125"/>
      <c r="AG104" s="125"/>
      <c r="AH104" s="125"/>
      <c r="AI104" s="125"/>
      <c r="AJ104" s="125"/>
      <c r="AK104" s="125"/>
      <c r="AL104" s="125"/>
      <c r="AM104" s="125"/>
      <c r="AN104" s="125"/>
      <c r="AO104" s="125"/>
      <c r="AP104" s="125"/>
      <c r="AQ104" s="125"/>
      <c r="AR104" s="125"/>
      <c r="AS104" s="125"/>
      <c r="AT104" s="125"/>
      <c r="AU104" s="125"/>
      <c r="AV104" s="125"/>
      <c r="AW104" s="125"/>
      <c r="AX104" s="125"/>
      <c r="AY104" s="125"/>
      <c r="AZ104" s="125"/>
      <c r="BA104" s="125"/>
      <c r="BB104" s="125"/>
      <c r="BC104" s="125"/>
      <c r="BD104" s="125"/>
      <c r="BE104" s="125"/>
      <c r="BF104" s="125"/>
      <c r="BG104" s="125"/>
      <c r="BH104" s="125"/>
      <c r="BI104" s="125"/>
      <c r="BJ104" s="125"/>
      <c r="BK104" s="125"/>
      <c r="BL104" s="125"/>
      <c r="BM104" s="125"/>
      <c r="BN104" s="125"/>
      <c r="BO104" s="125"/>
      <c r="BP104" s="125"/>
      <c r="BQ104" s="125"/>
      <c r="BR104" s="125"/>
      <c r="BS104" s="125"/>
      <c r="BT104" s="125"/>
      <c r="BU104" s="125"/>
      <c r="BV104" s="125"/>
      <c r="BW104" s="125"/>
      <c r="BX104" s="125"/>
      <c r="BY104" s="125"/>
      <c r="BZ104" s="125"/>
      <c r="CA104" s="125"/>
      <c r="CB104" s="125"/>
      <c r="CC104" s="125"/>
      <c r="CD104" s="125"/>
      <c r="CE104" s="125"/>
      <c r="CF104" s="125"/>
      <c r="CG104" s="125"/>
      <c r="CH104" s="125"/>
      <c r="CI104" s="125"/>
      <c r="CJ104" s="125"/>
      <c r="CK104" s="125"/>
      <c r="CL104" s="125"/>
      <c r="CM104" s="125"/>
      <c r="CN104" s="125"/>
      <c r="CO104" s="125"/>
      <c r="CP104" s="125"/>
      <c r="CQ104" s="125"/>
      <c r="CR104" s="125"/>
      <c r="CS104" s="125"/>
      <c r="CT104" s="125"/>
      <c r="CU104" s="125"/>
      <c r="CV104" s="125"/>
      <c r="CW104" s="125"/>
      <c r="CX104" s="125"/>
      <c r="CY104" s="125"/>
      <c r="CZ104" s="125"/>
      <c r="DA104" s="125"/>
      <c r="DB104" s="125"/>
      <c r="DC104" s="125"/>
      <c r="DD104" s="125"/>
      <c r="DE104" s="125"/>
      <c r="DF104" s="125"/>
      <c r="DG104" s="125"/>
      <c r="DH104" s="125"/>
      <c r="DI104" s="125"/>
      <c r="DJ104" s="125"/>
      <c r="DK104" s="125"/>
      <c r="DL104" s="125"/>
      <c r="DM104" s="125"/>
      <c r="DN104" s="125"/>
      <c r="DO104" s="125"/>
      <c r="DP104" s="125"/>
      <c r="DQ104" s="125"/>
      <c r="DR104" s="125"/>
    </row>
    <row r="105" spans="1:122" ht="15">
      <c r="A105" s="125"/>
      <c r="B105" s="145"/>
      <c r="C105" s="9"/>
      <c r="D105" s="7"/>
      <c r="E105" s="7"/>
      <c r="F105" s="7"/>
      <c r="G105" s="7"/>
      <c r="H105" s="7"/>
      <c r="I105" s="8"/>
      <c r="J105" s="8"/>
      <c r="K105" s="8"/>
      <c r="L105" s="8"/>
      <c r="M105" s="8"/>
      <c r="N105" s="8"/>
      <c r="O105" s="8"/>
      <c r="P105" s="127"/>
      <c r="R105" s="144"/>
      <c r="S105" s="127"/>
      <c r="T105" s="125"/>
      <c r="U105" s="125"/>
      <c r="V105" s="125"/>
      <c r="W105" s="125"/>
      <c r="X105" s="125"/>
      <c r="Y105" s="125"/>
      <c r="Z105" s="125"/>
      <c r="AA105" s="125"/>
      <c r="AB105" s="125"/>
      <c r="AC105" s="125"/>
      <c r="AD105" s="125"/>
      <c r="AE105" s="125"/>
      <c r="AF105" s="125"/>
      <c r="AG105" s="125"/>
      <c r="AH105" s="125"/>
      <c r="AI105" s="125"/>
      <c r="AJ105" s="125"/>
      <c r="AK105" s="125"/>
      <c r="AL105" s="125"/>
      <c r="AM105" s="125"/>
      <c r="AN105" s="125"/>
      <c r="AO105" s="125"/>
      <c r="AP105" s="125"/>
      <c r="AQ105" s="125"/>
      <c r="AR105" s="125"/>
      <c r="AS105" s="125"/>
      <c r="AT105" s="125"/>
      <c r="AU105" s="125"/>
      <c r="AV105" s="125"/>
      <c r="AW105" s="125"/>
      <c r="AX105" s="125"/>
      <c r="AY105" s="125"/>
      <c r="AZ105" s="125"/>
      <c r="BA105" s="125"/>
      <c r="BB105" s="125"/>
      <c r="BC105" s="125"/>
      <c r="BD105" s="125"/>
      <c r="BE105" s="125"/>
      <c r="BF105" s="125"/>
      <c r="BG105" s="125"/>
      <c r="BH105" s="125"/>
      <c r="BI105" s="125"/>
      <c r="BJ105" s="125"/>
      <c r="BK105" s="125"/>
      <c r="BL105" s="125"/>
      <c r="BM105" s="125"/>
      <c r="BN105" s="125"/>
      <c r="BO105" s="125"/>
      <c r="BP105" s="125"/>
      <c r="BQ105" s="125"/>
      <c r="BR105" s="125"/>
      <c r="BS105" s="125"/>
      <c r="BT105" s="125"/>
      <c r="BU105" s="125"/>
      <c r="BV105" s="125"/>
      <c r="BW105" s="125"/>
      <c r="BX105" s="125"/>
      <c r="BY105" s="125"/>
      <c r="BZ105" s="125"/>
      <c r="CA105" s="125"/>
      <c r="CB105" s="125"/>
      <c r="CC105" s="125"/>
      <c r="CD105" s="125"/>
      <c r="CE105" s="125"/>
      <c r="CF105" s="125"/>
      <c r="CG105" s="125"/>
      <c r="CH105" s="125"/>
      <c r="CI105" s="125"/>
      <c r="CJ105" s="125"/>
      <c r="CK105" s="125"/>
      <c r="CL105" s="125"/>
      <c r="CM105" s="125"/>
      <c r="CN105" s="125"/>
      <c r="CO105" s="125"/>
      <c r="CP105" s="125"/>
      <c r="CQ105" s="125"/>
      <c r="CR105" s="125"/>
      <c r="CS105" s="125"/>
      <c r="CT105" s="125"/>
      <c r="CU105" s="125"/>
      <c r="CV105" s="125"/>
      <c r="CW105" s="125"/>
      <c r="CX105" s="125"/>
      <c r="CY105" s="125"/>
      <c r="CZ105" s="125"/>
      <c r="DA105" s="125"/>
      <c r="DB105" s="125"/>
      <c r="DC105" s="125"/>
      <c r="DD105" s="125"/>
      <c r="DE105" s="125"/>
      <c r="DF105" s="125"/>
      <c r="DG105" s="125"/>
      <c r="DH105" s="125"/>
      <c r="DI105" s="125"/>
      <c r="DJ105" s="125"/>
      <c r="DK105" s="125"/>
      <c r="DL105" s="125"/>
      <c r="DM105" s="125"/>
      <c r="DN105" s="125"/>
      <c r="DO105" s="125"/>
      <c r="DP105" s="125"/>
      <c r="DQ105" s="125"/>
      <c r="DR105" s="125"/>
    </row>
    <row r="106" spans="1:122">
      <c r="Q106" s="15"/>
    </row>
    <row r="107" spans="1:122">
      <c r="Q107" s="15"/>
    </row>
    <row r="108" spans="1:122">
      <c r="Q108" s="15"/>
    </row>
    <row r="109" spans="1:122">
      <c r="Q109" s="15"/>
    </row>
    <row r="110" spans="1:122">
      <c r="Q110" s="15"/>
    </row>
    <row r="111" spans="1:122">
      <c r="Q111" s="15"/>
    </row>
    <row r="112" spans="1:122">
      <c r="Q112" s="15"/>
    </row>
    <row r="113" spans="17:17">
      <c r="Q113" s="15"/>
    </row>
    <row r="114" spans="17:17">
      <c r="Q114" s="15"/>
    </row>
    <row r="115" spans="17:17">
      <c r="Q115" s="15"/>
    </row>
    <row r="116" spans="17:17">
      <c r="Q116" s="15"/>
    </row>
    <row r="117" spans="17:17">
      <c r="Q117" s="15"/>
    </row>
    <row r="118" spans="17:17">
      <c r="Q118" s="15"/>
    </row>
    <row r="119" spans="17:17">
      <c r="Q119" s="15"/>
    </row>
    <row r="120" spans="17:17">
      <c r="Q120" s="15"/>
    </row>
    <row r="121" spans="17:17">
      <c r="Q121" s="15"/>
    </row>
    <row r="122" spans="17:17">
      <c r="Q122" s="15"/>
    </row>
    <row r="123" spans="17:17">
      <c r="Q123" s="15"/>
    </row>
    <row r="124" spans="17:17">
      <c r="Q124" s="15"/>
    </row>
    <row r="125" spans="17:17">
      <c r="Q125" s="15"/>
    </row>
    <row r="126" spans="17:17">
      <c r="Q126" s="15"/>
    </row>
    <row r="127" spans="17:17">
      <c r="Q127" s="15"/>
    </row>
    <row r="128" spans="17:17">
      <c r="Q128" s="15"/>
    </row>
    <row r="129" spans="17:17">
      <c r="Q129" s="15"/>
    </row>
    <row r="130" spans="17:17">
      <c r="Q130" s="15"/>
    </row>
    <row r="131" spans="17:17">
      <c r="Q131" s="15"/>
    </row>
    <row r="132" spans="17:17">
      <c r="Q132" s="15"/>
    </row>
    <row r="133" spans="17:17">
      <c r="Q133" s="15"/>
    </row>
    <row r="134" spans="17:17">
      <c r="Q134" s="15"/>
    </row>
    <row r="135" spans="17:17">
      <c r="Q135" s="15"/>
    </row>
    <row r="136" spans="17:17">
      <c r="Q136" s="15"/>
    </row>
    <row r="137" spans="17:17">
      <c r="Q137" s="15"/>
    </row>
    <row r="138" spans="17:17">
      <c r="Q138" s="15"/>
    </row>
    <row r="139" spans="17:17">
      <c r="Q139" s="15"/>
    </row>
    <row r="140" spans="17:17">
      <c r="Q140" s="15"/>
    </row>
    <row r="141" spans="17:17">
      <c r="Q141" s="15"/>
    </row>
    <row r="142" spans="17:17">
      <c r="Q142" s="15"/>
    </row>
    <row r="143" spans="17:17">
      <c r="Q143" s="15"/>
    </row>
    <row r="144" spans="17:17">
      <c r="Q144" s="15"/>
    </row>
    <row r="145" spans="17:17">
      <c r="Q145" s="15"/>
    </row>
    <row r="146" spans="17:17">
      <c r="Q146" s="15"/>
    </row>
    <row r="147" spans="17:17">
      <c r="Q147" s="15"/>
    </row>
    <row r="148" spans="17:17">
      <c r="Q148" s="15"/>
    </row>
    <row r="149" spans="17:17">
      <c r="Q149" s="15"/>
    </row>
    <row r="150" spans="17:17">
      <c r="Q150" s="15"/>
    </row>
    <row r="151" spans="17:17">
      <c r="Q151" s="15"/>
    </row>
    <row r="152" spans="17:17">
      <c r="Q152" s="15"/>
    </row>
    <row r="153" spans="17:17">
      <c r="Q153" s="15"/>
    </row>
    <row r="154" spans="17:17">
      <c r="Q154" s="15"/>
    </row>
    <row r="155" spans="17:17">
      <c r="Q155" s="15"/>
    </row>
    <row r="156" spans="17:17">
      <c r="Q156" s="15"/>
    </row>
    <row r="157" spans="17:17">
      <c r="Q157" s="15"/>
    </row>
    <row r="158" spans="17:17">
      <c r="Q158" s="15"/>
    </row>
    <row r="159" spans="17:17">
      <c r="Q159" s="15"/>
    </row>
    <row r="160" spans="17:17">
      <c r="Q160" s="15"/>
    </row>
    <row r="161" spans="17:17">
      <c r="Q161" s="15"/>
    </row>
    <row r="162" spans="17:17">
      <c r="Q162" s="15"/>
    </row>
    <row r="163" spans="17:17">
      <c r="Q163" s="15"/>
    </row>
    <row r="164" spans="17:17">
      <c r="Q164" s="15"/>
    </row>
    <row r="165" spans="17:17">
      <c r="Q165" s="15"/>
    </row>
    <row r="166" spans="17:17">
      <c r="Q166" s="15"/>
    </row>
    <row r="167" spans="17:17">
      <c r="Q167" s="15"/>
    </row>
    <row r="168" spans="17:17">
      <c r="Q168" s="15"/>
    </row>
    <row r="169" spans="17:17">
      <c r="Q169" s="15"/>
    </row>
    <row r="170" spans="17:17">
      <c r="Q170" s="15"/>
    </row>
    <row r="171" spans="17:17">
      <c r="Q171" s="15"/>
    </row>
    <row r="172" spans="17:17">
      <c r="Q172" s="15"/>
    </row>
    <row r="173" spans="17:17">
      <c r="Q173" s="15"/>
    </row>
    <row r="174" spans="17:17">
      <c r="Q174" s="15"/>
    </row>
    <row r="175" spans="17:17">
      <c r="Q175" s="15"/>
    </row>
    <row r="176" spans="17:17">
      <c r="Q176" s="15"/>
    </row>
    <row r="177" spans="17:17">
      <c r="Q177" s="15"/>
    </row>
    <row r="178" spans="17:17">
      <c r="Q178" s="15"/>
    </row>
    <row r="179" spans="17:17">
      <c r="Q179" s="15"/>
    </row>
    <row r="180" spans="17:17">
      <c r="Q180" s="15"/>
    </row>
    <row r="181" spans="17:17">
      <c r="Q181" s="15"/>
    </row>
    <row r="182" spans="17:17">
      <c r="Q182" s="15"/>
    </row>
    <row r="183" spans="17:17">
      <c r="Q183" s="15"/>
    </row>
    <row r="184" spans="17:17">
      <c r="Q184" s="15"/>
    </row>
    <row r="185" spans="17:17">
      <c r="Q185" s="15"/>
    </row>
    <row r="186" spans="17:17">
      <c r="Q186" s="15"/>
    </row>
    <row r="187" spans="17:17">
      <c r="Q187" s="15"/>
    </row>
    <row r="188" spans="17:17">
      <c r="Q188" s="15"/>
    </row>
    <row r="189" spans="17:17">
      <c r="Q189" s="15"/>
    </row>
    <row r="190" spans="17:17">
      <c r="Q190" s="15"/>
    </row>
    <row r="191" spans="17:17">
      <c r="Q191" s="15"/>
    </row>
    <row r="192" spans="17:17">
      <c r="Q192" s="15"/>
    </row>
    <row r="193" spans="17:17">
      <c r="Q193" s="15"/>
    </row>
    <row r="194" spans="17:17">
      <c r="Q194" s="15"/>
    </row>
    <row r="195" spans="17:17">
      <c r="Q195" s="15"/>
    </row>
    <row r="196" spans="17:17">
      <c r="Q196" s="15"/>
    </row>
    <row r="197" spans="17:17">
      <c r="Q197" s="15"/>
    </row>
    <row r="198" spans="17:17">
      <c r="Q198" s="15"/>
    </row>
    <row r="199" spans="17:17">
      <c r="Q199" s="15"/>
    </row>
    <row r="200" spans="17:17">
      <c r="Q200" s="15"/>
    </row>
    <row r="201" spans="17:17">
      <c r="Q201" s="15"/>
    </row>
    <row r="202" spans="17:17">
      <c r="Q202" s="15"/>
    </row>
    <row r="203" spans="17:17">
      <c r="Q203" s="15"/>
    </row>
    <row r="204" spans="17:17">
      <c r="Q204" s="15"/>
    </row>
    <row r="205" spans="17:17">
      <c r="Q205" s="15"/>
    </row>
    <row r="206" spans="17:17">
      <c r="Q206" s="15"/>
    </row>
    <row r="207" spans="17:17">
      <c r="Q207" s="15"/>
    </row>
    <row r="208" spans="17:17">
      <c r="Q208" s="15"/>
    </row>
    <row r="209" spans="17:17">
      <c r="Q209" s="15"/>
    </row>
    <row r="210" spans="17:17">
      <c r="Q210" s="15"/>
    </row>
    <row r="211" spans="17:17">
      <c r="Q211" s="15"/>
    </row>
    <row r="212" spans="17:17">
      <c r="Q212" s="15"/>
    </row>
    <row r="213" spans="17:17">
      <c r="Q213" s="15"/>
    </row>
    <row r="214" spans="17:17">
      <c r="Q214" s="15"/>
    </row>
    <row r="215" spans="17:17">
      <c r="Q215" s="15"/>
    </row>
    <row r="216" spans="17:17">
      <c r="Q216" s="15"/>
    </row>
    <row r="217" spans="17:17">
      <c r="Q217" s="15"/>
    </row>
    <row r="218" spans="17:17">
      <c r="Q218" s="15"/>
    </row>
    <row r="219" spans="17:17">
      <c r="Q219" s="15"/>
    </row>
    <row r="220" spans="17:17">
      <c r="Q220" s="15"/>
    </row>
    <row r="221" spans="17:17">
      <c r="Q221" s="15"/>
    </row>
    <row r="222" spans="17:17">
      <c r="Q222" s="15"/>
    </row>
    <row r="223" spans="17:17">
      <c r="Q223" s="15"/>
    </row>
    <row r="224" spans="17:17">
      <c r="Q224" s="15"/>
    </row>
    <row r="225" spans="17:17">
      <c r="Q225" s="15"/>
    </row>
    <row r="226" spans="17:17">
      <c r="Q226" s="15"/>
    </row>
    <row r="227" spans="17:17">
      <c r="Q227" s="15"/>
    </row>
    <row r="228" spans="17:17">
      <c r="Q228" s="15"/>
    </row>
    <row r="229" spans="17:17">
      <c r="Q229" s="15"/>
    </row>
    <row r="230" spans="17:17">
      <c r="Q230" s="15"/>
    </row>
    <row r="231" spans="17:17">
      <c r="Q231" s="15"/>
    </row>
    <row r="232" spans="17:17">
      <c r="Q232" s="15"/>
    </row>
    <row r="233" spans="17:17">
      <c r="Q233" s="15"/>
    </row>
    <row r="234" spans="17:17">
      <c r="Q234" s="15"/>
    </row>
    <row r="235" spans="17:17">
      <c r="Q235" s="15"/>
    </row>
    <row r="236" spans="17:17">
      <c r="Q236" s="15"/>
    </row>
    <row r="237" spans="17:17">
      <c r="Q237" s="15"/>
    </row>
    <row r="238" spans="17:17">
      <c r="Q238" s="15"/>
    </row>
    <row r="239" spans="17:17">
      <c r="Q239" s="15"/>
    </row>
    <row r="240" spans="17:17">
      <c r="Q240" s="15"/>
    </row>
    <row r="241" spans="17:17">
      <c r="Q241" s="15"/>
    </row>
    <row r="242" spans="17:17">
      <c r="Q242" s="15"/>
    </row>
    <row r="243" spans="17:17">
      <c r="Q243" s="15"/>
    </row>
    <row r="244" spans="17:17">
      <c r="Q244" s="15"/>
    </row>
    <row r="245" spans="17:17">
      <c r="Q245" s="15"/>
    </row>
    <row r="246" spans="17:17">
      <c r="Q246" s="15"/>
    </row>
    <row r="247" spans="17:17">
      <c r="Q247" s="15"/>
    </row>
    <row r="248" spans="17:17">
      <c r="Q248" s="15"/>
    </row>
    <row r="249" spans="17:17">
      <c r="Q249" s="15"/>
    </row>
    <row r="250" spans="17:17">
      <c r="Q250" s="15"/>
    </row>
    <row r="251" spans="17:17">
      <c r="Q251" s="15"/>
    </row>
    <row r="252" spans="17:17">
      <c r="Q252" s="15"/>
    </row>
    <row r="253" spans="17:17">
      <c r="Q253" s="15"/>
    </row>
    <row r="254" spans="17:17">
      <c r="Q254" s="15"/>
    </row>
    <row r="255" spans="17:17">
      <c r="Q255" s="15"/>
    </row>
    <row r="256" spans="17:17">
      <c r="Q256" s="15"/>
    </row>
    <row r="257" spans="17:17">
      <c r="Q257" s="15"/>
    </row>
    <row r="258" spans="17:17">
      <c r="Q258" s="15"/>
    </row>
    <row r="259" spans="17:17">
      <c r="Q259" s="15"/>
    </row>
    <row r="260" spans="17:17">
      <c r="Q260" s="15"/>
    </row>
    <row r="261" spans="17:17">
      <c r="Q261" s="15"/>
    </row>
    <row r="262" spans="17:17">
      <c r="Q262" s="15"/>
    </row>
    <row r="263" spans="17:17">
      <c r="Q263" s="15"/>
    </row>
    <row r="264" spans="17:17">
      <c r="Q264" s="15"/>
    </row>
    <row r="265" spans="17:17">
      <c r="Q265" s="15"/>
    </row>
    <row r="266" spans="17:17">
      <c r="Q266" s="15"/>
    </row>
    <row r="267" spans="17:17">
      <c r="Q267" s="15"/>
    </row>
    <row r="268" spans="17:17">
      <c r="Q268" s="15"/>
    </row>
    <row r="269" spans="17:17">
      <c r="Q269" s="15"/>
    </row>
    <row r="270" spans="17:17">
      <c r="Q270" s="15"/>
    </row>
    <row r="271" spans="17:17">
      <c r="Q271" s="15"/>
    </row>
    <row r="272" spans="17:17">
      <c r="Q272" s="15"/>
    </row>
    <row r="273" spans="17:17">
      <c r="Q273" s="15"/>
    </row>
    <row r="274" spans="17:17">
      <c r="Q274" s="15"/>
    </row>
    <row r="275" spans="17:17">
      <c r="Q275" s="15"/>
    </row>
    <row r="276" spans="17:17">
      <c r="Q276" s="15"/>
    </row>
    <row r="277" spans="17:17">
      <c r="Q277" s="15"/>
    </row>
    <row r="278" spans="17:17">
      <c r="Q278" s="15"/>
    </row>
    <row r="279" spans="17:17">
      <c r="Q279" s="15"/>
    </row>
    <row r="280" spans="17:17">
      <c r="Q280" s="15"/>
    </row>
    <row r="281" spans="17:17">
      <c r="Q281" s="15"/>
    </row>
    <row r="282" spans="17:17">
      <c r="Q282" s="15"/>
    </row>
    <row r="283" spans="17:17">
      <c r="Q283" s="15"/>
    </row>
    <row r="284" spans="17:17">
      <c r="Q284" s="15"/>
    </row>
    <row r="285" spans="17:17">
      <c r="Q285" s="15"/>
    </row>
    <row r="286" spans="17:17">
      <c r="Q286" s="15"/>
    </row>
    <row r="287" spans="17:17">
      <c r="Q287" s="15"/>
    </row>
    <row r="288" spans="17:17">
      <c r="Q288" s="15"/>
    </row>
    <row r="289" spans="17:17">
      <c r="Q289" s="15"/>
    </row>
    <row r="290" spans="17:17">
      <c r="Q290" s="15"/>
    </row>
    <row r="291" spans="17:17">
      <c r="Q291" s="15"/>
    </row>
    <row r="292" spans="17:17">
      <c r="Q292" s="15"/>
    </row>
    <row r="293" spans="17:17">
      <c r="Q293" s="15"/>
    </row>
    <row r="294" spans="17:17">
      <c r="Q294" s="15"/>
    </row>
    <row r="295" spans="17:17">
      <c r="Q295" s="15"/>
    </row>
    <row r="296" spans="17:17">
      <c r="Q296" s="15"/>
    </row>
    <row r="297" spans="17:17">
      <c r="Q297" s="15"/>
    </row>
    <row r="298" spans="17:17">
      <c r="Q298" s="15"/>
    </row>
    <row r="299" spans="17:17">
      <c r="Q299" s="15"/>
    </row>
    <row r="300" spans="17:17">
      <c r="Q300" s="15"/>
    </row>
    <row r="301" spans="17:17">
      <c r="Q301" s="15"/>
    </row>
    <row r="302" spans="17:17">
      <c r="Q302" s="15"/>
    </row>
    <row r="303" spans="17:17">
      <c r="Q303" s="15"/>
    </row>
    <row r="304" spans="17:17">
      <c r="Q304" s="15"/>
    </row>
    <row r="305" spans="17:17">
      <c r="Q305" s="15"/>
    </row>
    <row r="306" spans="17:17">
      <c r="Q306" s="15"/>
    </row>
    <row r="307" spans="17:17">
      <c r="Q307" s="15"/>
    </row>
    <row r="308" spans="17:17">
      <c r="Q308" s="15"/>
    </row>
    <row r="309" spans="17:17">
      <c r="Q309" s="15"/>
    </row>
    <row r="310" spans="17:17">
      <c r="Q310" s="15"/>
    </row>
    <row r="311" spans="17:17">
      <c r="Q311" s="15"/>
    </row>
    <row r="312" spans="17:17">
      <c r="Q312" s="15"/>
    </row>
    <row r="313" spans="17:17">
      <c r="Q313" s="15"/>
    </row>
    <row r="314" spans="17:17">
      <c r="Q314" s="15"/>
    </row>
    <row r="315" spans="17:17">
      <c r="Q315" s="15"/>
    </row>
    <row r="316" spans="17:17">
      <c r="Q316" s="15"/>
    </row>
    <row r="317" spans="17:17">
      <c r="Q317" s="15"/>
    </row>
    <row r="318" spans="17:17">
      <c r="Q318" s="15"/>
    </row>
    <row r="319" spans="17:17">
      <c r="Q319" s="15"/>
    </row>
    <row r="320" spans="17:17">
      <c r="Q320" s="15"/>
    </row>
    <row r="321" spans="17:17">
      <c r="Q321" s="15"/>
    </row>
    <row r="322" spans="17:17">
      <c r="Q322" s="15"/>
    </row>
    <row r="323" spans="17:17">
      <c r="Q323" s="15"/>
    </row>
    <row r="324" spans="17:17">
      <c r="Q324" s="15"/>
    </row>
    <row r="325" spans="17:17">
      <c r="Q325" s="15"/>
    </row>
    <row r="326" spans="17:17">
      <c r="Q326" s="15"/>
    </row>
    <row r="327" spans="17:17">
      <c r="Q327" s="15"/>
    </row>
    <row r="328" spans="17:17">
      <c r="Q328" s="15"/>
    </row>
    <row r="329" spans="17:17">
      <c r="Q329" s="15"/>
    </row>
    <row r="330" spans="17:17">
      <c r="Q330" s="15"/>
    </row>
    <row r="331" spans="17:17">
      <c r="Q331" s="15"/>
    </row>
    <row r="332" spans="17:17">
      <c r="Q332" s="15"/>
    </row>
    <row r="333" spans="17:17">
      <c r="Q333" s="15"/>
    </row>
    <row r="334" spans="17:17">
      <c r="Q334" s="15"/>
    </row>
    <row r="335" spans="17:17">
      <c r="Q335" s="15"/>
    </row>
    <row r="336" spans="17:17">
      <c r="Q336" s="15"/>
    </row>
    <row r="337" spans="17:17">
      <c r="Q337" s="15"/>
    </row>
    <row r="338" spans="17:17">
      <c r="Q338" s="15"/>
    </row>
    <row r="339" spans="17:17">
      <c r="Q339" s="15"/>
    </row>
    <row r="340" spans="17:17">
      <c r="Q340" s="15"/>
    </row>
    <row r="341" spans="17:17">
      <c r="Q341" s="15"/>
    </row>
    <row r="342" spans="17:17">
      <c r="Q342" s="15"/>
    </row>
    <row r="343" spans="17:17">
      <c r="Q343" s="15"/>
    </row>
    <row r="344" spans="17:17">
      <c r="Q344" s="15"/>
    </row>
    <row r="345" spans="17:17">
      <c r="Q345" s="15"/>
    </row>
    <row r="346" spans="17:17">
      <c r="Q346" s="15"/>
    </row>
    <row r="347" spans="17:17">
      <c r="Q347" s="15"/>
    </row>
    <row r="348" spans="17:17">
      <c r="Q348" s="15"/>
    </row>
    <row r="349" spans="17:17">
      <c r="Q349" s="15"/>
    </row>
    <row r="350" spans="17:17">
      <c r="Q350" s="15"/>
    </row>
    <row r="351" spans="17:17">
      <c r="Q351" s="15"/>
    </row>
    <row r="352" spans="17:17">
      <c r="Q352" s="15"/>
    </row>
    <row r="353" spans="17:17">
      <c r="Q353" s="15"/>
    </row>
    <row r="354" spans="17:17">
      <c r="Q354" s="15"/>
    </row>
    <row r="355" spans="17:17">
      <c r="Q355" s="15"/>
    </row>
    <row r="356" spans="17:17">
      <c r="Q356" s="15"/>
    </row>
    <row r="357" spans="17:17">
      <c r="Q357" s="15"/>
    </row>
    <row r="358" spans="17:17">
      <c r="Q358" s="15"/>
    </row>
    <row r="359" spans="17:17">
      <c r="Q359" s="15"/>
    </row>
    <row r="360" spans="17:17">
      <c r="Q360" s="15"/>
    </row>
    <row r="361" spans="17:17">
      <c r="Q361" s="15"/>
    </row>
    <row r="362" spans="17:17">
      <c r="Q362" s="15"/>
    </row>
    <row r="363" spans="17:17">
      <c r="Q363" s="15"/>
    </row>
    <row r="364" spans="17:17">
      <c r="Q364" s="15"/>
    </row>
    <row r="365" spans="17:17">
      <c r="Q365" s="15"/>
    </row>
    <row r="366" spans="17:17">
      <c r="Q366" s="15"/>
    </row>
    <row r="367" spans="17:17">
      <c r="Q367" s="15"/>
    </row>
    <row r="368" spans="17:17">
      <c r="Q368" s="15"/>
    </row>
    <row r="369" spans="17:17">
      <c r="Q369" s="15"/>
    </row>
    <row r="370" spans="17:17">
      <c r="Q370" s="15"/>
    </row>
    <row r="371" spans="17:17">
      <c r="Q371" s="15"/>
    </row>
    <row r="372" spans="17:17">
      <c r="Q372" s="15"/>
    </row>
    <row r="373" spans="17:17">
      <c r="Q373" s="15"/>
    </row>
    <row r="374" spans="17:17">
      <c r="Q374" s="15"/>
    </row>
    <row r="375" spans="17:17">
      <c r="Q375" s="15"/>
    </row>
    <row r="376" spans="17:17">
      <c r="Q376" s="15"/>
    </row>
    <row r="377" spans="17:17">
      <c r="Q377" s="15"/>
    </row>
    <row r="378" spans="17:17">
      <c r="Q378" s="15"/>
    </row>
    <row r="379" spans="17:17">
      <c r="Q379" s="15"/>
    </row>
    <row r="380" spans="17:17">
      <c r="Q380" s="15"/>
    </row>
    <row r="381" spans="17:17">
      <c r="Q381" s="15"/>
    </row>
    <row r="382" spans="17:17">
      <c r="Q382" s="15"/>
    </row>
    <row r="383" spans="17:17">
      <c r="Q383" s="15"/>
    </row>
    <row r="384" spans="17:17">
      <c r="Q384" s="15"/>
    </row>
    <row r="385" spans="17:17">
      <c r="Q385" s="15"/>
    </row>
    <row r="386" spans="17:17">
      <c r="Q386" s="15"/>
    </row>
    <row r="387" spans="17:17">
      <c r="Q387" s="15"/>
    </row>
    <row r="388" spans="17:17">
      <c r="Q388" s="15"/>
    </row>
    <row r="389" spans="17:17">
      <c r="Q389" s="15"/>
    </row>
    <row r="390" spans="17:17">
      <c r="Q390" s="15"/>
    </row>
    <row r="391" spans="17:17">
      <c r="Q391" s="15"/>
    </row>
    <row r="392" spans="17:17">
      <c r="Q392" s="15"/>
    </row>
    <row r="393" spans="17:17">
      <c r="Q393" s="15"/>
    </row>
    <row r="394" spans="17:17">
      <c r="Q394" s="15"/>
    </row>
    <row r="395" spans="17:17">
      <c r="Q395" s="15"/>
    </row>
    <row r="396" spans="17:17">
      <c r="Q396" s="15"/>
    </row>
    <row r="397" spans="17:17">
      <c r="Q397" s="15"/>
    </row>
    <row r="398" spans="17:17">
      <c r="Q398" s="15"/>
    </row>
    <row r="399" spans="17:17">
      <c r="Q399" s="15"/>
    </row>
    <row r="400" spans="17:17">
      <c r="Q400" s="15"/>
    </row>
    <row r="401" spans="17:17">
      <c r="Q401" s="15"/>
    </row>
    <row r="402" spans="17:17">
      <c r="Q402" s="15"/>
    </row>
    <row r="403" spans="17:17">
      <c r="Q403" s="15"/>
    </row>
    <row r="404" spans="17:17">
      <c r="Q404" s="15"/>
    </row>
    <row r="405" spans="17:17">
      <c r="Q405" s="15"/>
    </row>
    <row r="406" spans="17:17">
      <c r="Q406" s="15"/>
    </row>
    <row r="407" spans="17:17">
      <c r="Q407" s="15"/>
    </row>
    <row r="408" spans="17:17">
      <c r="Q408" s="15"/>
    </row>
  </sheetData>
  <sheetProtection algorithmName="SHA-512" hashValue="2HuzPlwiMAv/z1Y/Sz9ocFB0kH/zjKS8Jbf5jKI7luLF0t729apprCDhp5fpxPkCX8X0fDrIokfm16s01Eacgg==" saltValue="t2hl6Ck3G5HOE3iX6cBnJA==" spinCount="100000" sheet="1" objects="1" scenarios="1"/>
  <mergeCells count="32">
    <mergeCell ref="N32:N38"/>
    <mergeCell ref="C9:C10"/>
    <mergeCell ref="C17:C20"/>
    <mergeCell ref="E9:E10"/>
    <mergeCell ref="L9:L10"/>
    <mergeCell ref="M9:M10"/>
    <mergeCell ref="B11:M11"/>
    <mergeCell ref="D9:D10"/>
    <mergeCell ref="C21:C23"/>
    <mergeCell ref="B12:B20"/>
    <mergeCell ref="G9:G10"/>
    <mergeCell ref="H9:H10"/>
    <mergeCell ref="I9:I10"/>
    <mergeCell ref="F9:F10"/>
    <mergeCell ref="D4:H6"/>
    <mergeCell ref="N9:N10"/>
    <mergeCell ref="J9:J10"/>
    <mergeCell ref="K9:K10"/>
    <mergeCell ref="C25:C31"/>
    <mergeCell ref="N17:N20"/>
    <mergeCell ref="N27:N29"/>
    <mergeCell ref="B45:B50"/>
    <mergeCell ref="B42:M42"/>
    <mergeCell ref="D27:D28"/>
    <mergeCell ref="D30:D31"/>
    <mergeCell ref="E25:E31"/>
    <mergeCell ref="E45:E46"/>
    <mergeCell ref="E47:E50"/>
    <mergeCell ref="B43:B44"/>
    <mergeCell ref="C32:C38"/>
    <mergeCell ref="E32:E38"/>
    <mergeCell ref="B21:B40"/>
  </mergeCells>
  <conditionalFormatting sqref="H41">
    <cfRule type="iconSet" priority="242">
      <iconSet showValue="0" reverse="1">
        <cfvo type="percent" val="0"/>
        <cfvo type="num" val="0.1"/>
        <cfvo type="num" val="0.3"/>
      </iconSet>
    </cfRule>
  </conditionalFormatting>
  <conditionalFormatting sqref="Q9:R9">
    <cfRule type="iconSet" priority="26">
      <iconSet showValue="0" reverse="1">
        <cfvo type="percent" val="0"/>
        <cfvo type="num" val="0.05"/>
        <cfvo type="num" val="0.15"/>
      </iconSet>
    </cfRule>
  </conditionalFormatting>
  <conditionalFormatting sqref="R8">
    <cfRule type="iconSet" priority="28">
      <iconSet showValue="0" reverse="1">
        <cfvo type="percent" val="0"/>
        <cfvo type="num" val="0.05"/>
        <cfvo type="num" val="0.15"/>
      </iconSet>
    </cfRule>
  </conditionalFormatting>
  <conditionalFormatting sqref="M46:N46">
    <cfRule type="iconSet" priority="344">
      <iconSet showValue="0" reverse="1">
        <cfvo type="percent" val="0"/>
        <cfvo type="num" val="0.1"/>
        <cfvo type="num" val="0.3"/>
      </iconSet>
    </cfRule>
    <cfRule type="iconSet" priority="345">
      <iconSet showValue="0" reverse="1">
        <cfvo type="percent" val="0"/>
        <cfvo type="num" val="0.1"/>
        <cfvo type="num" val="0.3"/>
      </iconSet>
    </cfRule>
  </conditionalFormatting>
  <dataValidations count="1">
    <dataValidation type="list" allowBlank="1" showInputMessage="1" showErrorMessage="1" sqref="M46:N46 N21:N22 M25:M38">
      <formula1>#REF!</formula1>
    </dataValidation>
  </dataValidations>
  <hyperlinks>
    <hyperlink ref="C12" location="'מאגר השירותים'!B12" display="קהילה תומכת"/>
    <hyperlink ref="C50" location="'מאגר השירותים'!B32" display="מרותקי בית נצלש"/>
    <hyperlink ref="C13" location="'מאגר השירותים'!B13" display="מועדון מופת"/>
    <hyperlink ref="C14" location="'מאגר השירותים'!B14" display="מועדון מועשר"/>
    <hyperlink ref="C16" location="'מאגר השירותים'!B15" display="נופשונים"/>
    <hyperlink ref="C17:C20" location="'מאגר השירותים'!B17" display="מרכזי יום"/>
    <hyperlink ref="C21" location="'מאגר השירותים'!B18" display="מוקד שייכות"/>
    <hyperlink ref="C25:C31" location="'מאגר השירותים'!B19" display="הזנחה והתעללות"/>
    <hyperlink ref="C39" location="'מאגר השירותים'!B18" display="בני משפחה מטפלים"/>
    <hyperlink ref="C43" location="'מאגר השירותים'!B25" display="מופ&quot;ת ניצולי שואה"/>
    <hyperlink ref="C44" location="'מאגר השירותים'!B26" display="קהילה תומכת ניצולי שואה"/>
    <hyperlink ref="C46" location="'מאגר השירותים'!B28" display="סלב"/>
    <hyperlink ref="C47" location="'מאגר השירותים'!B29" display="הפוגות לנצל&quot;ש"/>
    <hyperlink ref="E25:E31" r:id="rId1" display="קישור להנחיות ונהלים"/>
    <hyperlink ref="E39" r:id="rId2"/>
    <hyperlink ref="E45:E46" r:id="rId3" display="קישור להנחיות ונהלים"/>
    <hyperlink ref="E47:E50" r:id="rId4" display="קישור להנחיות ונהלים"/>
    <hyperlink ref="C15" location="'מאגר השירותים'!B16" display="תוכנית מז&quot;ל"/>
    <hyperlink ref="C21:C23" location="'מאגר השירותים'!B21" display="מוקד שייכות"/>
    <hyperlink ref="C32:C38" location="'מאגר השירותים'!B20" display="תוכניות לשם: הפגת בדידות וקידום שייכות, מניעת סיכון, שימור ושיפור תפקוד"/>
    <hyperlink ref="C40" location="'מאגר השירותים'!B23" display="חרבות ברזל"/>
    <hyperlink ref="C45" location="'מאגר השירותים'!B27" display="מועדון נצל&quot;ש (קפה אירופה,קפה בריטניה בתים חמים וכדו')"/>
    <hyperlink ref="C48" location="'מאגר השירותים'!B30" display="הפגת בדידות בסופ&quot;ש"/>
    <hyperlink ref="C49" location="'מאגר השירותים'!B27" display="מועדון נצל&quot;ש (קפה אירופה,קפה בריטניה בתים חמים וכדו')"/>
    <hyperlink ref="E32:E38" r:id="rId5" display="קישור להנחיות ונהלים"/>
  </hyperlinks>
  <pageMargins left="0.7" right="0.7" top="0.75" bottom="0.75" header="0.3" footer="0.3"/>
  <pageSetup paperSize="9" scale="55" orientation="portrait" r:id="rId6"/>
  <drawing r:id="rId7"/>
  <extLst>
    <ext xmlns:x14="http://schemas.microsoft.com/office/spreadsheetml/2009/9/main" uri="{78C0D931-6437-407d-A8EE-F0AAD7539E65}">
      <x14:conditionalFormattings>
        <x14:conditionalFormatting xmlns:xm="http://schemas.microsoft.com/office/excel/2006/main">
          <x14:cfRule type="iconSet" priority="245" id="{43856B90-C6F7-49B8-8A8C-BFAC3BD06773}">
            <x14:iconSet iconSet="4Arrows" custom="1">
              <x14:cfvo type="percent">
                <xm:f>0</xm:f>
              </x14:cfvo>
              <x14:cfvo type="num">
                <xm:f>0.75</xm:f>
              </x14:cfvo>
              <x14:cfvo type="num">
                <xm:f>1</xm:f>
              </x14:cfvo>
              <x14:cfvo type="num">
                <xm:f>1.25</xm:f>
              </x14:cfvo>
              <x14:cfIcon iconSet="3ArrowsGray" iconId="0"/>
              <x14:cfIcon iconSet="4ArrowsGray" iconId="1"/>
              <x14:cfIcon iconSet="4ArrowsGray" iconId="2"/>
              <x14:cfIcon iconSet="3ArrowsGray" iconId="2"/>
            </x14:iconSet>
          </x14:cfRule>
          <xm:sqref>I51:N105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0" tint="-0.249977111117893"/>
  </sheetPr>
  <dimension ref="A1:AB390"/>
  <sheetViews>
    <sheetView showGridLines="0" rightToLeft="1" topLeftCell="A11" zoomScale="94" zoomScaleNormal="94" workbookViewId="0">
      <selection activeCell="B31" sqref="B31"/>
    </sheetView>
  </sheetViews>
  <sheetFormatPr defaultColWidth="8.75" defaultRowHeight="14.25"/>
  <cols>
    <col min="1" max="1" width="7.375" style="2" customWidth="1"/>
    <col min="2" max="2" width="21.75" style="15" customWidth="1"/>
    <col min="3" max="3" width="56.25" style="15" customWidth="1"/>
    <col min="4" max="4" width="22.875" style="15" customWidth="1"/>
    <col min="5" max="5" width="37.625" style="15" customWidth="1"/>
    <col min="6" max="6" width="10.625" style="2" bestFit="1" customWidth="1"/>
    <col min="7" max="7" width="26.25" style="1" hidden="1" customWidth="1"/>
    <col min="8" max="12" width="26.25" style="2" hidden="1" customWidth="1"/>
    <col min="13" max="13" width="12.25" style="2" hidden="1" customWidth="1"/>
    <col min="14" max="14" width="8.125" style="2" hidden="1" customWidth="1"/>
    <col min="15" max="15" width="12.875" style="2" hidden="1" customWidth="1"/>
    <col min="16" max="16" width="15.375" style="2" hidden="1" customWidth="1"/>
    <col min="17" max="17" width="2.875" style="2" customWidth="1"/>
    <col min="18" max="18" width="19" style="2" customWidth="1"/>
    <col min="19" max="19" width="5.125" style="2" customWidth="1"/>
    <col min="20" max="20" width="8.375" style="2" customWidth="1"/>
    <col min="21" max="21" width="11.375" style="2" bestFit="1" customWidth="1"/>
    <col min="22" max="22" width="57.375" style="2" customWidth="1"/>
    <col min="23" max="23" width="8.75" style="2"/>
    <col min="24" max="24" width="23.125" style="2" bestFit="1" customWidth="1"/>
    <col min="25" max="25" width="8.75" style="2"/>
    <col min="26" max="26" width="14.875" style="2" bestFit="1" customWidth="1"/>
    <col min="27" max="16384" width="8.75" style="2"/>
  </cols>
  <sheetData>
    <row r="1" spans="1:28">
      <c r="A1" s="1"/>
      <c r="B1" s="125"/>
      <c r="C1" s="125"/>
      <c r="D1" s="125"/>
      <c r="E1" s="125"/>
      <c r="F1" s="1"/>
      <c r="H1" s="1"/>
      <c r="I1" s="1"/>
      <c r="J1" s="1"/>
      <c r="K1" s="1"/>
      <c r="L1" s="1"/>
      <c r="M1" s="1"/>
      <c r="N1" s="1"/>
      <c r="O1" s="1"/>
      <c r="P1" s="1"/>
      <c r="Q1" s="1"/>
      <c r="R1" s="1"/>
      <c r="S1" s="1"/>
      <c r="T1" s="1"/>
      <c r="U1" s="1"/>
      <c r="V1" s="1"/>
      <c r="W1" s="1"/>
      <c r="X1" s="1"/>
      <c r="Y1" s="1"/>
      <c r="Z1" s="1"/>
      <c r="AA1" s="1"/>
      <c r="AB1" s="1"/>
    </row>
    <row r="2" spans="1:28">
      <c r="A2" s="1"/>
      <c r="B2" s="125"/>
      <c r="C2" s="125"/>
      <c r="D2" s="125"/>
      <c r="E2" s="125"/>
      <c r="F2" s="1"/>
      <c r="H2" s="1"/>
      <c r="I2" s="1"/>
      <c r="J2" s="1"/>
      <c r="K2" s="1"/>
      <c r="L2" s="1"/>
      <c r="M2" s="1"/>
      <c r="N2" s="1"/>
      <c r="O2" s="1"/>
      <c r="P2" s="1"/>
      <c r="Q2" s="1"/>
      <c r="R2" s="1"/>
      <c r="S2" s="1"/>
      <c r="T2" s="1"/>
      <c r="U2" s="1"/>
      <c r="V2" s="1"/>
      <c r="W2" s="1"/>
      <c r="X2" s="1"/>
      <c r="Y2" s="1"/>
      <c r="Z2" s="1"/>
      <c r="AA2" s="1"/>
      <c r="AB2" s="1"/>
    </row>
    <row r="3" spans="1:28">
      <c r="A3" s="1"/>
      <c r="B3" s="125"/>
      <c r="C3" s="125"/>
      <c r="D3" s="125"/>
      <c r="E3" s="125"/>
      <c r="F3" s="1"/>
      <c r="H3" s="1"/>
      <c r="I3" s="1"/>
      <c r="J3" s="1"/>
      <c r="K3" s="1"/>
      <c r="L3" s="1"/>
      <c r="M3" s="1"/>
      <c r="N3" s="1"/>
      <c r="O3" s="1"/>
      <c r="P3" s="1"/>
      <c r="Q3" s="1"/>
      <c r="R3" s="1"/>
      <c r="S3" s="1"/>
      <c r="T3" s="1"/>
      <c r="U3" s="1"/>
      <c r="V3" s="1"/>
      <c r="W3" s="1"/>
      <c r="X3" s="1"/>
      <c r="Y3" s="1"/>
      <c r="Z3" s="1"/>
      <c r="AA3" s="1"/>
      <c r="AB3" s="1"/>
    </row>
    <row r="4" spans="1:28">
      <c r="A4" s="1"/>
      <c r="B4" s="125"/>
      <c r="C4" s="125"/>
      <c r="D4" s="125"/>
      <c r="E4" s="125"/>
      <c r="F4" s="1"/>
      <c r="H4" s="1"/>
      <c r="I4" s="1"/>
      <c r="J4" s="1"/>
      <c r="K4" s="1"/>
      <c r="L4" s="1"/>
      <c r="M4" s="1"/>
      <c r="N4" s="1"/>
      <c r="O4" s="1"/>
      <c r="P4" s="1"/>
      <c r="Q4" s="1"/>
      <c r="R4" s="1"/>
      <c r="S4" s="1"/>
      <c r="T4" s="1"/>
      <c r="U4" s="1"/>
      <c r="V4" s="1"/>
      <c r="W4" s="1"/>
      <c r="X4" s="1"/>
      <c r="Y4" s="1"/>
      <c r="Z4" s="1"/>
      <c r="AA4" s="1"/>
      <c r="AB4" s="1"/>
    </row>
    <row r="5" spans="1:28">
      <c r="A5" s="1"/>
      <c r="B5" s="126"/>
      <c r="C5" s="126"/>
      <c r="D5" s="126"/>
      <c r="E5" s="126"/>
      <c r="F5" s="4"/>
      <c r="G5" s="4"/>
      <c r="H5" s="4"/>
      <c r="I5" s="4"/>
      <c r="J5" s="4"/>
      <c r="K5" s="4"/>
      <c r="L5" s="4"/>
      <c r="M5" s="4"/>
      <c r="N5" s="4"/>
      <c r="O5" s="4"/>
      <c r="P5" s="4"/>
      <c r="Q5" s="4"/>
      <c r="R5" s="4"/>
      <c r="S5" s="4"/>
      <c r="T5" s="4"/>
      <c r="U5" s="4"/>
      <c r="V5" s="4"/>
      <c r="W5" s="4"/>
      <c r="X5" s="4"/>
      <c r="Y5" s="4"/>
      <c r="Z5" s="4"/>
      <c r="AA5" s="4"/>
      <c r="AB5" s="4"/>
    </row>
    <row r="6" spans="1:28">
      <c r="A6" s="1"/>
      <c r="B6" s="126"/>
      <c r="C6" s="126"/>
      <c r="D6" s="126"/>
      <c r="E6" s="126"/>
      <c r="F6" s="4"/>
      <c r="G6" s="4"/>
      <c r="H6" s="4"/>
      <c r="I6" s="4"/>
      <c r="J6" s="4"/>
      <c r="K6" s="4"/>
      <c r="L6" s="4"/>
      <c r="M6" s="4"/>
      <c r="N6" s="4"/>
      <c r="O6" s="4"/>
      <c r="P6" s="4"/>
      <c r="Q6" s="4"/>
      <c r="R6" s="4"/>
      <c r="S6" s="4"/>
      <c r="T6" s="4"/>
      <c r="U6" s="4"/>
      <c r="V6" s="4"/>
      <c r="W6" s="4"/>
      <c r="X6" s="4"/>
      <c r="Y6" s="4"/>
      <c r="Z6" s="4"/>
      <c r="AA6" s="4"/>
      <c r="AB6" s="4"/>
    </row>
    <row r="7" spans="1:28" ht="15" thickBot="1">
      <c r="A7" s="1"/>
      <c r="B7" s="127"/>
      <c r="C7" s="127"/>
      <c r="D7" s="127"/>
      <c r="E7" s="127"/>
      <c r="F7" s="3"/>
      <c r="G7" s="3"/>
      <c r="H7" s="3"/>
      <c r="I7" s="3"/>
      <c r="J7" s="3"/>
      <c r="K7" s="3"/>
      <c r="L7" s="3"/>
      <c r="M7" s="3"/>
      <c r="N7" s="3"/>
      <c r="O7" s="3"/>
      <c r="P7" s="3"/>
      <c r="Q7" s="3"/>
      <c r="R7" s="3"/>
      <c r="S7" s="3"/>
      <c r="T7" s="3"/>
      <c r="U7" s="3"/>
      <c r="V7" s="3"/>
      <c r="W7" s="3"/>
      <c r="X7" s="3"/>
      <c r="Y7" s="3"/>
      <c r="Z7" s="3"/>
      <c r="AA7" s="3"/>
      <c r="AB7" s="3"/>
    </row>
    <row r="8" spans="1:28" ht="21" customHeight="1" thickTop="1" thickBot="1">
      <c r="A8" s="1"/>
      <c r="B8" s="748" t="s">
        <v>1582</v>
      </c>
      <c r="C8" s="749"/>
      <c r="D8" s="749"/>
      <c r="E8" s="750"/>
      <c r="F8" s="3"/>
      <c r="G8" s="3"/>
      <c r="H8" s="3"/>
      <c r="I8" s="3"/>
      <c r="J8" s="3"/>
      <c r="K8" s="3"/>
      <c r="L8" s="3"/>
      <c r="M8" s="3"/>
      <c r="N8" s="3"/>
      <c r="O8" s="3"/>
      <c r="P8" s="3"/>
      <c r="Q8" s="3"/>
      <c r="R8" s="3"/>
      <c r="S8" s="3"/>
      <c r="T8" s="3"/>
      <c r="U8" s="3"/>
      <c r="V8" s="3"/>
      <c r="W8" s="3"/>
      <c r="X8" s="3"/>
      <c r="Y8" s="3"/>
      <c r="Z8" s="3"/>
      <c r="AA8" s="3"/>
      <c r="AB8" s="3"/>
    </row>
    <row r="9" spans="1:28" ht="54.75" customHeight="1" thickTop="1" thickBot="1">
      <c r="A9" s="1"/>
      <c r="B9" s="738" t="s">
        <v>15</v>
      </c>
      <c r="C9" s="683" t="s">
        <v>1581</v>
      </c>
      <c r="D9" s="683" t="s">
        <v>102</v>
      </c>
      <c r="E9" s="685" t="s">
        <v>103</v>
      </c>
      <c r="F9" s="1"/>
      <c r="H9" s="1"/>
      <c r="I9" s="1"/>
      <c r="J9" s="1"/>
      <c r="K9" s="1"/>
      <c r="L9" s="1"/>
      <c r="M9" s="1"/>
      <c r="N9" s="1"/>
      <c r="O9" s="1"/>
      <c r="P9" s="1"/>
      <c r="Q9" s="1"/>
      <c r="R9" s="1"/>
      <c r="S9" s="1"/>
      <c r="T9" s="1"/>
      <c r="U9" s="1"/>
      <c r="V9" s="1"/>
      <c r="W9" s="1"/>
      <c r="X9" s="1"/>
      <c r="Y9" s="1"/>
      <c r="Z9" s="1"/>
      <c r="AA9" s="1"/>
      <c r="AB9" s="1"/>
    </row>
    <row r="10" spans="1:28" ht="24" hidden="1" customHeight="1" thickTop="1" thickBot="1">
      <c r="A10" s="1"/>
      <c r="B10" s="738"/>
      <c r="C10" s="746"/>
      <c r="D10" s="684"/>
      <c r="E10" s="686"/>
      <c r="F10" s="3"/>
      <c r="G10" s="3"/>
      <c r="H10" s="3"/>
      <c r="I10" s="3"/>
      <c r="J10" s="3"/>
      <c r="K10" s="3"/>
      <c r="L10" s="3"/>
      <c r="M10" s="3"/>
      <c r="N10" s="3"/>
      <c r="O10" s="3"/>
      <c r="P10" s="3"/>
      <c r="Q10" s="3"/>
      <c r="R10" s="3"/>
      <c r="S10" s="3"/>
      <c r="T10" s="3"/>
      <c r="U10" s="3"/>
      <c r="V10" s="3"/>
      <c r="W10" s="3"/>
      <c r="X10" s="3"/>
      <c r="Y10" s="3"/>
      <c r="Z10" s="3"/>
      <c r="AA10" s="3"/>
      <c r="AB10" s="3"/>
    </row>
    <row r="11" spans="1:28" ht="15.95" customHeight="1" thickTop="1" thickBot="1">
      <c r="A11" s="1"/>
      <c r="B11" s="742" t="s">
        <v>4</v>
      </c>
      <c r="C11" s="743"/>
      <c r="D11" s="743"/>
      <c r="E11" s="745"/>
      <c r="F11" s="3"/>
      <c r="G11" s="3"/>
      <c r="H11" s="3"/>
      <c r="I11" s="3"/>
      <c r="J11" s="3"/>
      <c r="K11" s="3"/>
      <c r="L11" s="3"/>
      <c r="M11" s="3"/>
      <c r="N11" s="3"/>
      <c r="O11" s="3"/>
      <c r="P11" s="3"/>
      <c r="Q11" s="3"/>
      <c r="R11" s="3"/>
      <c r="S11" s="3"/>
      <c r="T11" s="3"/>
      <c r="U11" s="3"/>
      <c r="V11" s="3"/>
      <c r="W11" s="3"/>
      <c r="X11" s="3"/>
      <c r="Y11" s="3"/>
      <c r="Z11" s="3"/>
      <c r="AA11" s="3"/>
      <c r="AB11" s="3"/>
    </row>
    <row r="12" spans="1:28" ht="89.1" customHeight="1" thickTop="1" thickBot="1">
      <c r="A12" s="1"/>
      <c r="B12" s="23" t="s">
        <v>8</v>
      </c>
      <c r="C12" s="65" t="s">
        <v>1578</v>
      </c>
      <c r="D12" s="66" t="s">
        <v>1580</v>
      </c>
      <c r="E12" s="162" t="s">
        <v>1579</v>
      </c>
      <c r="F12" s="3"/>
      <c r="G12" s="3"/>
      <c r="H12" s="3"/>
      <c r="I12" s="3"/>
      <c r="J12" s="3"/>
      <c r="K12" s="3"/>
      <c r="L12" s="3"/>
      <c r="M12" s="3"/>
      <c r="N12" s="3"/>
      <c r="O12" s="3"/>
      <c r="P12" s="3"/>
      <c r="Q12" s="3"/>
      <c r="R12" s="3"/>
      <c r="S12" s="3"/>
      <c r="T12" s="3"/>
      <c r="U12" s="3"/>
      <c r="V12" s="3"/>
      <c r="W12" s="3"/>
      <c r="X12" s="3"/>
      <c r="Y12" s="3"/>
      <c r="Z12" s="3"/>
      <c r="AA12" s="3"/>
      <c r="AB12" s="3"/>
    </row>
    <row r="13" spans="1:28" ht="59.25" customHeight="1" thickTop="1" thickBot="1">
      <c r="A13" s="1"/>
      <c r="B13" s="24" t="s">
        <v>18</v>
      </c>
      <c r="C13" s="65" t="s">
        <v>1583</v>
      </c>
      <c r="D13" s="435" t="s">
        <v>106</v>
      </c>
      <c r="E13" s="436" t="s">
        <v>1584</v>
      </c>
      <c r="F13" s="3"/>
      <c r="G13" s="3"/>
      <c r="H13" s="3"/>
      <c r="I13" s="3"/>
      <c r="J13" s="3"/>
      <c r="K13" s="3"/>
      <c r="L13" s="3"/>
      <c r="M13" s="3"/>
      <c r="N13" s="3"/>
      <c r="O13" s="3"/>
      <c r="P13" s="3"/>
      <c r="Q13" s="3"/>
      <c r="R13" s="3"/>
      <c r="S13" s="3"/>
      <c r="T13" s="3"/>
      <c r="U13" s="3"/>
      <c r="V13" s="3"/>
      <c r="W13" s="3"/>
      <c r="X13" s="3"/>
      <c r="Y13" s="3"/>
      <c r="Z13" s="3"/>
      <c r="AA13" s="3"/>
      <c r="AB13" s="3"/>
    </row>
    <row r="14" spans="1:28" ht="143.25" customHeight="1" thickBot="1">
      <c r="A14" s="1"/>
      <c r="B14" s="25" t="s">
        <v>7</v>
      </c>
      <c r="C14" s="437" t="s">
        <v>1585</v>
      </c>
      <c r="D14" s="438" t="s">
        <v>108</v>
      </c>
      <c r="E14" s="439" t="s">
        <v>1586</v>
      </c>
      <c r="F14" s="3"/>
      <c r="G14" s="3"/>
      <c r="H14" s="3"/>
      <c r="I14" s="3"/>
      <c r="J14" s="3"/>
      <c r="K14" s="3"/>
      <c r="L14" s="3"/>
      <c r="M14" s="3"/>
      <c r="N14" s="3"/>
      <c r="O14" s="3"/>
      <c r="P14" s="3"/>
      <c r="Q14" s="3"/>
      <c r="R14" s="3"/>
      <c r="S14" s="3"/>
      <c r="T14" s="3"/>
      <c r="U14" s="3"/>
      <c r="V14" s="3"/>
      <c r="W14" s="3"/>
      <c r="X14" s="3"/>
      <c r="Y14" s="3"/>
      <c r="Z14" s="3"/>
      <c r="AA14" s="3"/>
      <c r="AB14" s="3"/>
    </row>
    <row r="15" spans="1:28" ht="43.5" thickBot="1">
      <c r="A15" s="1"/>
      <c r="B15" s="24" t="s">
        <v>9</v>
      </c>
      <c r="C15" s="155" t="s">
        <v>109</v>
      </c>
      <c r="D15" s="141" t="s">
        <v>110</v>
      </c>
      <c r="E15" s="163" t="s">
        <v>111</v>
      </c>
      <c r="F15" s="3"/>
      <c r="G15" s="3"/>
      <c r="H15" s="3"/>
      <c r="I15" s="3"/>
      <c r="J15" s="3"/>
      <c r="K15" s="3"/>
      <c r="L15" s="3"/>
      <c r="M15" s="3"/>
      <c r="N15" s="3"/>
      <c r="O15" s="3"/>
      <c r="P15" s="3"/>
      <c r="Q15" s="3"/>
      <c r="R15" s="3"/>
      <c r="S15" s="3"/>
      <c r="T15" s="3"/>
      <c r="U15" s="3"/>
      <c r="V15" s="3"/>
      <c r="W15" s="3"/>
      <c r="X15" s="3"/>
      <c r="Y15" s="3"/>
      <c r="Z15" s="3"/>
      <c r="AA15" s="3"/>
      <c r="AB15" s="3"/>
    </row>
    <row r="16" spans="1:28" ht="57.75" thickBot="1">
      <c r="A16" s="1"/>
      <c r="B16" s="24" t="s">
        <v>1537</v>
      </c>
      <c r="C16" s="440" t="s">
        <v>1587</v>
      </c>
      <c r="D16" s="441" t="s">
        <v>1588</v>
      </c>
      <c r="E16" s="442" t="s">
        <v>104</v>
      </c>
      <c r="F16" s="3"/>
      <c r="G16" s="3"/>
      <c r="H16" s="3"/>
      <c r="I16" s="3"/>
      <c r="J16" s="3"/>
      <c r="K16" s="3"/>
      <c r="L16" s="3"/>
      <c r="M16" s="3"/>
      <c r="N16" s="3"/>
      <c r="O16" s="3"/>
      <c r="P16" s="3"/>
      <c r="Q16" s="3"/>
      <c r="R16" s="3"/>
      <c r="S16" s="3"/>
      <c r="T16" s="3"/>
      <c r="U16" s="3"/>
      <c r="V16" s="3"/>
      <c r="W16" s="3"/>
      <c r="X16" s="3"/>
      <c r="Y16" s="3"/>
      <c r="Z16" s="3"/>
      <c r="AA16" s="3"/>
      <c r="AB16" s="3"/>
    </row>
    <row r="17" spans="1:28" ht="129.75" customHeight="1" thickBot="1">
      <c r="A17" s="1"/>
      <c r="B17" s="25" t="s">
        <v>5</v>
      </c>
      <c r="C17" s="440" t="s">
        <v>1589</v>
      </c>
      <c r="D17" s="441" t="s">
        <v>112</v>
      </c>
      <c r="E17" s="442" t="s">
        <v>1590</v>
      </c>
      <c r="F17" s="3"/>
      <c r="G17" s="3"/>
      <c r="H17" s="3"/>
      <c r="I17" s="3"/>
      <c r="J17" s="3"/>
      <c r="K17" s="3"/>
      <c r="L17" s="3"/>
      <c r="M17" s="3"/>
      <c r="N17" s="3"/>
      <c r="O17" s="3"/>
      <c r="P17" s="3"/>
      <c r="Q17" s="3"/>
      <c r="R17" s="3"/>
      <c r="S17" s="3"/>
      <c r="T17" s="3"/>
      <c r="U17" s="3"/>
      <c r="V17" s="3"/>
      <c r="W17" s="3"/>
      <c r="X17" s="3"/>
      <c r="Y17" s="3"/>
      <c r="Z17" s="3"/>
      <c r="AA17" s="3"/>
      <c r="AB17" s="3"/>
    </row>
    <row r="18" spans="1:28" ht="72" thickBot="1">
      <c r="A18" s="1"/>
      <c r="B18" s="27" t="s">
        <v>20</v>
      </c>
      <c r="C18" s="155" t="s">
        <v>113</v>
      </c>
      <c r="D18" s="141" t="s">
        <v>1588</v>
      </c>
      <c r="E18" s="164" t="s">
        <v>1591</v>
      </c>
      <c r="F18" s="3"/>
      <c r="G18" s="3"/>
      <c r="H18" s="3"/>
      <c r="I18" s="3"/>
      <c r="J18" s="3"/>
      <c r="K18" s="3"/>
      <c r="L18" s="3"/>
      <c r="M18" s="3"/>
      <c r="N18" s="3"/>
      <c r="O18" s="3"/>
      <c r="P18" s="3"/>
      <c r="Q18" s="3"/>
      <c r="R18" s="3"/>
      <c r="S18" s="3"/>
      <c r="T18" s="3"/>
      <c r="U18" s="3"/>
      <c r="V18" s="3"/>
      <c r="W18" s="3"/>
      <c r="X18" s="3"/>
      <c r="Y18" s="3"/>
      <c r="Z18" s="3"/>
      <c r="AA18" s="3"/>
      <c r="AB18" s="3"/>
    </row>
    <row r="19" spans="1:28" ht="29.25" thickBot="1">
      <c r="A19" s="1"/>
      <c r="B19" s="151" t="s">
        <v>1538</v>
      </c>
      <c r="C19" s="156" t="s">
        <v>115</v>
      </c>
      <c r="D19" s="157" t="s">
        <v>112</v>
      </c>
      <c r="E19" s="165" t="s">
        <v>116</v>
      </c>
      <c r="F19" s="3"/>
      <c r="G19" s="3"/>
      <c r="H19" s="3"/>
      <c r="I19" s="3"/>
      <c r="J19" s="3"/>
      <c r="K19" s="3"/>
      <c r="L19" s="3"/>
      <c r="M19" s="3"/>
      <c r="N19" s="3"/>
      <c r="O19" s="3"/>
      <c r="P19" s="3"/>
      <c r="Q19" s="3"/>
      <c r="R19" s="3"/>
      <c r="S19" s="3"/>
      <c r="T19" s="3"/>
      <c r="U19" s="3"/>
      <c r="V19" s="3"/>
      <c r="W19" s="3"/>
      <c r="X19" s="3"/>
      <c r="Y19" s="3"/>
      <c r="Z19" s="3"/>
      <c r="AA19" s="3"/>
      <c r="AB19" s="3"/>
    </row>
    <row r="20" spans="1:28" ht="60.75" thickBot="1">
      <c r="A20" s="1"/>
      <c r="B20" s="63" t="s">
        <v>1539</v>
      </c>
      <c r="C20" s="141" t="s">
        <v>1592</v>
      </c>
      <c r="D20" s="142" t="s">
        <v>106</v>
      </c>
      <c r="E20" s="164" t="s">
        <v>120</v>
      </c>
      <c r="F20" s="3"/>
      <c r="G20" s="3"/>
      <c r="H20" s="3"/>
      <c r="I20" s="3"/>
      <c r="J20" s="3"/>
      <c r="K20" s="3"/>
      <c r="L20" s="3"/>
      <c r="M20" s="3"/>
      <c r="N20" s="3"/>
      <c r="O20" s="3"/>
      <c r="P20" s="3"/>
      <c r="Q20" s="3"/>
      <c r="R20" s="3"/>
      <c r="S20" s="3"/>
      <c r="T20" s="3"/>
      <c r="U20" s="3"/>
      <c r="V20" s="3"/>
      <c r="W20" s="3"/>
      <c r="X20" s="3"/>
      <c r="Y20" s="3"/>
      <c r="Z20" s="3"/>
      <c r="AA20" s="3"/>
      <c r="AB20" s="3"/>
    </row>
    <row r="21" spans="1:28" ht="43.5" thickBot="1">
      <c r="A21" s="1"/>
      <c r="B21" s="63" t="s">
        <v>22</v>
      </c>
      <c r="C21" s="141" t="s">
        <v>118</v>
      </c>
      <c r="D21" s="141" t="s">
        <v>119</v>
      </c>
      <c r="E21" s="164" t="s">
        <v>120</v>
      </c>
      <c r="F21" s="3"/>
      <c r="G21" s="3"/>
      <c r="H21" s="3"/>
      <c r="I21" s="3"/>
      <c r="J21" s="3"/>
      <c r="K21" s="3"/>
      <c r="L21" s="3"/>
      <c r="M21" s="3"/>
      <c r="N21" s="3"/>
      <c r="O21" s="3"/>
      <c r="P21" s="3"/>
      <c r="Q21" s="3"/>
      <c r="R21" s="3"/>
      <c r="S21" s="3"/>
      <c r="T21" s="3"/>
      <c r="U21" s="3"/>
      <c r="V21" s="3"/>
      <c r="W21" s="3"/>
      <c r="X21" s="3"/>
      <c r="Y21" s="3"/>
      <c r="Z21" s="3"/>
      <c r="AA21" s="3"/>
      <c r="AB21" s="3"/>
    </row>
    <row r="22" spans="1:28" ht="57.75" thickBot="1">
      <c r="A22" s="1"/>
      <c r="B22" s="63" t="s">
        <v>121</v>
      </c>
      <c r="C22" s="141" t="s">
        <v>122</v>
      </c>
      <c r="D22" s="142" t="s">
        <v>1588</v>
      </c>
      <c r="E22" s="164" t="s">
        <v>123</v>
      </c>
      <c r="F22" s="3"/>
      <c r="G22" s="3"/>
      <c r="H22" s="3"/>
      <c r="I22" s="3"/>
      <c r="J22" s="3"/>
      <c r="K22" s="3"/>
      <c r="L22" s="3"/>
      <c r="M22" s="3"/>
      <c r="N22" s="3"/>
      <c r="O22" s="3"/>
      <c r="P22" s="3"/>
      <c r="Q22" s="3"/>
      <c r="R22" s="3"/>
      <c r="S22" s="3"/>
      <c r="T22" s="3"/>
      <c r="U22" s="3"/>
      <c r="V22" s="3"/>
      <c r="W22" s="3"/>
      <c r="X22" s="3"/>
      <c r="Y22" s="3"/>
      <c r="Z22" s="3"/>
      <c r="AA22" s="3"/>
      <c r="AB22" s="3"/>
    </row>
    <row r="23" spans="1:28" ht="57">
      <c r="A23" s="1"/>
      <c r="B23" s="556" t="s">
        <v>1543</v>
      </c>
      <c r="C23" s="441" t="s">
        <v>1593</v>
      </c>
      <c r="D23" s="557" t="s">
        <v>106</v>
      </c>
      <c r="E23" s="558" t="s">
        <v>1594</v>
      </c>
      <c r="F23" s="3"/>
      <c r="G23" s="3"/>
      <c r="H23" s="3"/>
      <c r="I23" s="3"/>
      <c r="J23" s="3"/>
      <c r="K23" s="3"/>
      <c r="L23" s="3"/>
      <c r="M23" s="3"/>
      <c r="N23" s="3"/>
      <c r="O23" s="3"/>
      <c r="P23" s="3"/>
      <c r="Q23" s="3"/>
      <c r="R23" s="3"/>
      <c r="S23" s="3"/>
      <c r="T23" s="3"/>
      <c r="U23" s="3"/>
      <c r="V23" s="3"/>
      <c r="W23" s="3"/>
      <c r="X23" s="3"/>
      <c r="Y23" s="3"/>
      <c r="Z23" s="3"/>
      <c r="AA23" s="3"/>
      <c r="AB23" s="3"/>
    </row>
    <row r="24" spans="1:28" ht="15.95" customHeight="1" thickBot="1">
      <c r="A24" s="1"/>
      <c r="B24" s="751" t="s">
        <v>10</v>
      </c>
      <c r="C24" s="752"/>
      <c r="D24" s="752"/>
      <c r="E24" s="753"/>
      <c r="F24" s="3"/>
      <c r="G24" s="3"/>
      <c r="H24" s="3"/>
      <c r="I24" s="3"/>
      <c r="J24" s="3"/>
      <c r="K24" s="3"/>
      <c r="L24" s="3"/>
      <c r="M24" s="3"/>
      <c r="N24" s="3"/>
      <c r="O24" s="3"/>
      <c r="P24" s="3"/>
      <c r="Q24" s="3"/>
      <c r="R24" s="3"/>
      <c r="S24" s="3"/>
      <c r="T24" s="3"/>
      <c r="U24" s="3"/>
      <c r="V24" s="3"/>
      <c r="W24" s="3"/>
      <c r="X24" s="3"/>
      <c r="Y24" s="3"/>
      <c r="Z24" s="3"/>
      <c r="AA24" s="3"/>
      <c r="AB24" s="3"/>
    </row>
    <row r="25" spans="1:28" ht="75" customHeight="1" thickTop="1" thickBot="1">
      <c r="A25" s="1"/>
      <c r="B25" s="26" t="s">
        <v>25</v>
      </c>
      <c r="C25" s="65" t="s">
        <v>1595</v>
      </c>
      <c r="D25" s="435" t="s">
        <v>106</v>
      </c>
      <c r="E25" s="436" t="s">
        <v>107</v>
      </c>
      <c r="F25" s="3"/>
      <c r="G25" s="3"/>
      <c r="H25" s="3"/>
      <c r="I25" s="3"/>
      <c r="J25" s="3"/>
      <c r="K25" s="3"/>
      <c r="L25" s="3"/>
      <c r="M25" s="3"/>
      <c r="N25" s="3"/>
      <c r="O25" s="3"/>
      <c r="P25" s="3"/>
      <c r="Q25" s="3"/>
      <c r="R25" s="3"/>
      <c r="S25" s="3"/>
      <c r="T25" s="3"/>
      <c r="U25" s="3"/>
      <c r="V25" s="3"/>
      <c r="W25" s="3"/>
      <c r="X25" s="3"/>
      <c r="Y25" s="3"/>
      <c r="Z25" s="3"/>
      <c r="AA25" s="3"/>
      <c r="AB25" s="3"/>
    </row>
    <row r="26" spans="1:28" ht="57.75" thickBot="1">
      <c r="A26" s="1"/>
      <c r="B26" s="153" t="s">
        <v>24</v>
      </c>
      <c r="C26" s="443" t="s">
        <v>1596</v>
      </c>
      <c r="D26" s="444" t="s">
        <v>112</v>
      </c>
      <c r="E26" s="445" t="s">
        <v>124</v>
      </c>
      <c r="F26" s="3"/>
      <c r="G26" s="3"/>
      <c r="H26" s="3"/>
      <c r="I26" s="3"/>
      <c r="J26" s="3"/>
      <c r="K26" s="3"/>
      <c r="L26" s="3"/>
      <c r="M26" s="3"/>
      <c r="N26" s="3"/>
      <c r="O26" s="3"/>
      <c r="P26" s="3"/>
      <c r="Q26" s="3"/>
      <c r="R26" s="3"/>
      <c r="S26" s="3"/>
      <c r="T26" s="3"/>
      <c r="U26" s="3"/>
      <c r="V26" s="3"/>
      <c r="W26" s="3"/>
      <c r="X26" s="3"/>
      <c r="Y26" s="3"/>
      <c r="Z26" s="3"/>
      <c r="AA26" s="3"/>
      <c r="AB26" s="3"/>
    </row>
    <row r="27" spans="1:28" ht="57.75" thickBot="1">
      <c r="A27" s="1"/>
      <c r="B27" s="64" t="s">
        <v>1544</v>
      </c>
      <c r="C27" s="158" t="s">
        <v>1597</v>
      </c>
      <c r="D27" s="159" t="s">
        <v>106</v>
      </c>
      <c r="E27" s="166" t="s">
        <v>105</v>
      </c>
      <c r="F27" s="3"/>
      <c r="G27" s="3"/>
      <c r="H27" s="3"/>
      <c r="I27" s="3"/>
      <c r="J27" s="3"/>
      <c r="K27" s="3"/>
      <c r="L27" s="3"/>
      <c r="M27" s="3"/>
      <c r="N27" s="3"/>
      <c r="O27" s="3"/>
      <c r="P27" s="3"/>
      <c r="Q27" s="3"/>
      <c r="R27" s="3"/>
      <c r="S27" s="3"/>
      <c r="T27" s="3"/>
      <c r="U27" s="3"/>
      <c r="V27" s="3"/>
      <c r="W27" s="3"/>
      <c r="X27" s="3"/>
      <c r="Y27" s="3"/>
      <c r="Z27" s="3"/>
      <c r="AA27" s="3"/>
      <c r="AB27" s="3"/>
    </row>
    <row r="28" spans="1:28" ht="43.5" thickBot="1">
      <c r="A28" s="1"/>
      <c r="B28" s="64" t="s">
        <v>1541</v>
      </c>
      <c r="C28" s="158" t="s">
        <v>1598</v>
      </c>
      <c r="D28" s="159" t="s">
        <v>1599</v>
      </c>
      <c r="E28" s="166" t="s">
        <v>1600</v>
      </c>
      <c r="F28" s="3"/>
      <c r="G28" s="3"/>
      <c r="H28" s="3"/>
      <c r="I28" s="3"/>
      <c r="J28" s="3"/>
      <c r="K28" s="3"/>
      <c r="L28" s="3"/>
      <c r="M28" s="3"/>
      <c r="N28" s="3"/>
      <c r="O28" s="3"/>
      <c r="P28" s="3"/>
      <c r="Q28" s="3"/>
      <c r="R28" s="3"/>
      <c r="S28" s="3"/>
      <c r="T28" s="3"/>
      <c r="U28" s="3"/>
      <c r="V28" s="3"/>
      <c r="W28" s="3"/>
      <c r="X28" s="3"/>
      <c r="Y28" s="3"/>
      <c r="Z28" s="3"/>
      <c r="AA28" s="3"/>
      <c r="AB28" s="3"/>
    </row>
    <row r="29" spans="1:28" ht="29.25" thickBot="1">
      <c r="A29" s="1"/>
      <c r="B29" s="27" t="s">
        <v>1545</v>
      </c>
      <c r="C29" s="158" t="s">
        <v>105</v>
      </c>
      <c r="D29" s="159" t="s">
        <v>106</v>
      </c>
      <c r="E29" s="166" t="s">
        <v>125</v>
      </c>
      <c r="F29" s="3"/>
      <c r="G29" s="3"/>
      <c r="H29" s="3"/>
      <c r="I29" s="3"/>
      <c r="J29" s="3"/>
      <c r="K29" s="3"/>
      <c r="L29" s="3"/>
      <c r="M29" s="3"/>
      <c r="N29" s="3"/>
      <c r="O29" s="3"/>
      <c r="P29" s="3"/>
      <c r="Q29" s="3"/>
      <c r="R29" s="3"/>
      <c r="S29" s="3"/>
      <c r="T29" s="3"/>
      <c r="U29" s="3"/>
      <c r="V29" s="3"/>
      <c r="W29" s="3"/>
      <c r="X29" s="3"/>
      <c r="Y29" s="3"/>
      <c r="Z29" s="3"/>
      <c r="AA29" s="3"/>
      <c r="AB29" s="3"/>
    </row>
    <row r="30" spans="1:28" ht="57.75" thickBot="1">
      <c r="A30" s="1"/>
      <c r="B30" s="27" t="s">
        <v>1542</v>
      </c>
      <c r="C30" s="158" t="s">
        <v>1601</v>
      </c>
      <c r="D30" s="159" t="s">
        <v>106</v>
      </c>
      <c r="E30" s="166" t="s">
        <v>1602</v>
      </c>
      <c r="F30" s="3"/>
      <c r="G30" s="3"/>
      <c r="H30" s="3"/>
      <c r="I30" s="3"/>
      <c r="J30" s="3"/>
      <c r="K30" s="3"/>
      <c r="L30" s="3"/>
      <c r="M30" s="3"/>
      <c r="N30" s="3"/>
      <c r="O30" s="3"/>
      <c r="P30" s="3"/>
      <c r="Q30" s="3"/>
      <c r="R30" s="3"/>
      <c r="S30" s="3"/>
      <c r="T30" s="3"/>
      <c r="U30" s="3"/>
      <c r="V30" s="3"/>
      <c r="W30" s="3"/>
      <c r="X30" s="3"/>
      <c r="Y30" s="3"/>
      <c r="Z30" s="3"/>
      <c r="AA30" s="3"/>
      <c r="AB30" s="3"/>
    </row>
    <row r="31" spans="1:28" ht="60.75" thickBot="1">
      <c r="A31" s="1"/>
      <c r="B31" s="27" t="s">
        <v>1604</v>
      </c>
      <c r="C31" s="158" t="s">
        <v>1605</v>
      </c>
      <c r="D31" s="159" t="s">
        <v>106</v>
      </c>
      <c r="E31" s="166" t="s">
        <v>117</v>
      </c>
      <c r="F31" s="3"/>
      <c r="G31" s="3"/>
      <c r="H31" s="3"/>
      <c r="I31" s="3"/>
      <c r="J31" s="3"/>
      <c r="K31" s="3"/>
      <c r="L31" s="3"/>
      <c r="M31" s="3"/>
      <c r="N31" s="3"/>
      <c r="O31" s="3"/>
      <c r="P31" s="3"/>
      <c r="Q31" s="3"/>
      <c r="R31" s="3"/>
      <c r="S31" s="3"/>
      <c r="T31" s="3"/>
      <c r="U31" s="3"/>
      <c r="V31" s="3"/>
      <c r="W31" s="3"/>
      <c r="X31" s="3"/>
      <c r="Y31" s="3"/>
      <c r="Z31" s="3"/>
      <c r="AA31" s="3"/>
      <c r="AB31" s="3"/>
    </row>
    <row r="32" spans="1:28" ht="29.25" thickBot="1">
      <c r="A32" s="1"/>
      <c r="B32" s="152" t="s">
        <v>27</v>
      </c>
      <c r="C32" s="160" t="s">
        <v>1603</v>
      </c>
      <c r="D32" s="161" t="s">
        <v>112</v>
      </c>
      <c r="E32" s="167" t="s">
        <v>126</v>
      </c>
      <c r="F32" s="3"/>
      <c r="G32" s="3"/>
      <c r="H32" s="3"/>
      <c r="I32" s="3"/>
      <c r="J32" s="3"/>
      <c r="K32" s="3"/>
      <c r="L32" s="3"/>
      <c r="M32" s="3"/>
      <c r="N32" s="3"/>
      <c r="O32" s="3"/>
      <c r="P32" s="3"/>
      <c r="Q32" s="3"/>
      <c r="R32" s="3"/>
      <c r="S32" s="3"/>
      <c r="T32" s="3"/>
      <c r="U32" s="3"/>
      <c r="V32" s="3"/>
      <c r="W32" s="3"/>
      <c r="X32" s="3"/>
      <c r="Y32" s="3"/>
      <c r="Z32" s="3"/>
      <c r="AA32" s="3"/>
      <c r="AB32" s="3"/>
    </row>
    <row r="33" spans="1:28" ht="15.75" thickTop="1" thickBot="1">
      <c r="A33" s="1"/>
      <c r="B33" s="751" t="s">
        <v>127</v>
      </c>
      <c r="C33" s="752"/>
      <c r="D33" s="752"/>
      <c r="E33" s="753"/>
      <c r="F33" s="17"/>
      <c r="G33" s="17"/>
      <c r="H33" s="17"/>
      <c r="I33" s="17"/>
      <c r="J33" s="17"/>
      <c r="K33" s="17"/>
      <c r="L33" s="17"/>
      <c r="M33" s="17"/>
      <c r="N33" s="17"/>
      <c r="O33" s="17"/>
      <c r="P33" s="17"/>
      <c r="Q33" s="17"/>
      <c r="R33" s="17"/>
      <c r="S33" s="17"/>
      <c r="T33" s="17"/>
      <c r="U33" s="17"/>
      <c r="V33" s="17"/>
      <c r="W33" s="17"/>
      <c r="X33" s="17"/>
      <c r="Y33" s="17"/>
      <c r="Z33" s="17"/>
      <c r="AA33" s="17"/>
      <c r="AB33" s="17"/>
    </row>
    <row r="34" spans="1:28" ht="72.75" thickTop="1" thickBot="1">
      <c r="A34" s="16"/>
      <c r="B34" s="26" t="s">
        <v>128</v>
      </c>
      <c r="C34" s="65" t="s">
        <v>1606</v>
      </c>
      <c r="D34" s="435" t="s">
        <v>106</v>
      </c>
      <c r="E34" s="436" t="s">
        <v>129</v>
      </c>
      <c r="F34" s="16"/>
      <c r="G34" s="16"/>
      <c r="H34" s="16"/>
      <c r="I34" s="16"/>
      <c r="J34" s="16"/>
      <c r="K34" s="16"/>
      <c r="L34" s="16"/>
      <c r="M34" s="16"/>
      <c r="N34" s="16"/>
      <c r="O34" s="16"/>
      <c r="P34" s="16"/>
      <c r="Q34" s="16"/>
      <c r="R34" s="16"/>
      <c r="S34" s="16"/>
      <c r="T34" s="16"/>
      <c r="U34" s="16"/>
      <c r="V34" s="16"/>
      <c r="W34" s="16"/>
      <c r="X34" s="16"/>
      <c r="Y34" s="16"/>
      <c r="Z34" s="16"/>
      <c r="AA34" s="16"/>
      <c r="AB34" s="16"/>
    </row>
    <row r="35" spans="1:28" ht="87" thickTop="1" thickBot="1">
      <c r="A35" s="16"/>
      <c r="B35" s="152" t="s">
        <v>130</v>
      </c>
      <c r="C35" s="160" t="s">
        <v>1607</v>
      </c>
      <c r="D35" s="446" t="s">
        <v>106</v>
      </c>
      <c r="E35" s="167" t="s">
        <v>107</v>
      </c>
      <c r="F35" s="16"/>
      <c r="G35" s="16"/>
      <c r="H35" s="16"/>
      <c r="I35" s="16"/>
      <c r="J35" s="16"/>
      <c r="K35" s="16"/>
      <c r="L35" s="16"/>
      <c r="M35" s="16"/>
      <c r="N35" s="16"/>
      <c r="O35" s="16"/>
      <c r="P35" s="16"/>
      <c r="Q35" s="16"/>
      <c r="R35" s="16"/>
      <c r="S35" s="16"/>
      <c r="T35" s="16"/>
      <c r="U35" s="16"/>
      <c r="V35" s="16"/>
      <c r="W35" s="16"/>
      <c r="X35" s="16"/>
      <c r="Y35" s="16"/>
      <c r="Z35" s="16"/>
      <c r="AA35" s="16"/>
      <c r="AB35" s="16"/>
    </row>
    <row r="36" spans="1:28" ht="14.25" customHeight="1" thickTop="1">
      <c r="A36" s="16"/>
      <c r="B36" s="19"/>
      <c r="C36" s="19"/>
      <c r="D36" s="19"/>
      <c r="E36" s="19"/>
      <c r="F36" s="16"/>
      <c r="G36" s="16"/>
      <c r="H36" s="16"/>
      <c r="I36" s="16"/>
      <c r="J36" s="16"/>
      <c r="K36" s="16"/>
      <c r="L36" s="16"/>
      <c r="M36" s="16"/>
      <c r="N36" s="16"/>
      <c r="O36" s="16"/>
      <c r="P36" s="16"/>
      <c r="Q36" s="16"/>
      <c r="R36" s="16"/>
      <c r="S36" s="16"/>
      <c r="T36" s="16"/>
      <c r="U36" s="16"/>
      <c r="V36" s="16"/>
      <c r="W36" s="16"/>
      <c r="X36" s="16"/>
      <c r="Y36" s="16"/>
      <c r="Z36" s="16"/>
      <c r="AA36" s="16"/>
      <c r="AB36" s="16"/>
    </row>
    <row r="37" spans="1:28" ht="14.25" customHeight="1">
      <c r="A37" s="16"/>
      <c r="B37" s="19"/>
      <c r="C37" s="19"/>
      <c r="D37" s="19"/>
      <c r="E37" s="19"/>
      <c r="F37" s="16"/>
      <c r="G37" s="16"/>
      <c r="H37" s="16"/>
      <c r="I37" s="16"/>
      <c r="J37" s="16"/>
      <c r="K37" s="16"/>
      <c r="L37" s="16"/>
      <c r="M37" s="16"/>
      <c r="N37" s="16"/>
      <c r="O37" s="16"/>
      <c r="P37" s="16"/>
      <c r="Q37" s="16"/>
      <c r="R37" s="16"/>
      <c r="S37" s="16"/>
      <c r="T37" s="16"/>
      <c r="U37" s="16"/>
      <c r="V37" s="16"/>
      <c r="W37" s="16"/>
      <c r="X37" s="16"/>
      <c r="Y37" s="16"/>
      <c r="Z37" s="16"/>
      <c r="AA37" s="16"/>
      <c r="AB37" s="16"/>
    </row>
    <row r="38" spans="1:28" ht="14.25" customHeight="1">
      <c r="A38" s="16"/>
      <c r="B38" s="19"/>
      <c r="C38" s="19"/>
      <c r="D38" s="19"/>
      <c r="E38" s="19"/>
      <c r="F38" s="16"/>
      <c r="G38" s="16"/>
      <c r="H38" s="16"/>
      <c r="I38" s="16"/>
      <c r="J38" s="16"/>
      <c r="K38" s="16"/>
      <c r="L38" s="16"/>
      <c r="M38" s="16"/>
      <c r="N38" s="16"/>
      <c r="O38" s="16"/>
      <c r="P38" s="16"/>
      <c r="Q38" s="16"/>
      <c r="R38" s="16"/>
      <c r="S38" s="16"/>
      <c r="T38" s="16"/>
      <c r="U38" s="16"/>
      <c r="V38" s="16"/>
      <c r="W38" s="16"/>
      <c r="X38" s="16"/>
      <c r="Y38" s="16"/>
      <c r="Z38" s="16"/>
      <c r="AA38" s="16"/>
      <c r="AB38" s="16"/>
    </row>
    <row r="39" spans="1:28" ht="14.25" customHeight="1">
      <c r="A39" s="16"/>
      <c r="B39" s="19"/>
      <c r="C39" s="19"/>
      <c r="D39" s="19"/>
      <c r="E39" s="19"/>
      <c r="F39" s="16"/>
      <c r="G39" s="16"/>
      <c r="H39" s="16"/>
      <c r="I39" s="16"/>
      <c r="J39" s="16"/>
      <c r="K39" s="16"/>
      <c r="L39" s="16"/>
      <c r="M39" s="16"/>
      <c r="N39" s="16"/>
      <c r="O39" s="16"/>
      <c r="P39" s="16"/>
      <c r="Q39" s="16"/>
      <c r="R39" s="16"/>
      <c r="S39" s="16"/>
      <c r="T39" s="16"/>
      <c r="U39" s="16"/>
      <c r="V39" s="16"/>
      <c r="W39" s="16"/>
      <c r="X39" s="16"/>
      <c r="Y39" s="16"/>
      <c r="Z39" s="16"/>
      <c r="AA39" s="16"/>
      <c r="AB39" s="16"/>
    </row>
    <row r="40" spans="1:28" ht="14.25" customHeight="1">
      <c r="A40" s="16"/>
      <c r="B40" s="19"/>
      <c r="C40" s="19"/>
      <c r="D40" s="19"/>
      <c r="E40" s="19"/>
      <c r="F40" s="16"/>
      <c r="G40" s="16"/>
      <c r="H40" s="16"/>
      <c r="I40" s="16"/>
      <c r="J40" s="16"/>
      <c r="K40" s="16"/>
      <c r="L40" s="16"/>
      <c r="M40" s="16"/>
      <c r="N40" s="16"/>
      <c r="O40" s="16"/>
      <c r="P40" s="16"/>
      <c r="Q40" s="16"/>
      <c r="R40" s="16"/>
      <c r="S40" s="16"/>
      <c r="T40" s="16"/>
      <c r="U40" s="16"/>
      <c r="V40" s="16"/>
      <c r="W40" s="16"/>
      <c r="X40" s="16"/>
      <c r="Y40" s="16"/>
      <c r="Z40" s="16"/>
      <c r="AA40" s="16"/>
      <c r="AB40" s="16"/>
    </row>
    <row r="41" spans="1:28" ht="14.25" customHeight="1">
      <c r="A41" s="16"/>
      <c r="B41" s="19"/>
      <c r="C41" s="19"/>
      <c r="D41" s="19"/>
      <c r="E41" s="19"/>
      <c r="F41" s="16"/>
      <c r="G41" s="16"/>
      <c r="H41" s="16"/>
      <c r="I41" s="16"/>
      <c r="J41" s="16"/>
      <c r="K41" s="16"/>
      <c r="L41" s="16"/>
      <c r="M41" s="16"/>
      <c r="N41" s="16"/>
      <c r="O41" s="16"/>
      <c r="P41" s="16"/>
      <c r="Q41" s="16"/>
      <c r="R41" s="16"/>
      <c r="S41" s="16"/>
      <c r="T41" s="16"/>
      <c r="U41" s="16"/>
      <c r="V41" s="16"/>
      <c r="W41" s="16"/>
      <c r="X41" s="16"/>
      <c r="Y41" s="16"/>
      <c r="Z41" s="16"/>
      <c r="AA41" s="16"/>
      <c r="AB41" s="16"/>
    </row>
    <row r="42" spans="1:28" ht="14.25" customHeight="1">
      <c r="A42" s="16"/>
      <c r="B42" s="19"/>
      <c r="C42" s="19"/>
      <c r="D42" s="19"/>
      <c r="E42" s="19"/>
      <c r="F42" s="16"/>
      <c r="G42" s="16"/>
      <c r="H42" s="16"/>
      <c r="I42" s="16"/>
      <c r="J42" s="16"/>
      <c r="K42" s="16"/>
      <c r="L42" s="16"/>
      <c r="M42" s="16"/>
      <c r="N42" s="16"/>
      <c r="O42" s="16"/>
      <c r="P42" s="16"/>
      <c r="Q42" s="16"/>
      <c r="R42" s="16"/>
      <c r="S42" s="16"/>
      <c r="T42" s="16"/>
      <c r="U42" s="16"/>
      <c r="V42" s="16"/>
      <c r="W42" s="16"/>
      <c r="X42" s="16"/>
      <c r="Y42" s="16"/>
      <c r="Z42" s="16"/>
      <c r="AA42" s="16"/>
      <c r="AB42" s="16"/>
    </row>
    <row r="43" spans="1:28" ht="14.25" customHeight="1">
      <c r="A43" s="16"/>
      <c r="B43" s="19"/>
      <c r="C43" s="19"/>
      <c r="D43" s="19"/>
      <c r="E43" s="19"/>
      <c r="F43" s="16"/>
      <c r="G43" s="16"/>
      <c r="H43" s="16"/>
      <c r="I43" s="16"/>
      <c r="J43" s="16"/>
      <c r="K43" s="16"/>
      <c r="L43" s="16"/>
      <c r="M43" s="16"/>
      <c r="N43" s="16"/>
      <c r="O43" s="16"/>
      <c r="P43" s="16"/>
      <c r="Q43" s="16"/>
      <c r="R43" s="16"/>
      <c r="S43" s="16"/>
      <c r="T43" s="16"/>
      <c r="U43" s="16"/>
      <c r="V43" s="16"/>
      <c r="W43" s="16"/>
      <c r="X43" s="16"/>
      <c r="Y43" s="16"/>
      <c r="Z43" s="16"/>
      <c r="AA43" s="16"/>
      <c r="AB43" s="16"/>
    </row>
    <row r="44" spans="1:28" ht="14.25" customHeight="1">
      <c r="A44" s="16"/>
      <c r="B44" s="19"/>
      <c r="C44" s="19"/>
      <c r="D44" s="19"/>
      <c r="E44" s="19"/>
      <c r="F44" s="16"/>
      <c r="G44" s="16"/>
      <c r="H44" s="16"/>
      <c r="I44" s="16"/>
      <c r="J44" s="16"/>
      <c r="K44" s="16"/>
      <c r="L44" s="16"/>
      <c r="M44" s="16"/>
      <c r="N44" s="16"/>
      <c r="O44" s="16"/>
      <c r="P44" s="16"/>
      <c r="Q44" s="16"/>
      <c r="R44" s="16"/>
      <c r="S44" s="16"/>
      <c r="T44" s="16"/>
      <c r="U44" s="16"/>
      <c r="V44" s="16"/>
      <c r="W44" s="16"/>
      <c r="X44" s="16"/>
      <c r="Y44" s="16"/>
      <c r="Z44" s="16"/>
      <c r="AA44" s="16"/>
      <c r="AB44" s="16"/>
    </row>
    <row r="45" spans="1:28" ht="14.25" customHeight="1">
      <c r="A45" s="16"/>
      <c r="B45" s="19"/>
      <c r="C45" s="19"/>
      <c r="D45" s="19"/>
      <c r="E45" s="19"/>
      <c r="F45" s="16"/>
      <c r="G45" s="16"/>
      <c r="H45" s="16"/>
      <c r="I45" s="16"/>
      <c r="J45" s="16"/>
      <c r="K45" s="16"/>
      <c r="L45" s="16"/>
      <c r="M45" s="16"/>
      <c r="N45" s="16"/>
      <c r="O45" s="16"/>
      <c r="P45" s="16"/>
      <c r="Q45" s="16"/>
      <c r="R45" s="16"/>
      <c r="S45" s="16"/>
      <c r="T45" s="16"/>
      <c r="U45" s="16"/>
      <c r="V45" s="16"/>
      <c r="W45" s="16"/>
      <c r="X45" s="16"/>
      <c r="Y45" s="16"/>
      <c r="Z45" s="16"/>
      <c r="AA45" s="16"/>
      <c r="AB45" s="16"/>
    </row>
    <row r="46" spans="1:28">
      <c r="A46" s="16"/>
      <c r="B46" s="19"/>
      <c r="C46" s="19"/>
      <c r="D46" s="19"/>
      <c r="E46" s="19"/>
      <c r="F46" s="16"/>
      <c r="G46" s="16"/>
      <c r="H46" s="16"/>
      <c r="I46" s="16"/>
      <c r="J46" s="16"/>
      <c r="K46" s="16"/>
      <c r="L46" s="16"/>
      <c r="M46" s="16"/>
      <c r="N46" s="16"/>
      <c r="O46" s="16"/>
      <c r="P46" s="16"/>
      <c r="Q46" s="16"/>
      <c r="R46" s="16"/>
      <c r="S46" s="16"/>
      <c r="T46" s="16"/>
      <c r="U46" s="16"/>
      <c r="V46" s="16"/>
      <c r="W46" s="16"/>
      <c r="X46" s="16"/>
      <c r="Y46" s="16"/>
      <c r="Z46" s="16"/>
      <c r="AA46" s="16"/>
      <c r="AB46" s="16"/>
    </row>
    <row r="47" spans="1:28">
      <c r="A47" s="16"/>
      <c r="B47" s="19"/>
      <c r="C47" s="19"/>
      <c r="D47" s="19"/>
      <c r="E47" s="19"/>
      <c r="F47" s="16"/>
      <c r="G47" s="16"/>
      <c r="H47" s="16"/>
      <c r="I47" s="16"/>
      <c r="J47" s="16"/>
      <c r="K47" s="16"/>
      <c r="L47" s="16"/>
      <c r="M47" s="16"/>
      <c r="N47" s="16"/>
      <c r="O47" s="16"/>
      <c r="P47" s="16"/>
      <c r="Q47" s="16"/>
      <c r="R47" s="16"/>
      <c r="S47" s="16"/>
      <c r="T47" s="16"/>
      <c r="U47" s="16"/>
      <c r="V47" s="16"/>
      <c r="W47" s="16"/>
      <c r="X47" s="16"/>
      <c r="Y47" s="16"/>
      <c r="Z47" s="16"/>
      <c r="AA47" s="16"/>
      <c r="AB47" s="16"/>
    </row>
    <row r="48" spans="1:28">
      <c r="A48" s="16"/>
      <c r="B48" s="19"/>
      <c r="C48" s="19"/>
      <c r="D48" s="19"/>
      <c r="E48" s="19"/>
      <c r="F48" s="16"/>
      <c r="G48" s="16"/>
      <c r="H48" s="16"/>
      <c r="I48" s="16"/>
      <c r="J48" s="16"/>
      <c r="K48" s="16"/>
      <c r="L48" s="16"/>
      <c r="M48" s="16"/>
      <c r="N48" s="16"/>
      <c r="O48" s="16"/>
      <c r="P48" s="16"/>
      <c r="Q48" s="16"/>
      <c r="R48" s="16"/>
      <c r="S48" s="16"/>
      <c r="T48" s="16"/>
      <c r="U48" s="16"/>
      <c r="V48" s="16"/>
      <c r="W48" s="16"/>
      <c r="X48" s="16"/>
      <c r="Y48" s="16"/>
      <c r="Z48" s="16"/>
      <c r="AA48" s="16"/>
      <c r="AB48" s="16"/>
    </row>
    <row r="49" spans="1:28">
      <c r="A49" s="16"/>
      <c r="B49" s="19"/>
      <c r="C49" s="19"/>
      <c r="D49" s="19"/>
      <c r="E49" s="19"/>
      <c r="F49" s="16"/>
      <c r="G49" s="16"/>
      <c r="H49" s="16"/>
      <c r="I49" s="16"/>
      <c r="J49" s="16"/>
      <c r="K49" s="16"/>
      <c r="L49" s="16"/>
      <c r="M49" s="16"/>
      <c r="N49" s="16"/>
      <c r="O49" s="16"/>
      <c r="P49" s="16"/>
      <c r="Q49" s="16"/>
      <c r="R49" s="16"/>
      <c r="S49" s="16"/>
      <c r="T49" s="16"/>
      <c r="U49" s="16"/>
      <c r="V49" s="16"/>
      <c r="W49" s="16"/>
      <c r="X49" s="16"/>
      <c r="Y49" s="16"/>
      <c r="Z49" s="16"/>
      <c r="AA49" s="16"/>
      <c r="AB49" s="16"/>
    </row>
    <row r="50" spans="1:28">
      <c r="A50" s="16"/>
      <c r="B50" s="19"/>
      <c r="C50" s="19"/>
      <c r="D50" s="19"/>
      <c r="E50" s="19"/>
      <c r="F50" s="16"/>
      <c r="G50" s="16"/>
      <c r="H50" s="16"/>
      <c r="I50" s="16"/>
      <c r="J50" s="16"/>
      <c r="K50" s="16"/>
      <c r="L50" s="16"/>
      <c r="M50" s="16"/>
      <c r="N50" s="16"/>
      <c r="O50" s="16"/>
      <c r="P50" s="16"/>
      <c r="Q50" s="16"/>
      <c r="R50" s="16"/>
      <c r="S50" s="16"/>
      <c r="T50" s="16"/>
      <c r="U50" s="16"/>
      <c r="V50" s="16"/>
      <c r="W50" s="16"/>
      <c r="X50" s="16"/>
      <c r="Y50" s="16"/>
      <c r="Z50" s="16"/>
      <c r="AA50" s="16"/>
      <c r="AB50" s="16"/>
    </row>
    <row r="51" spans="1:28">
      <c r="A51" s="16"/>
      <c r="B51" s="19"/>
      <c r="C51" s="19"/>
      <c r="D51" s="19"/>
      <c r="E51" s="19"/>
      <c r="F51" s="16"/>
      <c r="G51" s="16"/>
      <c r="H51" s="16"/>
      <c r="I51" s="16"/>
      <c r="J51" s="16"/>
      <c r="K51" s="16"/>
      <c r="L51" s="16"/>
      <c r="M51" s="16"/>
      <c r="N51" s="16"/>
      <c r="O51" s="16"/>
      <c r="P51" s="16"/>
      <c r="Q51" s="16"/>
      <c r="R51" s="16"/>
      <c r="S51" s="16"/>
      <c r="T51" s="16"/>
      <c r="U51" s="16"/>
      <c r="V51" s="16"/>
      <c r="W51" s="16"/>
      <c r="X51" s="16"/>
      <c r="Y51" s="16"/>
      <c r="Z51" s="16"/>
      <c r="AA51" s="16"/>
      <c r="AB51" s="16"/>
    </row>
    <row r="52" spans="1:28">
      <c r="A52" s="16"/>
      <c r="B52" s="19"/>
      <c r="C52" s="19"/>
      <c r="D52" s="19"/>
      <c r="E52" s="19"/>
      <c r="F52" s="16"/>
      <c r="G52" s="16"/>
      <c r="H52" s="16"/>
      <c r="I52" s="16"/>
      <c r="J52" s="16"/>
      <c r="K52" s="16"/>
      <c r="L52" s="16"/>
      <c r="M52" s="16"/>
      <c r="N52" s="16"/>
      <c r="O52" s="16"/>
      <c r="P52" s="16"/>
      <c r="Q52" s="16"/>
      <c r="R52" s="16"/>
      <c r="S52" s="16"/>
      <c r="T52" s="16"/>
      <c r="U52" s="16"/>
      <c r="V52" s="16"/>
      <c r="W52" s="16"/>
      <c r="X52" s="16"/>
      <c r="Y52" s="16"/>
      <c r="Z52" s="16"/>
      <c r="AA52" s="16"/>
      <c r="AB52" s="16"/>
    </row>
    <row r="53" spans="1:28">
      <c r="A53" s="16"/>
      <c r="B53" s="19"/>
      <c r="C53" s="19"/>
      <c r="D53" s="19"/>
      <c r="E53" s="19"/>
      <c r="F53" s="16"/>
      <c r="G53" s="16"/>
      <c r="H53" s="16"/>
      <c r="I53" s="16"/>
      <c r="J53" s="16"/>
      <c r="K53" s="16"/>
      <c r="L53" s="16"/>
      <c r="M53" s="16"/>
      <c r="N53" s="16"/>
      <c r="O53" s="16"/>
      <c r="P53" s="16"/>
      <c r="Q53" s="16"/>
      <c r="R53" s="16"/>
      <c r="S53" s="16"/>
      <c r="T53" s="16"/>
      <c r="U53" s="16"/>
      <c r="V53" s="16"/>
      <c r="W53" s="16"/>
      <c r="X53" s="16"/>
      <c r="Y53" s="16"/>
      <c r="Z53" s="16"/>
      <c r="AA53" s="16"/>
      <c r="AB53" s="16"/>
    </row>
    <row r="54" spans="1:28" ht="14.25" customHeight="1">
      <c r="A54" s="16"/>
      <c r="B54" s="19"/>
      <c r="C54" s="19"/>
      <c r="D54" s="19"/>
      <c r="E54" s="19"/>
      <c r="F54" s="16"/>
      <c r="G54" s="16"/>
      <c r="H54" s="16"/>
      <c r="I54" s="16"/>
      <c r="J54" s="16"/>
      <c r="K54" s="16"/>
      <c r="L54" s="16"/>
      <c r="M54" s="16"/>
      <c r="N54" s="16"/>
      <c r="O54" s="16"/>
      <c r="P54" s="16"/>
      <c r="Q54" s="16"/>
      <c r="R54" s="16"/>
      <c r="S54" s="16"/>
      <c r="T54" s="16"/>
      <c r="U54" s="16"/>
      <c r="V54" s="16"/>
      <c r="W54" s="16"/>
      <c r="X54" s="16"/>
      <c r="Y54" s="16"/>
      <c r="Z54" s="16"/>
      <c r="AA54" s="16"/>
      <c r="AB54" s="16"/>
    </row>
    <row r="55" spans="1:28" ht="14.25" customHeight="1">
      <c r="A55" s="16"/>
      <c r="B55" s="19"/>
      <c r="C55" s="19"/>
      <c r="D55" s="19"/>
      <c r="E55" s="19"/>
      <c r="F55" s="16"/>
      <c r="G55" s="16"/>
      <c r="H55" s="16"/>
      <c r="I55" s="16"/>
      <c r="J55" s="16"/>
      <c r="K55" s="16"/>
      <c r="L55" s="16"/>
      <c r="M55" s="16"/>
      <c r="N55" s="16"/>
      <c r="O55" s="16"/>
      <c r="P55" s="16"/>
      <c r="Q55" s="16"/>
      <c r="R55" s="16"/>
      <c r="S55" s="16"/>
      <c r="T55" s="16"/>
      <c r="U55" s="16"/>
      <c r="V55" s="16"/>
      <c r="W55" s="16"/>
      <c r="X55" s="16"/>
      <c r="Y55" s="16"/>
      <c r="Z55" s="16"/>
      <c r="AA55" s="16"/>
      <c r="AB55" s="16"/>
    </row>
    <row r="56" spans="1:28" ht="14.25" customHeight="1">
      <c r="A56" s="16"/>
      <c r="B56" s="19"/>
      <c r="C56" s="19"/>
      <c r="D56" s="19"/>
      <c r="E56" s="19"/>
      <c r="F56" s="16"/>
      <c r="G56" s="16"/>
      <c r="H56" s="16"/>
      <c r="I56" s="16"/>
      <c r="J56" s="16"/>
      <c r="K56" s="16"/>
      <c r="L56" s="16"/>
      <c r="M56" s="16"/>
      <c r="N56" s="16"/>
      <c r="O56" s="16"/>
      <c r="P56" s="16"/>
      <c r="Q56" s="16"/>
      <c r="R56" s="16"/>
      <c r="S56" s="16"/>
      <c r="T56" s="16"/>
      <c r="U56" s="16"/>
      <c r="V56" s="16"/>
      <c r="W56" s="16"/>
      <c r="X56" s="16"/>
      <c r="Y56" s="16"/>
      <c r="Z56" s="16"/>
      <c r="AA56" s="16"/>
      <c r="AB56" s="16"/>
    </row>
    <row r="57" spans="1:28" ht="14.25" customHeight="1">
      <c r="A57" s="16"/>
      <c r="B57" s="19"/>
      <c r="C57" s="19"/>
      <c r="D57" s="19"/>
      <c r="E57" s="19"/>
      <c r="F57" s="16"/>
      <c r="G57" s="16"/>
      <c r="H57" s="16"/>
      <c r="I57" s="16"/>
      <c r="J57" s="16"/>
      <c r="K57" s="16"/>
      <c r="L57" s="16"/>
      <c r="M57" s="16"/>
      <c r="N57" s="16"/>
      <c r="O57" s="16"/>
      <c r="P57" s="16"/>
      <c r="Q57" s="16"/>
      <c r="R57" s="16"/>
      <c r="S57" s="16"/>
      <c r="T57" s="16"/>
      <c r="U57" s="16"/>
      <c r="V57" s="16"/>
      <c r="W57" s="16"/>
      <c r="X57" s="16"/>
      <c r="Y57" s="16"/>
      <c r="Z57" s="16"/>
      <c r="AA57" s="16"/>
      <c r="AB57" s="16"/>
    </row>
    <row r="58" spans="1:28">
      <c r="A58" s="16"/>
      <c r="B58" s="19"/>
      <c r="C58" s="19"/>
      <c r="D58" s="19"/>
      <c r="E58" s="19"/>
      <c r="F58" s="16"/>
      <c r="G58" s="16"/>
      <c r="H58" s="16"/>
      <c r="I58" s="16"/>
      <c r="J58" s="16"/>
      <c r="K58" s="16"/>
      <c r="L58" s="16"/>
      <c r="M58" s="16"/>
      <c r="N58" s="16"/>
      <c r="O58" s="16"/>
      <c r="P58" s="16"/>
      <c r="Q58" s="16"/>
      <c r="R58" s="16"/>
      <c r="S58" s="16"/>
      <c r="T58" s="16"/>
      <c r="U58" s="16"/>
      <c r="V58" s="16"/>
      <c r="W58" s="16"/>
      <c r="X58" s="16"/>
      <c r="Y58" s="16"/>
      <c r="Z58" s="16"/>
      <c r="AA58" s="16"/>
      <c r="AB58" s="16"/>
    </row>
    <row r="59" spans="1:28">
      <c r="A59" s="16"/>
      <c r="B59" s="19"/>
      <c r="C59" s="19"/>
      <c r="D59" s="19"/>
      <c r="E59" s="19"/>
      <c r="F59" s="16"/>
      <c r="G59" s="16"/>
      <c r="H59" s="16"/>
      <c r="I59" s="16"/>
      <c r="J59" s="16"/>
      <c r="K59" s="16"/>
      <c r="L59" s="16"/>
      <c r="M59" s="16"/>
      <c r="N59" s="16"/>
      <c r="O59" s="16"/>
      <c r="P59" s="16"/>
      <c r="Q59" s="16"/>
      <c r="R59" s="16"/>
      <c r="S59" s="16"/>
      <c r="T59" s="16"/>
      <c r="U59" s="16"/>
      <c r="V59" s="16"/>
      <c r="W59" s="16"/>
      <c r="X59" s="16"/>
      <c r="Y59" s="16"/>
      <c r="Z59" s="16"/>
      <c r="AA59" s="16"/>
      <c r="AB59" s="16"/>
    </row>
    <row r="60" spans="1:28" ht="45" customHeight="1">
      <c r="A60" s="16"/>
      <c r="B60" s="19"/>
      <c r="C60" s="19"/>
      <c r="D60" s="19"/>
      <c r="E60" s="19"/>
      <c r="F60" s="16"/>
      <c r="G60" s="16"/>
      <c r="H60" s="16"/>
      <c r="I60" s="16"/>
      <c r="J60" s="16"/>
      <c r="K60" s="16"/>
      <c r="L60" s="16"/>
      <c r="M60" s="16"/>
      <c r="N60" s="16"/>
      <c r="O60" s="16"/>
      <c r="P60" s="16"/>
      <c r="Q60" s="16"/>
      <c r="R60" s="16"/>
      <c r="S60" s="16"/>
      <c r="T60" s="16"/>
      <c r="U60" s="16"/>
      <c r="V60" s="16"/>
      <c r="W60" s="16"/>
      <c r="X60" s="16"/>
      <c r="Y60" s="16"/>
      <c r="Z60" s="16"/>
      <c r="AA60" s="16"/>
      <c r="AB60" s="16"/>
    </row>
    <row r="61" spans="1:28" ht="34.5" customHeight="1">
      <c r="A61" s="16"/>
      <c r="B61" s="19"/>
      <c r="C61" s="19"/>
      <c r="D61" s="19"/>
      <c r="E61" s="19"/>
      <c r="F61" s="16"/>
      <c r="G61" s="16"/>
      <c r="H61" s="16"/>
      <c r="I61" s="16"/>
      <c r="J61" s="16"/>
      <c r="K61" s="16"/>
      <c r="L61" s="16"/>
      <c r="M61" s="16"/>
      <c r="N61" s="16"/>
      <c r="O61" s="16"/>
      <c r="P61" s="16"/>
      <c r="Q61" s="16"/>
      <c r="R61" s="16"/>
      <c r="S61" s="16"/>
      <c r="T61" s="16"/>
      <c r="U61" s="16"/>
      <c r="V61" s="16"/>
      <c r="W61" s="16"/>
      <c r="X61" s="16"/>
      <c r="Y61" s="16"/>
      <c r="Z61" s="16"/>
      <c r="AA61" s="16"/>
      <c r="AB61" s="16"/>
    </row>
    <row r="62" spans="1:28" ht="24" customHeight="1">
      <c r="A62" s="16"/>
      <c r="B62" s="19"/>
      <c r="C62" s="19"/>
      <c r="D62" s="19"/>
      <c r="E62" s="19"/>
      <c r="F62" s="16"/>
      <c r="G62" s="16"/>
      <c r="H62" s="16"/>
      <c r="I62" s="16"/>
      <c r="J62" s="16"/>
      <c r="K62" s="16"/>
      <c r="L62" s="16"/>
      <c r="M62" s="16"/>
      <c r="N62" s="16"/>
      <c r="O62" s="16"/>
      <c r="P62" s="16"/>
      <c r="Q62" s="16"/>
      <c r="R62" s="16"/>
      <c r="S62" s="16"/>
      <c r="T62" s="16"/>
      <c r="U62" s="16"/>
      <c r="V62" s="16"/>
      <c r="W62" s="16"/>
      <c r="X62" s="16"/>
      <c r="Y62" s="16"/>
      <c r="Z62" s="16"/>
      <c r="AA62" s="16"/>
      <c r="AB62" s="16"/>
    </row>
    <row r="63" spans="1:28">
      <c r="A63" s="16"/>
      <c r="B63" s="19"/>
      <c r="C63" s="19"/>
      <c r="D63" s="19"/>
      <c r="E63" s="19"/>
      <c r="F63" s="16"/>
      <c r="G63" s="16"/>
      <c r="H63" s="16"/>
      <c r="I63" s="16"/>
      <c r="J63" s="16"/>
      <c r="K63" s="16"/>
      <c r="L63" s="16"/>
      <c r="M63" s="16"/>
      <c r="N63" s="16"/>
      <c r="O63" s="16"/>
      <c r="P63" s="16"/>
      <c r="Q63" s="16"/>
      <c r="R63" s="16"/>
      <c r="S63" s="16"/>
      <c r="T63" s="16"/>
      <c r="U63" s="16"/>
      <c r="V63" s="16"/>
      <c r="W63" s="16"/>
      <c r="X63" s="16"/>
      <c r="Y63" s="16"/>
      <c r="Z63" s="16"/>
      <c r="AA63" s="16"/>
      <c r="AB63" s="16"/>
    </row>
    <row r="64" spans="1:28">
      <c r="A64" s="16"/>
      <c r="B64" s="19"/>
      <c r="C64" s="19"/>
      <c r="D64" s="19"/>
      <c r="E64" s="19"/>
      <c r="F64" s="16"/>
      <c r="G64" s="16"/>
      <c r="H64" s="16"/>
      <c r="I64" s="16"/>
      <c r="J64" s="16"/>
      <c r="K64" s="16"/>
      <c r="L64" s="16"/>
      <c r="M64" s="16"/>
      <c r="N64" s="16"/>
      <c r="O64" s="16"/>
      <c r="P64" s="16"/>
      <c r="Q64" s="16"/>
      <c r="R64" s="16"/>
      <c r="S64" s="16"/>
      <c r="T64" s="16"/>
      <c r="U64" s="16"/>
      <c r="V64" s="16"/>
      <c r="W64" s="16"/>
      <c r="X64" s="16"/>
      <c r="Y64" s="16"/>
      <c r="Z64" s="16"/>
      <c r="AA64" s="16"/>
      <c r="AB64" s="16"/>
    </row>
    <row r="65" spans="1:28" ht="42.75" customHeight="1">
      <c r="A65" s="16"/>
      <c r="B65" s="19"/>
      <c r="C65" s="19"/>
      <c r="D65" s="19"/>
      <c r="E65" s="19"/>
      <c r="F65" s="16"/>
      <c r="G65" s="16"/>
      <c r="H65" s="16"/>
      <c r="I65" s="16"/>
      <c r="J65" s="16"/>
      <c r="K65" s="16"/>
      <c r="L65" s="16"/>
      <c r="M65" s="16"/>
      <c r="N65" s="16"/>
      <c r="O65" s="16"/>
      <c r="P65" s="16"/>
      <c r="Q65" s="16"/>
      <c r="R65" s="16"/>
      <c r="S65" s="16"/>
      <c r="T65" s="16"/>
      <c r="U65" s="16"/>
      <c r="V65" s="16"/>
      <c r="W65" s="16"/>
      <c r="X65" s="16"/>
      <c r="Y65" s="16"/>
      <c r="Z65" s="16"/>
      <c r="AA65" s="16"/>
      <c r="AB65" s="16"/>
    </row>
    <row r="66" spans="1:28">
      <c r="A66" s="16"/>
      <c r="B66" s="19"/>
      <c r="C66" s="19"/>
      <c r="D66" s="19"/>
      <c r="E66" s="19"/>
      <c r="F66" s="16"/>
      <c r="G66" s="16"/>
      <c r="H66" s="16"/>
      <c r="I66" s="16"/>
      <c r="J66" s="16"/>
      <c r="K66" s="16"/>
      <c r="L66" s="16"/>
      <c r="M66" s="16"/>
      <c r="N66" s="16"/>
      <c r="O66" s="16"/>
      <c r="P66" s="16"/>
      <c r="Q66" s="16"/>
      <c r="R66" s="16"/>
      <c r="S66" s="16"/>
      <c r="T66" s="16"/>
      <c r="U66" s="16"/>
      <c r="V66" s="16"/>
      <c r="W66" s="16"/>
      <c r="X66" s="16"/>
      <c r="Y66" s="16"/>
      <c r="Z66" s="16"/>
      <c r="AA66" s="16"/>
      <c r="AB66" s="16"/>
    </row>
    <row r="67" spans="1:28">
      <c r="A67" s="16"/>
      <c r="B67" s="19"/>
      <c r="C67" s="19"/>
      <c r="D67" s="19"/>
      <c r="E67" s="19"/>
      <c r="F67" s="16"/>
      <c r="G67" s="16"/>
      <c r="H67" s="16"/>
      <c r="I67" s="16"/>
      <c r="J67" s="16"/>
      <c r="K67" s="16"/>
      <c r="L67" s="16"/>
      <c r="M67" s="16"/>
      <c r="N67" s="16"/>
      <c r="O67" s="16"/>
      <c r="P67" s="16"/>
      <c r="Q67" s="16"/>
      <c r="R67" s="16"/>
      <c r="S67" s="16"/>
      <c r="T67" s="16"/>
      <c r="U67" s="16"/>
      <c r="V67" s="16"/>
      <c r="W67" s="16"/>
      <c r="X67" s="16"/>
      <c r="Y67" s="16"/>
      <c r="Z67" s="16"/>
      <c r="AA67" s="16"/>
      <c r="AB67" s="16"/>
    </row>
    <row r="68" spans="1:28">
      <c r="A68" s="16"/>
      <c r="B68" s="19"/>
      <c r="C68" s="19"/>
      <c r="D68" s="19"/>
      <c r="E68" s="19"/>
      <c r="F68" s="16"/>
      <c r="G68" s="16"/>
      <c r="H68" s="16"/>
      <c r="I68" s="16"/>
      <c r="J68" s="16"/>
      <c r="K68" s="16"/>
      <c r="L68" s="16"/>
      <c r="M68" s="16"/>
      <c r="N68" s="16"/>
      <c r="O68" s="16"/>
      <c r="P68" s="16"/>
      <c r="Q68" s="16"/>
      <c r="R68" s="16"/>
      <c r="S68" s="16"/>
      <c r="T68" s="16"/>
      <c r="U68" s="16"/>
      <c r="V68" s="16"/>
      <c r="W68" s="16"/>
      <c r="X68" s="16"/>
      <c r="Y68" s="16"/>
      <c r="Z68" s="16"/>
      <c r="AA68" s="16"/>
      <c r="AB68" s="16"/>
    </row>
    <row r="69" spans="1:28">
      <c r="A69" s="16"/>
      <c r="B69" s="19"/>
      <c r="C69" s="19"/>
      <c r="D69" s="19"/>
      <c r="E69" s="19"/>
      <c r="F69" s="16"/>
      <c r="G69" s="16"/>
      <c r="H69" s="16"/>
      <c r="I69" s="16"/>
      <c r="J69" s="16"/>
      <c r="K69" s="16"/>
      <c r="L69" s="16"/>
      <c r="M69" s="16"/>
      <c r="N69" s="16"/>
      <c r="O69" s="16"/>
      <c r="P69" s="16"/>
      <c r="Q69" s="16"/>
      <c r="R69" s="16"/>
      <c r="S69" s="16"/>
      <c r="T69" s="16"/>
      <c r="U69" s="16"/>
      <c r="V69" s="16"/>
      <c r="W69" s="16"/>
      <c r="X69" s="16"/>
      <c r="Y69" s="16"/>
      <c r="Z69" s="16"/>
      <c r="AA69" s="16"/>
      <c r="AB69" s="16"/>
    </row>
    <row r="70" spans="1:28">
      <c r="A70" s="16"/>
      <c r="B70" s="19"/>
      <c r="C70" s="19"/>
      <c r="D70" s="19"/>
      <c r="E70" s="19"/>
      <c r="F70" s="16"/>
      <c r="G70" s="16"/>
      <c r="H70" s="16"/>
      <c r="I70" s="16"/>
      <c r="J70" s="16"/>
      <c r="K70" s="16"/>
      <c r="L70" s="16"/>
      <c r="M70" s="16"/>
      <c r="N70" s="16"/>
      <c r="O70" s="16"/>
      <c r="P70" s="16"/>
      <c r="Q70" s="16"/>
      <c r="R70" s="16"/>
      <c r="S70" s="16"/>
      <c r="T70" s="16"/>
      <c r="U70" s="16"/>
      <c r="V70" s="16"/>
      <c r="W70" s="16"/>
      <c r="X70" s="16"/>
      <c r="Y70" s="16"/>
      <c r="Z70" s="16"/>
      <c r="AA70" s="16"/>
      <c r="AB70" s="16"/>
    </row>
    <row r="71" spans="1:28">
      <c r="A71" s="16"/>
      <c r="B71" s="19"/>
      <c r="C71" s="19"/>
      <c r="D71" s="19"/>
      <c r="E71" s="19"/>
      <c r="F71" s="16"/>
      <c r="G71" s="16"/>
      <c r="H71" s="16"/>
      <c r="I71" s="16"/>
      <c r="J71" s="16"/>
      <c r="K71" s="16"/>
      <c r="L71" s="16"/>
      <c r="M71" s="16"/>
      <c r="N71" s="16"/>
      <c r="O71" s="16"/>
      <c r="P71" s="16"/>
      <c r="Q71" s="16"/>
      <c r="R71" s="16"/>
      <c r="S71" s="16"/>
      <c r="T71" s="16"/>
      <c r="U71" s="16"/>
      <c r="V71" s="16"/>
      <c r="W71" s="16"/>
      <c r="X71" s="16"/>
      <c r="Y71" s="16"/>
      <c r="Z71" s="16"/>
      <c r="AA71" s="16"/>
      <c r="AB71" s="16"/>
    </row>
    <row r="72" spans="1:28">
      <c r="A72" s="16"/>
      <c r="B72" s="19"/>
      <c r="C72" s="19"/>
      <c r="D72" s="19"/>
      <c r="E72" s="19"/>
      <c r="F72" s="16"/>
      <c r="G72" s="16"/>
      <c r="H72" s="16"/>
      <c r="I72" s="16"/>
      <c r="J72" s="16"/>
      <c r="K72" s="16"/>
      <c r="L72" s="16"/>
      <c r="M72" s="16"/>
      <c r="N72" s="16"/>
      <c r="O72" s="16"/>
      <c r="P72" s="16"/>
      <c r="Q72" s="16"/>
      <c r="R72" s="16"/>
      <c r="S72" s="16"/>
      <c r="T72" s="16"/>
      <c r="U72" s="16"/>
      <c r="V72" s="16"/>
      <c r="W72" s="16"/>
      <c r="X72" s="16"/>
      <c r="Y72" s="16"/>
      <c r="Z72" s="16"/>
      <c r="AA72" s="16"/>
      <c r="AB72" s="16"/>
    </row>
    <row r="73" spans="1:28">
      <c r="A73" s="16"/>
      <c r="B73" s="19"/>
      <c r="C73" s="19"/>
      <c r="D73" s="19"/>
      <c r="E73" s="19"/>
      <c r="F73" s="16"/>
      <c r="G73" s="16"/>
      <c r="H73" s="16"/>
      <c r="I73" s="16"/>
      <c r="J73" s="16"/>
      <c r="K73" s="16"/>
      <c r="L73" s="16"/>
      <c r="M73" s="16"/>
      <c r="N73" s="16"/>
      <c r="O73" s="16"/>
      <c r="P73" s="16"/>
      <c r="Q73" s="16"/>
      <c r="R73" s="16"/>
      <c r="S73" s="16"/>
      <c r="T73" s="16"/>
      <c r="U73" s="16"/>
      <c r="V73" s="16"/>
      <c r="W73" s="16"/>
      <c r="X73" s="16"/>
      <c r="Y73" s="16"/>
      <c r="Z73" s="16"/>
      <c r="AA73" s="16"/>
      <c r="AB73" s="16"/>
    </row>
    <row r="74" spans="1:28">
      <c r="A74" s="16"/>
      <c r="B74" s="19"/>
      <c r="C74" s="19"/>
      <c r="D74" s="19"/>
      <c r="E74" s="19"/>
      <c r="F74" s="16"/>
      <c r="G74" s="16"/>
      <c r="H74" s="16"/>
      <c r="I74" s="16"/>
      <c r="J74" s="16"/>
      <c r="K74" s="16"/>
      <c r="L74" s="16"/>
      <c r="M74" s="16"/>
      <c r="N74" s="16"/>
      <c r="O74" s="16"/>
      <c r="P74" s="16"/>
      <c r="Q74" s="16"/>
      <c r="R74" s="16"/>
      <c r="S74" s="16"/>
      <c r="T74" s="16"/>
      <c r="U74" s="16"/>
      <c r="V74" s="16"/>
      <c r="W74" s="16"/>
      <c r="X74" s="16"/>
      <c r="Y74" s="16"/>
      <c r="Z74" s="16"/>
      <c r="AA74" s="16"/>
      <c r="AB74" s="16"/>
    </row>
    <row r="75" spans="1:28">
      <c r="A75" s="16"/>
      <c r="B75" s="19"/>
      <c r="C75" s="19"/>
      <c r="D75" s="19"/>
      <c r="E75" s="19"/>
      <c r="F75" s="16"/>
      <c r="G75" s="16"/>
      <c r="H75" s="16"/>
      <c r="I75" s="16"/>
      <c r="J75" s="16"/>
      <c r="K75" s="16"/>
      <c r="L75" s="16"/>
      <c r="M75" s="16"/>
      <c r="N75" s="16"/>
      <c r="O75" s="16"/>
      <c r="P75" s="16"/>
      <c r="Q75" s="16"/>
      <c r="R75" s="16"/>
      <c r="S75" s="16"/>
      <c r="T75" s="16"/>
      <c r="U75" s="16"/>
      <c r="V75" s="16"/>
      <c r="W75" s="16"/>
      <c r="X75" s="16"/>
      <c r="Y75" s="16"/>
      <c r="Z75" s="16"/>
      <c r="AA75" s="16"/>
      <c r="AB75" s="16"/>
    </row>
    <row r="76" spans="1:28">
      <c r="A76" s="16"/>
      <c r="B76" s="19"/>
      <c r="C76" s="19"/>
      <c r="D76" s="19"/>
      <c r="E76" s="19"/>
      <c r="F76" s="16"/>
      <c r="G76" s="16"/>
      <c r="H76" s="16"/>
      <c r="I76" s="16"/>
      <c r="J76" s="16"/>
      <c r="K76" s="16"/>
      <c r="L76" s="16"/>
      <c r="M76" s="16"/>
      <c r="N76" s="16"/>
      <c r="O76" s="16"/>
      <c r="P76" s="16"/>
      <c r="Q76" s="16"/>
      <c r="R76" s="16"/>
      <c r="S76" s="16"/>
      <c r="T76" s="16"/>
      <c r="U76" s="16"/>
      <c r="V76" s="16"/>
      <c r="W76" s="16"/>
      <c r="X76" s="16"/>
      <c r="Y76" s="16"/>
      <c r="Z76" s="16"/>
      <c r="AA76" s="16"/>
      <c r="AB76" s="16"/>
    </row>
    <row r="77" spans="1:28">
      <c r="A77" s="16"/>
      <c r="B77" s="19"/>
      <c r="C77" s="19"/>
      <c r="D77" s="19"/>
      <c r="E77" s="19"/>
      <c r="F77" s="16"/>
      <c r="G77" s="16"/>
      <c r="H77" s="16"/>
      <c r="I77" s="16"/>
      <c r="J77" s="16"/>
      <c r="K77" s="16"/>
      <c r="L77" s="16"/>
      <c r="M77" s="16"/>
      <c r="N77" s="16"/>
      <c r="O77" s="16"/>
      <c r="P77" s="16"/>
      <c r="Q77" s="16"/>
      <c r="R77" s="16"/>
      <c r="S77" s="16"/>
      <c r="T77" s="16"/>
      <c r="U77" s="16"/>
      <c r="V77" s="16"/>
      <c r="W77" s="16"/>
      <c r="X77" s="16"/>
      <c r="Y77" s="16"/>
      <c r="Z77" s="16"/>
      <c r="AA77" s="16"/>
      <c r="AB77" s="16"/>
    </row>
    <row r="78" spans="1:28">
      <c r="A78" s="16"/>
      <c r="B78" s="19"/>
      <c r="C78" s="19"/>
      <c r="D78" s="19"/>
      <c r="E78" s="19"/>
      <c r="F78" s="16"/>
      <c r="G78" s="16"/>
      <c r="H78" s="16"/>
      <c r="I78" s="16"/>
      <c r="J78" s="16"/>
      <c r="K78" s="16"/>
      <c r="L78" s="16"/>
      <c r="M78" s="16"/>
      <c r="N78" s="16"/>
      <c r="O78" s="16"/>
      <c r="P78" s="16"/>
      <c r="Q78" s="16"/>
      <c r="R78" s="16"/>
      <c r="S78" s="16"/>
      <c r="T78" s="16"/>
      <c r="U78" s="16"/>
      <c r="V78" s="16"/>
      <c r="W78" s="16"/>
      <c r="X78" s="16"/>
      <c r="Y78" s="16"/>
      <c r="Z78" s="16"/>
      <c r="AA78" s="16"/>
      <c r="AB78" s="16"/>
    </row>
    <row r="79" spans="1:28" ht="42.75" customHeight="1">
      <c r="A79" s="16"/>
      <c r="B79" s="19"/>
      <c r="C79" s="19"/>
      <c r="D79" s="19"/>
      <c r="E79" s="19"/>
      <c r="F79" s="16"/>
      <c r="G79" s="16"/>
      <c r="H79" s="16"/>
      <c r="I79" s="16"/>
      <c r="J79" s="16"/>
      <c r="K79" s="16"/>
      <c r="L79" s="16"/>
      <c r="M79" s="16"/>
      <c r="N79" s="16"/>
      <c r="O79" s="16"/>
      <c r="P79" s="16"/>
      <c r="Q79" s="16"/>
      <c r="R79" s="16"/>
      <c r="S79" s="16"/>
      <c r="T79" s="16"/>
      <c r="U79" s="16"/>
      <c r="V79" s="16"/>
      <c r="W79" s="16"/>
      <c r="X79" s="16"/>
      <c r="Y79" s="16"/>
      <c r="Z79" s="16"/>
      <c r="AA79" s="16"/>
      <c r="AB79" s="16"/>
    </row>
    <row r="80" spans="1:28">
      <c r="A80" s="16"/>
      <c r="B80" s="19"/>
      <c r="C80" s="19"/>
      <c r="D80" s="19"/>
      <c r="E80" s="19"/>
      <c r="F80" s="16"/>
      <c r="G80" s="16"/>
      <c r="H80" s="16"/>
      <c r="I80" s="16"/>
      <c r="J80" s="16"/>
      <c r="K80" s="16"/>
      <c r="L80" s="16"/>
      <c r="M80" s="16"/>
      <c r="N80" s="16"/>
      <c r="O80" s="16"/>
      <c r="P80" s="16"/>
      <c r="Q80" s="16"/>
      <c r="R80" s="16"/>
      <c r="S80" s="16"/>
      <c r="T80" s="16"/>
      <c r="U80" s="16"/>
      <c r="V80" s="16"/>
      <c r="W80" s="16"/>
      <c r="X80" s="16"/>
      <c r="Y80" s="16"/>
      <c r="Z80" s="16"/>
      <c r="AA80" s="16"/>
      <c r="AB80" s="16"/>
    </row>
    <row r="81" spans="1:28">
      <c r="A81" s="16"/>
      <c r="B81" s="19"/>
      <c r="C81" s="19"/>
      <c r="D81" s="19"/>
      <c r="E81" s="19"/>
      <c r="F81" s="16"/>
      <c r="G81" s="16"/>
      <c r="H81" s="16"/>
      <c r="I81" s="16"/>
      <c r="J81" s="16"/>
      <c r="K81" s="16"/>
      <c r="L81" s="16"/>
      <c r="M81" s="16"/>
      <c r="N81" s="16"/>
      <c r="O81" s="16"/>
      <c r="P81" s="16"/>
      <c r="Q81" s="16"/>
      <c r="R81" s="16"/>
      <c r="S81" s="16"/>
      <c r="T81" s="16"/>
      <c r="U81" s="16"/>
      <c r="V81" s="16"/>
      <c r="W81" s="16"/>
      <c r="X81" s="16"/>
      <c r="Y81" s="16"/>
      <c r="Z81" s="16"/>
      <c r="AA81" s="16"/>
      <c r="AB81" s="16"/>
    </row>
    <row r="82" spans="1:28">
      <c r="A82" s="16"/>
      <c r="B82" s="19"/>
      <c r="C82" s="19"/>
      <c r="D82" s="19"/>
      <c r="E82" s="19"/>
      <c r="F82" s="16"/>
      <c r="G82" s="16"/>
      <c r="H82" s="16"/>
      <c r="I82" s="16"/>
      <c r="J82" s="16"/>
      <c r="K82" s="16"/>
      <c r="L82" s="16"/>
      <c r="M82" s="16"/>
      <c r="N82" s="16"/>
      <c r="O82" s="16"/>
      <c r="P82" s="16"/>
      <c r="Q82" s="16"/>
      <c r="R82" s="16"/>
      <c r="S82" s="16"/>
      <c r="T82" s="16"/>
      <c r="U82" s="16"/>
      <c r="V82" s="16"/>
      <c r="W82" s="16"/>
      <c r="X82" s="16"/>
      <c r="Y82" s="16"/>
      <c r="Z82" s="16"/>
      <c r="AA82" s="16"/>
      <c r="AB82" s="16"/>
    </row>
    <row r="83" spans="1:28">
      <c r="A83" s="16"/>
      <c r="B83" s="19"/>
      <c r="C83" s="19"/>
      <c r="D83" s="19"/>
      <c r="E83" s="19"/>
      <c r="F83" s="16"/>
      <c r="G83" s="16"/>
      <c r="H83" s="16"/>
      <c r="I83" s="16"/>
      <c r="J83" s="16"/>
      <c r="K83" s="16"/>
      <c r="L83" s="16"/>
      <c r="M83" s="16"/>
      <c r="N83" s="16"/>
      <c r="O83" s="16"/>
      <c r="P83" s="16"/>
      <c r="Q83" s="16"/>
      <c r="R83" s="16"/>
      <c r="S83" s="16"/>
      <c r="T83" s="16"/>
      <c r="U83" s="16"/>
      <c r="V83" s="16"/>
      <c r="W83" s="16"/>
      <c r="X83" s="16"/>
      <c r="Y83" s="16"/>
      <c r="Z83" s="16"/>
      <c r="AA83" s="16"/>
      <c r="AB83" s="16"/>
    </row>
    <row r="84" spans="1:28">
      <c r="A84" s="16"/>
      <c r="B84" s="19"/>
      <c r="C84" s="19"/>
      <c r="D84" s="19"/>
      <c r="E84" s="19"/>
      <c r="F84" s="16"/>
      <c r="G84" s="16"/>
      <c r="H84" s="16"/>
      <c r="I84" s="16"/>
      <c r="J84" s="16"/>
      <c r="K84" s="16"/>
      <c r="L84" s="16"/>
      <c r="M84" s="16"/>
      <c r="N84" s="16"/>
      <c r="O84" s="16"/>
      <c r="P84" s="16"/>
      <c r="Q84" s="16"/>
      <c r="R84" s="16"/>
      <c r="S84" s="16"/>
      <c r="T84" s="16"/>
      <c r="U84" s="16"/>
      <c r="V84" s="16"/>
      <c r="W84" s="16"/>
      <c r="X84" s="16"/>
      <c r="Y84" s="16"/>
      <c r="Z84" s="16"/>
      <c r="AA84" s="16"/>
      <c r="AB84" s="16"/>
    </row>
    <row r="85" spans="1:28">
      <c r="A85" s="16"/>
      <c r="B85" s="19"/>
      <c r="C85" s="19"/>
      <c r="D85" s="19"/>
      <c r="E85" s="19"/>
      <c r="F85" s="16"/>
      <c r="G85" s="16"/>
      <c r="H85" s="16"/>
      <c r="I85" s="16"/>
      <c r="J85" s="16"/>
      <c r="K85" s="16"/>
      <c r="L85" s="16"/>
      <c r="M85" s="16"/>
      <c r="N85" s="16"/>
      <c r="O85" s="16"/>
      <c r="P85" s="16"/>
      <c r="Q85" s="16"/>
      <c r="R85" s="16"/>
      <c r="S85" s="16"/>
      <c r="T85" s="16"/>
      <c r="U85" s="16"/>
      <c r="V85" s="16"/>
      <c r="W85" s="16"/>
      <c r="X85" s="16"/>
      <c r="Y85" s="16"/>
      <c r="Z85" s="16"/>
      <c r="AA85" s="16"/>
      <c r="AB85" s="16"/>
    </row>
    <row r="86" spans="1:28">
      <c r="A86" s="16"/>
      <c r="B86" s="19"/>
      <c r="C86" s="19"/>
      <c r="D86" s="19"/>
      <c r="E86" s="19"/>
      <c r="F86" s="16"/>
      <c r="G86" s="16"/>
      <c r="H86" s="16"/>
      <c r="I86" s="16"/>
      <c r="J86" s="16"/>
      <c r="K86" s="16"/>
      <c r="L86" s="16"/>
      <c r="M86" s="16"/>
      <c r="N86" s="16"/>
      <c r="O86" s="16"/>
      <c r="P86" s="16"/>
      <c r="Q86" s="16"/>
      <c r="R86" s="16"/>
      <c r="S86" s="16"/>
      <c r="T86" s="16"/>
      <c r="U86" s="16"/>
      <c r="V86" s="16"/>
      <c r="W86" s="16"/>
      <c r="X86" s="16"/>
      <c r="Y86" s="16"/>
      <c r="Z86" s="16"/>
      <c r="AA86" s="16"/>
      <c r="AB86" s="16"/>
    </row>
    <row r="87" spans="1:28" ht="42.75" customHeight="1">
      <c r="G87"/>
      <c r="H87"/>
      <c r="I87"/>
      <c r="J87"/>
      <c r="K87"/>
      <c r="L87"/>
    </row>
    <row r="88" spans="1:28" ht="15" thickBot="1">
      <c r="G88" t="s">
        <v>132</v>
      </c>
      <c r="H88"/>
      <c r="I88"/>
      <c r="J88"/>
      <c r="K88"/>
      <c r="L88"/>
    </row>
    <row r="89" spans="1:28" ht="15.75" thickBot="1">
      <c r="G89" s="105" t="s">
        <v>133</v>
      </c>
      <c r="H89" s="105" t="s">
        <v>101</v>
      </c>
      <c r="I89" s="105" t="s">
        <v>102</v>
      </c>
      <c r="J89" s="105" t="s">
        <v>103</v>
      </c>
      <c r="K89" s="105" t="s">
        <v>134</v>
      </c>
      <c r="L89" s="105" t="s">
        <v>135</v>
      </c>
    </row>
    <row r="90" spans="1:28" ht="42.75" customHeight="1">
      <c r="G90" s="121" t="s">
        <v>136</v>
      </c>
      <c r="H90" s="109" t="s">
        <v>105</v>
      </c>
      <c r="I90" s="109" t="s">
        <v>106</v>
      </c>
      <c r="J90" s="109" t="s">
        <v>117</v>
      </c>
      <c r="K90" s="106" t="s">
        <v>137</v>
      </c>
      <c r="L90" s="107"/>
    </row>
    <row r="91" spans="1:28" ht="15">
      <c r="G91" s="122"/>
      <c r="H91" s="110"/>
      <c r="I91" s="110"/>
      <c r="J91"/>
      <c r="K91"/>
      <c r="L91" s="104"/>
    </row>
    <row r="92" spans="1:28" ht="15.75" thickBot="1">
      <c r="G92" s="123"/>
      <c r="H92" s="111"/>
      <c r="I92" s="112"/>
      <c r="J92" s="112"/>
      <c r="K92" s="112"/>
      <c r="L92" s="108"/>
    </row>
    <row r="93" spans="1:28" ht="43.5" customHeight="1">
      <c r="F93" s="124" t="s">
        <v>138</v>
      </c>
      <c r="G93" s="115" t="s">
        <v>128</v>
      </c>
      <c r="H93" s="109" t="s">
        <v>105</v>
      </c>
      <c r="I93" s="109" t="s">
        <v>106</v>
      </c>
      <c r="J93" s="109" t="s">
        <v>129</v>
      </c>
      <c r="K93" s="109" t="s">
        <v>114</v>
      </c>
      <c r="L93" s="107"/>
    </row>
    <row r="94" spans="1:28" ht="15">
      <c r="F94" s="124"/>
      <c r="G94" s="116"/>
      <c r="H94" s="110"/>
      <c r="I94" s="110"/>
      <c r="J94" s="110"/>
      <c r="K94"/>
      <c r="L94" s="104"/>
    </row>
    <row r="95" spans="1:28" ht="15.75" thickBot="1">
      <c r="F95" s="124"/>
      <c r="G95" s="117"/>
      <c r="H95" s="111"/>
      <c r="I95" s="112"/>
      <c r="J95" s="112"/>
      <c r="K95" s="112"/>
      <c r="L95" s="108"/>
    </row>
    <row r="96" spans="1:28" ht="42.75">
      <c r="G96" s="118" t="s">
        <v>139</v>
      </c>
      <c r="H96" s="109" t="s">
        <v>105</v>
      </c>
      <c r="I96" s="109" t="s">
        <v>106</v>
      </c>
      <c r="J96" s="109" t="s">
        <v>125</v>
      </c>
      <c r="K96" s="106" t="s">
        <v>137</v>
      </c>
      <c r="L96" s="107"/>
    </row>
    <row r="97" spans="7:12" ht="14.25" customHeight="1">
      <c r="G97" s="119"/>
      <c r="H97" s="110"/>
      <c r="I97" s="110"/>
      <c r="J97" s="110"/>
      <c r="K97"/>
      <c r="L97" s="104"/>
    </row>
    <row r="98" spans="7:12" ht="15" customHeight="1" thickBot="1">
      <c r="G98" s="120"/>
      <c r="H98" s="111"/>
      <c r="I98" s="112"/>
      <c r="J98" s="112"/>
      <c r="K98" s="112"/>
      <c r="L98" s="108"/>
    </row>
    <row r="99" spans="7:12" ht="56.25" customHeight="1">
      <c r="G99" s="115" t="s">
        <v>140</v>
      </c>
      <c r="H99" s="109" t="s">
        <v>131</v>
      </c>
      <c r="I99" s="109" t="s">
        <v>106</v>
      </c>
      <c r="J99" s="109" t="s">
        <v>107</v>
      </c>
      <c r="K99" s="109" t="s">
        <v>114</v>
      </c>
      <c r="L99" s="107"/>
    </row>
    <row r="100" spans="7:12" ht="42.75" customHeight="1">
      <c r="G100" s="116"/>
      <c r="H100" s="110"/>
      <c r="I100" s="110"/>
      <c r="J100" s="110"/>
      <c r="K100"/>
      <c r="L100" s="104"/>
    </row>
    <row r="101" spans="7:12" ht="15">
      <c r="G101" s="116"/>
      <c r="H101" s="110"/>
      <c r="I101"/>
      <c r="J101" s="110"/>
      <c r="K101"/>
      <c r="L101" s="104"/>
    </row>
    <row r="102" spans="7:12" ht="15">
      <c r="G102" s="116"/>
      <c r="H102" s="110"/>
      <c r="I102"/>
      <c r="J102"/>
      <c r="K102"/>
      <c r="L102" s="104"/>
    </row>
    <row r="103" spans="7:12" ht="15.75" thickBot="1">
      <c r="G103" s="117"/>
      <c r="H103" s="111"/>
      <c r="I103" s="112"/>
      <c r="J103" s="112"/>
      <c r="K103" s="112"/>
      <c r="L103" s="108"/>
    </row>
    <row r="104" spans="7:12" ht="57">
      <c r="G104" s="118" t="s">
        <v>141</v>
      </c>
      <c r="H104" s="109" t="s">
        <v>105</v>
      </c>
      <c r="I104" s="109" t="s">
        <v>106</v>
      </c>
      <c r="J104" s="109" t="s">
        <v>142</v>
      </c>
      <c r="K104" s="106" t="s">
        <v>137</v>
      </c>
      <c r="L104" s="107"/>
    </row>
    <row r="105" spans="7:12" ht="15">
      <c r="G105" s="119"/>
      <c r="H105" s="110"/>
      <c r="I105" s="110"/>
      <c r="J105" s="110"/>
      <c r="K105"/>
      <c r="L105" s="104"/>
    </row>
    <row r="106" spans="7:12" ht="15.75" thickBot="1">
      <c r="G106" s="120"/>
      <c r="H106" s="111"/>
      <c r="I106" s="112"/>
      <c r="J106" s="111"/>
      <c r="K106" s="112"/>
      <c r="L106" s="108"/>
    </row>
    <row r="107" spans="7:12" ht="142.5">
      <c r="G107" s="121" t="s">
        <v>143</v>
      </c>
      <c r="H107" s="109" t="s">
        <v>144</v>
      </c>
      <c r="I107" s="109" t="s">
        <v>112</v>
      </c>
      <c r="J107" s="109" t="s">
        <v>107</v>
      </c>
      <c r="K107" s="106" t="s">
        <v>137</v>
      </c>
      <c r="L107" s="107"/>
    </row>
    <row r="108" spans="7:12" ht="15">
      <c r="G108" s="122"/>
      <c r="H108" s="110"/>
      <c r="I108" s="110"/>
      <c r="J108" s="110"/>
      <c r="K108"/>
      <c r="L108" s="104"/>
    </row>
    <row r="109" spans="7:12" ht="15" customHeight="1">
      <c r="G109" s="122"/>
      <c r="H109" s="110"/>
      <c r="I109" s="110"/>
      <c r="J109" s="110"/>
      <c r="K109"/>
      <c r="L109" s="104"/>
    </row>
    <row r="110" spans="7:12" ht="15" customHeight="1">
      <c r="G110" s="122"/>
      <c r="H110" s="110"/>
      <c r="I110" s="110"/>
      <c r="J110"/>
      <c r="K110"/>
      <c r="L110" s="104"/>
    </row>
    <row r="111" spans="7:12" ht="15">
      <c r="G111" s="122"/>
      <c r="H111" s="110"/>
      <c r="I111"/>
      <c r="J111"/>
      <c r="K111"/>
      <c r="L111" s="104"/>
    </row>
    <row r="112" spans="7:12" ht="15.75" thickBot="1">
      <c r="G112" s="123"/>
      <c r="H112" s="111"/>
      <c r="I112" s="112"/>
      <c r="J112" s="112"/>
      <c r="K112" s="112"/>
      <c r="L112" s="108"/>
    </row>
    <row r="113" spans="7:12" ht="28.5">
      <c r="G113" s="118" t="s">
        <v>145</v>
      </c>
      <c r="H113" s="109" t="s">
        <v>146</v>
      </c>
      <c r="I113" s="109" t="s">
        <v>112</v>
      </c>
      <c r="J113" s="109" t="s">
        <v>147</v>
      </c>
      <c r="K113" s="106" t="s">
        <v>148</v>
      </c>
      <c r="L113" s="107"/>
    </row>
    <row r="114" spans="7:12" ht="15">
      <c r="G114" s="119"/>
      <c r="H114" s="110" t="s">
        <v>149</v>
      </c>
      <c r="I114" s="110"/>
      <c r="J114" s="110"/>
      <c r="K114"/>
      <c r="L114" s="104"/>
    </row>
    <row r="115" spans="7:12" ht="15">
      <c r="G115" s="119"/>
      <c r="H115"/>
      <c r="I115" s="110"/>
      <c r="J115"/>
      <c r="K115"/>
      <c r="L115" s="104"/>
    </row>
    <row r="116" spans="7:12" ht="15.75" thickBot="1">
      <c r="G116" s="120"/>
      <c r="H116" s="112"/>
      <c r="I116" s="111"/>
      <c r="J116" s="112"/>
      <c r="K116" s="112"/>
      <c r="L116" s="108"/>
    </row>
    <row r="117" spans="7:12" ht="15" customHeight="1">
      <c r="G117" s="121" t="s">
        <v>150</v>
      </c>
      <c r="H117" s="109" t="s">
        <v>146</v>
      </c>
      <c r="I117" s="109" t="s">
        <v>112</v>
      </c>
      <c r="J117" s="109" t="s">
        <v>151</v>
      </c>
      <c r="K117" s="106" t="s">
        <v>148</v>
      </c>
      <c r="L117" s="107"/>
    </row>
    <row r="118" spans="7:12" ht="15">
      <c r="G118" s="122"/>
      <c r="H118" s="110" t="s">
        <v>152</v>
      </c>
      <c r="I118" s="110"/>
      <c r="J118"/>
      <c r="K118"/>
      <c r="L118" s="104"/>
    </row>
    <row r="119" spans="7:12" ht="15">
      <c r="G119" s="122"/>
      <c r="H119" s="110" t="s">
        <v>153</v>
      </c>
      <c r="I119" s="110"/>
      <c r="J119"/>
      <c r="K119"/>
      <c r="L119" s="104"/>
    </row>
    <row r="120" spans="7:12" ht="28.5">
      <c r="G120" s="122"/>
      <c r="H120" s="110" t="s">
        <v>154</v>
      </c>
      <c r="I120" s="110"/>
      <c r="J120"/>
      <c r="K120"/>
      <c r="L120" s="104"/>
    </row>
    <row r="121" spans="7:12" ht="15">
      <c r="G121" s="122"/>
      <c r="H121" s="110" t="s">
        <v>155</v>
      </c>
      <c r="I121"/>
      <c r="J121"/>
      <c r="K121"/>
      <c r="L121" s="104"/>
    </row>
    <row r="122" spans="7:12" ht="28.5">
      <c r="G122" s="122"/>
      <c r="H122" s="110" t="s">
        <v>156</v>
      </c>
      <c r="I122"/>
      <c r="J122"/>
      <c r="K122"/>
      <c r="L122" s="104"/>
    </row>
    <row r="123" spans="7:12" ht="29.25" thickBot="1">
      <c r="G123" s="123"/>
      <c r="H123" s="111" t="s">
        <v>157</v>
      </c>
      <c r="I123" s="112"/>
      <c r="J123" s="112"/>
      <c r="K123" s="112"/>
      <c r="L123" s="108"/>
    </row>
    <row r="124" spans="7:12" ht="28.5">
      <c r="G124" s="118" t="s">
        <v>158</v>
      </c>
      <c r="H124" s="109" t="s">
        <v>159</v>
      </c>
      <c r="I124" s="109" t="s">
        <v>112</v>
      </c>
      <c r="J124" s="109" t="s">
        <v>160</v>
      </c>
      <c r="K124" s="106" t="s">
        <v>137</v>
      </c>
      <c r="L124" s="107"/>
    </row>
    <row r="125" spans="7:12" ht="28.5">
      <c r="G125" s="119"/>
      <c r="H125" s="110" t="s">
        <v>161</v>
      </c>
      <c r="I125" s="110"/>
      <c r="J125" s="110"/>
      <c r="K125"/>
      <c r="L125" s="104"/>
    </row>
    <row r="126" spans="7:12" ht="85.5">
      <c r="G126" s="119"/>
      <c r="H126" s="110" t="s">
        <v>162</v>
      </c>
      <c r="I126" s="110"/>
      <c r="J126"/>
      <c r="K126"/>
      <c r="L126" s="104"/>
    </row>
    <row r="127" spans="7:12" ht="15.75" thickBot="1">
      <c r="G127" s="120"/>
      <c r="H127" s="112"/>
      <c r="I127" s="111"/>
      <c r="J127" s="112"/>
      <c r="K127" s="112"/>
      <c r="L127" s="108"/>
    </row>
    <row r="128" spans="7:12">
      <c r="G128" s="2"/>
    </row>
    <row r="129" spans="7:7">
      <c r="G129" s="2"/>
    </row>
    <row r="130" spans="7:7">
      <c r="G130" s="2"/>
    </row>
    <row r="131" spans="7:7">
      <c r="G131" s="2"/>
    </row>
    <row r="132" spans="7:7">
      <c r="G132" s="2"/>
    </row>
    <row r="133" spans="7:7">
      <c r="G133" s="2"/>
    </row>
    <row r="134" spans="7:7">
      <c r="G134" s="2"/>
    </row>
    <row r="135" spans="7:7">
      <c r="G135" s="2"/>
    </row>
    <row r="136" spans="7:7">
      <c r="G136" s="2"/>
    </row>
    <row r="137" spans="7:7">
      <c r="G137" s="2"/>
    </row>
    <row r="138" spans="7:7">
      <c r="G138" s="2"/>
    </row>
    <row r="139" spans="7:7">
      <c r="G139" s="2"/>
    </row>
    <row r="140" spans="7:7">
      <c r="G140" s="2"/>
    </row>
    <row r="141" spans="7:7">
      <c r="G141" s="2"/>
    </row>
    <row r="142" spans="7:7">
      <c r="G142" s="2"/>
    </row>
    <row r="143" spans="7:7">
      <c r="G143" s="2"/>
    </row>
    <row r="144" spans="7:7">
      <c r="G144" s="2"/>
    </row>
    <row r="145" spans="7:7">
      <c r="G145" s="2"/>
    </row>
    <row r="146" spans="7:7">
      <c r="G146" s="2"/>
    </row>
    <row r="147" spans="7:7">
      <c r="G147" s="2"/>
    </row>
    <row r="148" spans="7:7">
      <c r="G148" s="2"/>
    </row>
    <row r="149" spans="7:7">
      <c r="G149" s="2"/>
    </row>
    <row r="150" spans="7:7">
      <c r="G150" s="2"/>
    </row>
    <row r="151" spans="7:7">
      <c r="G151" s="2"/>
    </row>
    <row r="152" spans="7:7">
      <c r="G152" s="2"/>
    </row>
    <row r="153" spans="7:7">
      <c r="G153" s="2"/>
    </row>
    <row r="154" spans="7:7">
      <c r="G154" s="2"/>
    </row>
    <row r="155" spans="7:7">
      <c r="G155" s="2"/>
    </row>
    <row r="156" spans="7:7">
      <c r="G156" s="2"/>
    </row>
    <row r="157" spans="7:7">
      <c r="G157" s="2"/>
    </row>
    <row r="158" spans="7:7">
      <c r="G158" s="2"/>
    </row>
    <row r="159" spans="7:7">
      <c r="G159" s="2"/>
    </row>
    <row r="160" spans="7:7">
      <c r="G160" s="2"/>
    </row>
    <row r="161" spans="7:7">
      <c r="G161" s="2"/>
    </row>
    <row r="162" spans="7:7">
      <c r="G162" s="2"/>
    </row>
    <row r="163" spans="7:7">
      <c r="G163" s="2"/>
    </row>
    <row r="164" spans="7:7">
      <c r="G164" s="2"/>
    </row>
    <row r="165" spans="7:7">
      <c r="G165" s="2"/>
    </row>
    <row r="166" spans="7:7">
      <c r="G166" s="2"/>
    </row>
    <row r="167" spans="7:7">
      <c r="G167" s="2"/>
    </row>
    <row r="168" spans="7:7">
      <c r="G168" s="2"/>
    </row>
    <row r="169" spans="7:7">
      <c r="G169" s="2"/>
    </row>
    <row r="170" spans="7:7">
      <c r="G170" s="2"/>
    </row>
    <row r="171" spans="7:7">
      <c r="G171" s="2"/>
    </row>
    <row r="172" spans="7:7">
      <c r="G172" s="2"/>
    </row>
    <row r="173" spans="7:7">
      <c r="G173" s="2"/>
    </row>
    <row r="174" spans="7:7">
      <c r="G174" s="2"/>
    </row>
    <row r="175" spans="7:7">
      <c r="G175" s="2"/>
    </row>
    <row r="176" spans="7:7">
      <c r="G176" s="2"/>
    </row>
    <row r="177" spans="7:7">
      <c r="G177" s="2"/>
    </row>
    <row r="178" spans="7:7">
      <c r="G178" s="2"/>
    </row>
    <row r="179" spans="7:7">
      <c r="G179" s="2"/>
    </row>
    <row r="180" spans="7:7">
      <c r="G180" s="2"/>
    </row>
    <row r="181" spans="7:7">
      <c r="G181" s="2"/>
    </row>
    <row r="182" spans="7:7">
      <c r="G182" s="2"/>
    </row>
    <row r="183" spans="7:7">
      <c r="G183" s="2"/>
    </row>
    <row r="184" spans="7:7">
      <c r="G184" s="2"/>
    </row>
    <row r="185" spans="7:7">
      <c r="G185" s="2"/>
    </row>
    <row r="186" spans="7:7">
      <c r="G186" s="2"/>
    </row>
    <row r="187" spans="7:7">
      <c r="G187" s="2"/>
    </row>
    <row r="188" spans="7:7">
      <c r="G188" s="2"/>
    </row>
    <row r="189" spans="7:7">
      <c r="G189" s="2"/>
    </row>
    <row r="190" spans="7:7">
      <c r="G190" s="2"/>
    </row>
    <row r="191" spans="7:7">
      <c r="G191" s="2"/>
    </row>
    <row r="192" spans="7:7">
      <c r="G192" s="2"/>
    </row>
    <row r="193" spans="7:7">
      <c r="G193" s="2"/>
    </row>
    <row r="194" spans="7:7">
      <c r="G194" s="2"/>
    </row>
    <row r="195" spans="7:7">
      <c r="G195" s="2"/>
    </row>
    <row r="196" spans="7:7">
      <c r="G196" s="2"/>
    </row>
    <row r="197" spans="7:7">
      <c r="G197" s="2"/>
    </row>
    <row r="198" spans="7:7">
      <c r="G198" s="2"/>
    </row>
    <row r="199" spans="7:7">
      <c r="G199" s="2"/>
    </row>
    <row r="200" spans="7:7">
      <c r="G200" s="2"/>
    </row>
    <row r="201" spans="7:7">
      <c r="G201" s="2"/>
    </row>
    <row r="202" spans="7:7">
      <c r="G202" s="2"/>
    </row>
    <row r="203" spans="7:7">
      <c r="G203" s="2"/>
    </row>
    <row r="204" spans="7:7">
      <c r="G204" s="2"/>
    </row>
    <row r="205" spans="7:7">
      <c r="G205" s="2"/>
    </row>
    <row r="206" spans="7:7">
      <c r="G206" s="2"/>
    </row>
    <row r="207" spans="7:7">
      <c r="G207" s="2"/>
    </row>
    <row r="208" spans="7:7">
      <c r="G208" s="2"/>
    </row>
    <row r="209" spans="7:7">
      <c r="G209" s="2"/>
    </row>
    <row r="210" spans="7:7">
      <c r="G210" s="2"/>
    </row>
    <row r="211" spans="7:7">
      <c r="G211" s="2"/>
    </row>
    <row r="212" spans="7:7">
      <c r="G212" s="2"/>
    </row>
    <row r="213" spans="7:7">
      <c r="G213" s="2"/>
    </row>
    <row r="214" spans="7:7">
      <c r="G214" s="2"/>
    </row>
    <row r="215" spans="7:7">
      <c r="G215" s="2"/>
    </row>
    <row r="216" spans="7:7">
      <c r="G216" s="2"/>
    </row>
    <row r="217" spans="7:7">
      <c r="G217" s="2"/>
    </row>
    <row r="218" spans="7:7">
      <c r="G218" s="2"/>
    </row>
    <row r="219" spans="7:7">
      <c r="G219" s="2"/>
    </row>
    <row r="220" spans="7:7">
      <c r="G220" s="2"/>
    </row>
    <row r="221" spans="7:7">
      <c r="G221" s="2"/>
    </row>
    <row r="222" spans="7:7">
      <c r="G222" s="2"/>
    </row>
    <row r="223" spans="7:7">
      <c r="G223" s="2"/>
    </row>
    <row r="224" spans="7:7">
      <c r="G224" s="2"/>
    </row>
    <row r="225" spans="7:7">
      <c r="G225" s="2"/>
    </row>
    <row r="226" spans="7:7">
      <c r="G226" s="2"/>
    </row>
    <row r="227" spans="7:7">
      <c r="G227" s="2"/>
    </row>
    <row r="228" spans="7:7">
      <c r="G228" s="2"/>
    </row>
    <row r="229" spans="7:7">
      <c r="G229" s="2"/>
    </row>
    <row r="230" spans="7:7">
      <c r="G230" s="2"/>
    </row>
    <row r="231" spans="7:7">
      <c r="G231" s="2"/>
    </row>
    <row r="232" spans="7:7">
      <c r="G232" s="2"/>
    </row>
    <row r="233" spans="7:7">
      <c r="G233" s="2"/>
    </row>
    <row r="234" spans="7:7">
      <c r="G234" s="2"/>
    </row>
    <row r="235" spans="7:7">
      <c r="G235" s="2"/>
    </row>
    <row r="236" spans="7:7">
      <c r="G236" s="2"/>
    </row>
    <row r="237" spans="7:7">
      <c r="G237" s="2"/>
    </row>
    <row r="238" spans="7:7">
      <c r="G238" s="2"/>
    </row>
    <row r="239" spans="7:7">
      <c r="G239" s="2"/>
    </row>
    <row r="240" spans="7:7">
      <c r="G240" s="2"/>
    </row>
    <row r="241" spans="7:7">
      <c r="G241" s="2"/>
    </row>
    <row r="242" spans="7:7">
      <c r="G242" s="2"/>
    </row>
    <row r="243" spans="7:7">
      <c r="G243" s="2"/>
    </row>
    <row r="244" spans="7:7">
      <c r="G244" s="2"/>
    </row>
    <row r="245" spans="7:7">
      <c r="G245" s="2"/>
    </row>
    <row r="246" spans="7:7">
      <c r="G246" s="2"/>
    </row>
    <row r="247" spans="7:7">
      <c r="G247" s="2"/>
    </row>
    <row r="248" spans="7:7">
      <c r="G248" s="2"/>
    </row>
    <row r="249" spans="7:7">
      <c r="G249" s="2"/>
    </row>
    <row r="250" spans="7:7">
      <c r="G250" s="2"/>
    </row>
    <row r="251" spans="7:7">
      <c r="G251" s="2"/>
    </row>
    <row r="252" spans="7:7">
      <c r="G252" s="2"/>
    </row>
    <row r="253" spans="7:7">
      <c r="G253" s="2"/>
    </row>
    <row r="254" spans="7:7">
      <c r="G254" s="2"/>
    </row>
    <row r="255" spans="7:7">
      <c r="G255" s="2"/>
    </row>
    <row r="256" spans="7:7">
      <c r="G256" s="2"/>
    </row>
    <row r="257" spans="7:7">
      <c r="G257" s="2"/>
    </row>
    <row r="258" spans="7:7">
      <c r="G258" s="2"/>
    </row>
    <row r="259" spans="7:7">
      <c r="G259" s="2"/>
    </row>
    <row r="260" spans="7:7">
      <c r="G260" s="2"/>
    </row>
    <row r="261" spans="7:7">
      <c r="G261" s="2"/>
    </row>
    <row r="262" spans="7:7">
      <c r="G262" s="2"/>
    </row>
    <row r="263" spans="7:7">
      <c r="G263" s="2"/>
    </row>
    <row r="264" spans="7:7">
      <c r="G264" s="2"/>
    </row>
    <row r="265" spans="7:7">
      <c r="G265" s="2"/>
    </row>
    <row r="266" spans="7:7">
      <c r="G266" s="2"/>
    </row>
    <row r="267" spans="7:7">
      <c r="G267" s="2"/>
    </row>
    <row r="268" spans="7:7">
      <c r="G268" s="2"/>
    </row>
    <row r="269" spans="7:7">
      <c r="G269" s="2"/>
    </row>
    <row r="270" spans="7:7">
      <c r="G270" s="2"/>
    </row>
    <row r="271" spans="7:7">
      <c r="G271" s="2"/>
    </row>
    <row r="272" spans="7:7">
      <c r="G272" s="2"/>
    </row>
    <row r="273" spans="7:7">
      <c r="G273" s="2"/>
    </row>
    <row r="274" spans="7:7">
      <c r="G274" s="2"/>
    </row>
    <row r="275" spans="7:7">
      <c r="G275" s="2"/>
    </row>
    <row r="276" spans="7:7">
      <c r="G276" s="2"/>
    </row>
    <row r="277" spans="7:7">
      <c r="G277" s="2"/>
    </row>
    <row r="278" spans="7:7">
      <c r="G278" s="2"/>
    </row>
    <row r="279" spans="7:7">
      <c r="G279" s="2"/>
    </row>
    <row r="280" spans="7:7">
      <c r="G280" s="2"/>
    </row>
    <row r="281" spans="7:7">
      <c r="G281" s="2"/>
    </row>
    <row r="282" spans="7:7">
      <c r="G282" s="2"/>
    </row>
    <row r="283" spans="7:7">
      <c r="G283" s="2"/>
    </row>
    <row r="284" spans="7:7">
      <c r="G284" s="2"/>
    </row>
    <row r="285" spans="7:7">
      <c r="G285" s="2"/>
    </row>
    <row r="286" spans="7:7">
      <c r="G286" s="2"/>
    </row>
    <row r="287" spans="7:7">
      <c r="G287" s="2"/>
    </row>
    <row r="288" spans="7:7">
      <c r="G288" s="2"/>
    </row>
    <row r="289" spans="7:7">
      <c r="G289" s="2"/>
    </row>
    <row r="290" spans="7:7">
      <c r="G290" s="2"/>
    </row>
    <row r="291" spans="7:7">
      <c r="G291" s="2"/>
    </row>
    <row r="292" spans="7:7">
      <c r="G292" s="2"/>
    </row>
    <row r="293" spans="7:7">
      <c r="G293" s="2"/>
    </row>
    <row r="294" spans="7:7">
      <c r="G294" s="2"/>
    </row>
    <row r="295" spans="7:7">
      <c r="G295" s="2"/>
    </row>
    <row r="296" spans="7:7">
      <c r="G296" s="2"/>
    </row>
    <row r="297" spans="7:7">
      <c r="G297" s="2"/>
    </row>
    <row r="298" spans="7:7">
      <c r="G298" s="2"/>
    </row>
    <row r="299" spans="7:7">
      <c r="G299" s="2"/>
    </row>
    <row r="300" spans="7:7">
      <c r="G300" s="2"/>
    </row>
    <row r="301" spans="7:7">
      <c r="G301" s="2"/>
    </row>
    <row r="302" spans="7:7">
      <c r="G302" s="2"/>
    </row>
    <row r="303" spans="7:7">
      <c r="G303" s="2"/>
    </row>
    <row r="304" spans="7:7">
      <c r="G304" s="2"/>
    </row>
    <row r="305" spans="7:7">
      <c r="G305" s="2"/>
    </row>
    <row r="306" spans="7:7">
      <c r="G306" s="2"/>
    </row>
    <row r="307" spans="7:7">
      <c r="G307" s="2"/>
    </row>
    <row r="308" spans="7:7">
      <c r="G308" s="2"/>
    </row>
    <row r="309" spans="7:7">
      <c r="G309" s="2"/>
    </row>
    <row r="310" spans="7:7">
      <c r="G310" s="2"/>
    </row>
    <row r="311" spans="7:7">
      <c r="G311" s="2"/>
    </row>
    <row r="312" spans="7:7">
      <c r="G312" s="2"/>
    </row>
    <row r="313" spans="7:7">
      <c r="G313" s="2"/>
    </row>
    <row r="314" spans="7:7">
      <c r="G314" s="2"/>
    </row>
    <row r="315" spans="7:7">
      <c r="G315" s="2"/>
    </row>
    <row r="316" spans="7:7">
      <c r="G316" s="2"/>
    </row>
    <row r="317" spans="7:7">
      <c r="G317" s="2"/>
    </row>
    <row r="318" spans="7:7">
      <c r="G318" s="2"/>
    </row>
    <row r="319" spans="7:7">
      <c r="G319" s="2"/>
    </row>
    <row r="320" spans="7:7">
      <c r="G320" s="2"/>
    </row>
    <row r="321" spans="7:7">
      <c r="G321" s="2"/>
    </row>
    <row r="322" spans="7:7">
      <c r="G322" s="2"/>
    </row>
    <row r="323" spans="7:7">
      <c r="G323" s="2"/>
    </row>
    <row r="324" spans="7:7">
      <c r="G324" s="2"/>
    </row>
    <row r="325" spans="7:7">
      <c r="G325" s="2"/>
    </row>
    <row r="326" spans="7:7">
      <c r="G326" s="2"/>
    </row>
    <row r="327" spans="7:7">
      <c r="G327" s="2"/>
    </row>
    <row r="328" spans="7:7">
      <c r="G328" s="2"/>
    </row>
    <row r="329" spans="7:7">
      <c r="G329" s="2"/>
    </row>
    <row r="330" spans="7:7">
      <c r="G330" s="2"/>
    </row>
    <row r="331" spans="7:7">
      <c r="G331" s="2"/>
    </row>
    <row r="332" spans="7:7">
      <c r="G332" s="2"/>
    </row>
    <row r="333" spans="7:7">
      <c r="G333" s="2"/>
    </row>
    <row r="334" spans="7:7">
      <c r="G334" s="2"/>
    </row>
    <row r="335" spans="7:7">
      <c r="G335" s="2"/>
    </row>
    <row r="336" spans="7:7">
      <c r="G336" s="2"/>
    </row>
    <row r="337" spans="7:7">
      <c r="G337" s="2"/>
    </row>
    <row r="338" spans="7:7">
      <c r="G338" s="2"/>
    </row>
    <row r="339" spans="7:7">
      <c r="G339" s="2"/>
    </row>
    <row r="340" spans="7:7">
      <c r="G340" s="2"/>
    </row>
    <row r="341" spans="7:7">
      <c r="G341" s="2"/>
    </row>
    <row r="342" spans="7:7">
      <c r="G342" s="2"/>
    </row>
    <row r="343" spans="7:7">
      <c r="G343" s="2"/>
    </row>
    <row r="344" spans="7:7">
      <c r="G344" s="2"/>
    </row>
    <row r="345" spans="7:7">
      <c r="G345" s="2"/>
    </row>
    <row r="346" spans="7:7">
      <c r="G346" s="2"/>
    </row>
    <row r="347" spans="7:7">
      <c r="G347" s="2"/>
    </row>
    <row r="348" spans="7:7">
      <c r="G348" s="2"/>
    </row>
    <row r="349" spans="7:7">
      <c r="G349" s="2"/>
    </row>
    <row r="350" spans="7:7">
      <c r="G350" s="2"/>
    </row>
    <row r="351" spans="7:7">
      <c r="G351" s="2"/>
    </row>
    <row r="352" spans="7:7">
      <c r="G352" s="2"/>
    </row>
    <row r="353" spans="7:7">
      <c r="G353" s="2"/>
    </row>
    <row r="354" spans="7:7">
      <c r="G354" s="2"/>
    </row>
    <row r="355" spans="7:7">
      <c r="G355" s="2"/>
    </row>
    <row r="356" spans="7:7">
      <c r="G356" s="2"/>
    </row>
    <row r="357" spans="7:7">
      <c r="G357" s="2"/>
    </row>
    <row r="358" spans="7:7">
      <c r="G358" s="2"/>
    </row>
    <row r="359" spans="7:7">
      <c r="G359" s="2"/>
    </row>
    <row r="360" spans="7:7">
      <c r="G360" s="2"/>
    </row>
    <row r="361" spans="7:7">
      <c r="G361" s="2"/>
    </row>
    <row r="362" spans="7:7">
      <c r="G362" s="2"/>
    </row>
    <row r="363" spans="7:7">
      <c r="G363" s="2"/>
    </row>
    <row r="364" spans="7:7">
      <c r="G364" s="2"/>
    </row>
    <row r="365" spans="7:7">
      <c r="G365" s="2"/>
    </row>
    <row r="366" spans="7:7">
      <c r="G366" s="2"/>
    </row>
    <row r="367" spans="7:7">
      <c r="G367" s="2"/>
    </row>
    <row r="368" spans="7:7">
      <c r="G368" s="2"/>
    </row>
    <row r="369" spans="7:7">
      <c r="G369" s="2"/>
    </row>
    <row r="370" spans="7:7">
      <c r="G370" s="2"/>
    </row>
    <row r="371" spans="7:7">
      <c r="G371" s="2"/>
    </row>
    <row r="372" spans="7:7">
      <c r="G372" s="2"/>
    </row>
    <row r="373" spans="7:7">
      <c r="G373" s="2"/>
    </row>
    <row r="374" spans="7:7">
      <c r="G374" s="2"/>
    </row>
    <row r="375" spans="7:7">
      <c r="G375" s="2"/>
    </row>
    <row r="376" spans="7:7">
      <c r="G376" s="2"/>
    </row>
    <row r="377" spans="7:7">
      <c r="G377" s="2"/>
    </row>
    <row r="378" spans="7:7">
      <c r="G378" s="2"/>
    </row>
    <row r="379" spans="7:7">
      <c r="G379" s="2"/>
    </row>
    <row r="380" spans="7:7">
      <c r="G380" s="2"/>
    </row>
    <row r="381" spans="7:7">
      <c r="G381" s="2"/>
    </row>
    <row r="382" spans="7:7">
      <c r="G382" s="2"/>
    </row>
    <row r="383" spans="7:7">
      <c r="G383" s="2"/>
    </row>
    <row r="384" spans="7:7">
      <c r="G384" s="2"/>
    </row>
    <row r="385" spans="7:7">
      <c r="G385" s="2"/>
    </row>
    <row r="386" spans="7:7">
      <c r="G386" s="2"/>
    </row>
    <row r="387" spans="7:7">
      <c r="G387" s="2"/>
    </row>
    <row r="388" spans="7:7">
      <c r="G388" s="2"/>
    </row>
    <row r="389" spans="7:7">
      <c r="G389" s="2"/>
    </row>
    <row r="390" spans="7:7">
      <c r="G390" s="2"/>
    </row>
  </sheetData>
  <sheetProtection algorithmName="SHA-512" hashValue="CRLj4AmCKUQDF5+obpvi8TjXoaVH4Q025VSaZc6BLn1Jt324VOYDSpaLP1E9mBd/1BpR/HmuKiD4YIm4FLNhNQ==" saltValue="C1XsBTAAmUUACRe7vfudAg==" spinCount="100000" sheet="1" objects="1" scenarios="1"/>
  <mergeCells count="8">
    <mergeCell ref="B8:E8"/>
    <mergeCell ref="B24:E24"/>
    <mergeCell ref="B33:E33"/>
    <mergeCell ref="B11:E11"/>
    <mergeCell ref="B9:B10"/>
    <mergeCell ref="C9:C10"/>
    <mergeCell ref="D9:D10"/>
    <mergeCell ref="E9:E10"/>
  </mergeCells>
  <phoneticPr fontId="12" type="noConversion"/>
  <pageMargins left="0.7" right="0.7" top="0.75" bottom="0.75" header="0.3" footer="0.3"/>
  <pageSetup paperSize="9" scale="55"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0" tint="-0.34998626667073579"/>
  </sheetPr>
  <dimension ref="A1:AQ936"/>
  <sheetViews>
    <sheetView showGridLines="0" rightToLeft="1" zoomScale="90" zoomScaleNormal="90" workbookViewId="0">
      <selection activeCell="B385" sqref="B385:B474"/>
    </sheetView>
  </sheetViews>
  <sheetFormatPr defaultColWidth="8.75" defaultRowHeight="14.25" outlineLevelRow="1"/>
  <cols>
    <col min="1" max="1" width="8.75" style="2"/>
    <col min="2" max="2" width="23.125" style="15" bestFit="1" customWidth="1"/>
    <col min="3" max="3" width="27.625" style="15" customWidth="1"/>
    <col min="4" max="4" width="18.75" style="15" customWidth="1"/>
    <col min="5" max="5" width="22" style="15" customWidth="1"/>
    <col min="6" max="6" width="22.875" style="15" customWidth="1"/>
    <col min="7" max="7" width="6.25" style="15" customWidth="1"/>
    <col min="8" max="8" width="11.625" style="15" bestFit="1" customWidth="1"/>
    <col min="9" max="9" width="18.125" style="15" customWidth="1"/>
    <col min="10" max="10" width="7.125" style="15" customWidth="1"/>
    <col min="11" max="11" width="20.125" style="15" customWidth="1"/>
    <col min="12" max="12" width="14.125" style="15" customWidth="1"/>
    <col min="13" max="13" width="16.375" style="15" customWidth="1"/>
    <col min="14" max="14" width="18.25" style="15" customWidth="1"/>
    <col min="15" max="15" width="9.25" style="15" customWidth="1"/>
    <col min="16" max="16" width="6.875" style="15" customWidth="1"/>
    <col min="17" max="17" width="15.125" style="235" bestFit="1" customWidth="1"/>
    <col min="18" max="18" width="13.125" style="235" customWidth="1"/>
    <col min="19" max="19" width="9.25" style="236" customWidth="1"/>
    <col min="20" max="20" width="18.375" style="237" customWidth="1"/>
    <col min="21" max="21" width="17" style="15" customWidth="1"/>
    <col min="22" max="22" width="12.875" style="15" customWidth="1"/>
    <col min="23" max="23" width="10.125" style="15" customWidth="1"/>
    <col min="24" max="24" width="10.875" style="15" customWidth="1"/>
    <col min="25" max="25" width="12.375" style="15" customWidth="1"/>
    <col min="26" max="26" width="12.125" style="15" customWidth="1"/>
    <col min="27" max="28" width="8.25" style="2" customWidth="1"/>
    <col min="29" max="29" width="10.125" style="2" customWidth="1"/>
    <col min="30" max="30" width="9.625" style="2" customWidth="1"/>
    <col min="31" max="31" width="8.875" style="2" customWidth="1"/>
    <col min="32" max="32" width="10.375" style="2" customWidth="1"/>
    <col min="33" max="33" width="5.125" style="2" customWidth="1"/>
    <col min="34" max="34" width="8.375" style="2" customWidth="1"/>
    <col min="35" max="35" width="11.375" style="2" bestFit="1" customWidth="1"/>
    <col min="36" max="36" width="57.375" style="2" customWidth="1"/>
    <col min="37" max="37" width="8.75" style="2"/>
    <col min="38" max="38" width="23.125" style="2" bestFit="1" customWidth="1"/>
    <col min="39" max="39" width="8.75" style="2"/>
    <col min="40" max="40" width="14.875" style="2" bestFit="1" customWidth="1"/>
    <col min="41" max="16384" width="8.75" style="2"/>
  </cols>
  <sheetData>
    <row r="1" spans="1:43">
      <c r="A1" s="144"/>
      <c r="B1" s="125"/>
      <c r="C1" s="125"/>
      <c r="D1" s="125"/>
      <c r="E1" s="125"/>
      <c r="F1" s="125"/>
      <c r="G1" s="125"/>
      <c r="H1" s="125"/>
      <c r="I1" s="125"/>
      <c r="J1" s="125"/>
      <c r="K1" s="125"/>
      <c r="L1" s="125"/>
      <c r="M1" s="125"/>
      <c r="N1" s="125"/>
      <c r="O1" s="125"/>
      <c r="P1" s="125"/>
      <c r="Q1" s="20"/>
      <c r="R1" s="20"/>
      <c r="S1" s="20"/>
      <c r="T1" s="20"/>
      <c r="U1" s="20"/>
      <c r="V1" s="20"/>
      <c r="W1" s="20"/>
      <c r="X1" s="20"/>
      <c r="Y1" s="125"/>
      <c r="Z1" s="125"/>
      <c r="AA1" s="1"/>
      <c r="AB1" s="1"/>
      <c r="AC1" s="1"/>
      <c r="AD1" s="1"/>
      <c r="AE1" s="1"/>
      <c r="AF1" s="1"/>
      <c r="AG1" s="1"/>
      <c r="AH1" s="1"/>
      <c r="AI1" s="1"/>
      <c r="AJ1" s="1"/>
      <c r="AK1" s="1"/>
      <c r="AL1" s="1"/>
      <c r="AM1" s="1"/>
      <c r="AN1" s="1"/>
    </row>
    <row r="2" spans="1:43">
      <c r="A2" s="144"/>
      <c r="B2" s="125"/>
      <c r="C2" s="125"/>
      <c r="D2" s="125"/>
      <c r="E2" s="125"/>
      <c r="F2" s="125"/>
      <c r="G2" s="125"/>
      <c r="H2" s="125"/>
      <c r="I2" s="125"/>
      <c r="J2" s="125"/>
      <c r="K2" s="125"/>
      <c r="L2" s="125"/>
      <c r="M2" s="125"/>
      <c r="N2" s="125"/>
      <c r="O2" s="125"/>
      <c r="P2" s="125"/>
      <c r="Q2" s="20"/>
      <c r="R2" s="20"/>
      <c r="S2" s="20"/>
      <c r="T2" s="20"/>
      <c r="U2" s="20"/>
      <c r="V2" s="20"/>
      <c r="W2" s="20"/>
      <c r="X2" s="20"/>
      <c r="Y2" s="125"/>
      <c r="Z2" s="125"/>
      <c r="AA2" s="1"/>
      <c r="AB2" s="1"/>
      <c r="AC2" s="1"/>
      <c r="AD2" s="1"/>
      <c r="AE2" s="1"/>
      <c r="AF2" s="1"/>
      <c r="AG2" s="1"/>
      <c r="AH2" s="1"/>
      <c r="AI2" s="1"/>
      <c r="AJ2" s="1"/>
      <c r="AK2" s="1"/>
      <c r="AL2" s="1"/>
      <c r="AM2" s="1"/>
      <c r="AN2" s="1"/>
    </row>
    <row r="3" spans="1:43">
      <c r="A3" s="144"/>
      <c r="B3" s="125"/>
      <c r="C3" s="125"/>
      <c r="D3" s="125"/>
      <c r="E3" s="125"/>
      <c r="F3" s="125"/>
      <c r="G3" s="125"/>
      <c r="H3" s="125"/>
      <c r="I3" s="125"/>
      <c r="J3" s="125"/>
      <c r="K3" s="125"/>
      <c r="L3" s="125"/>
      <c r="M3" s="125"/>
      <c r="N3" s="125"/>
      <c r="O3" s="125"/>
      <c r="P3" s="125"/>
      <c r="Q3" s="20"/>
      <c r="R3" s="20"/>
      <c r="S3" s="20"/>
      <c r="T3" s="20"/>
      <c r="U3" s="20"/>
      <c r="V3" s="20"/>
      <c r="W3" s="20"/>
      <c r="X3" s="20"/>
      <c r="Y3" s="125"/>
      <c r="Z3" s="125"/>
      <c r="AA3" s="1"/>
      <c r="AB3" s="1"/>
      <c r="AC3" s="1"/>
      <c r="AD3" s="1"/>
      <c r="AE3" s="1"/>
      <c r="AF3" s="1"/>
      <c r="AG3" s="1"/>
      <c r="AH3" s="1"/>
      <c r="AI3" s="1"/>
      <c r="AJ3" s="1"/>
      <c r="AK3" s="1"/>
      <c r="AL3" s="1"/>
      <c r="AM3" s="1"/>
      <c r="AN3" s="1"/>
    </row>
    <row r="4" spans="1:43" ht="20.100000000000001" customHeight="1" thickBot="1">
      <c r="A4" s="144"/>
      <c r="B4" s="125"/>
      <c r="C4" s="125"/>
      <c r="D4" s="125"/>
      <c r="E4" s="125"/>
      <c r="F4" s="125"/>
      <c r="G4" s="125"/>
      <c r="H4" s="125"/>
      <c r="I4" s="125"/>
      <c r="J4" s="125"/>
      <c r="K4" s="125"/>
      <c r="L4" s="125"/>
      <c r="M4" s="125"/>
      <c r="N4" s="125"/>
      <c r="O4" s="125"/>
      <c r="P4" s="125"/>
      <c r="Q4" s="20"/>
      <c r="R4" s="20"/>
      <c r="S4" s="20"/>
      <c r="T4" s="20"/>
      <c r="U4" s="20"/>
      <c r="V4" s="20"/>
      <c r="W4" s="20"/>
      <c r="X4" s="20"/>
      <c r="Y4" s="125"/>
      <c r="Z4" s="125"/>
      <c r="AA4" s="1"/>
      <c r="AB4" s="1"/>
      <c r="AC4" s="1"/>
      <c r="AD4" s="1"/>
      <c r="AE4" s="1"/>
      <c r="AF4" s="1"/>
      <c r="AG4" s="1"/>
      <c r="AH4" s="1"/>
      <c r="AI4" s="1"/>
      <c r="AJ4" s="1"/>
      <c r="AK4" s="1"/>
      <c r="AL4" s="1"/>
      <c r="AM4" s="1"/>
      <c r="AN4" s="1"/>
    </row>
    <row r="5" spans="1:43" ht="39" customHeight="1" thickTop="1" thickBot="1">
      <c r="A5" s="144"/>
      <c r="B5" s="919" t="s">
        <v>163</v>
      </c>
      <c r="C5" s="920"/>
      <c r="D5" s="125"/>
      <c r="E5" s="919" t="s">
        <v>164</v>
      </c>
      <c r="F5" s="921"/>
      <c r="G5" s="921"/>
      <c r="H5" s="920"/>
      <c r="I5" s="125"/>
      <c r="J5" s="125"/>
      <c r="K5" s="919" t="s">
        <v>165</v>
      </c>
      <c r="L5" s="921"/>
      <c r="M5" s="921"/>
      <c r="N5" s="920"/>
      <c r="O5" s="125"/>
      <c r="P5" s="125"/>
      <c r="Q5" s="20"/>
      <c r="R5" s="20"/>
      <c r="S5" s="20"/>
      <c r="T5" s="20"/>
      <c r="U5" s="20"/>
      <c r="V5" s="20"/>
      <c r="W5" s="20"/>
      <c r="X5" s="20"/>
      <c r="Y5" s="127"/>
      <c r="Z5" s="125"/>
      <c r="AA5" s="1"/>
      <c r="AB5" s="1"/>
      <c r="AC5" s="1"/>
      <c r="AD5" s="1"/>
      <c r="AE5" s="1"/>
      <c r="AF5" s="1"/>
      <c r="AG5" s="1"/>
      <c r="AH5" s="1"/>
      <c r="AI5" s="1"/>
      <c r="AJ5" s="1"/>
      <c r="AK5" s="1"/>
      <c r="AL5" s="1"/>
      <c r="AM5" s="1"/>
      <c r="AN5" s="1"/>
    </row>
    <row r="6" spans="1:43" ht="15" thickTop="1">
      <c r="A6" s="144"/>
      <c r="B6" s="125"/>
      <c r="C6" s="126"/>
      <c r="D6" s="126" t="s">
        <v>166</v>
      </c>
      <c r="E6" s="127"/>
      <c r="F6" s="127"/>
      <c r="G6" s="127"/>
      <c r="H6" s="127"/>
      <c r="I6" s="127"/>
      <c r="J6" s="127"/>
      <c r="K6" s="127"/>
      <c r="L6" s="127"/>
      <c r="M6" s="127"/>
      <c r="N6" s="127"/>
      <c r="O6" s="127"/>
      <c r="P6" s="127"/>
      <c r="Q6" s="20"/>
      <c r="R6" s="20"/>
      <c r="S6" s="20"/>
      <c r="T6" s="20"/>
      <c r="U6" s="20"/>
      <c r="V6" s="20"/>
      <c r="W6" s="20"/>
      <c r="X6" s="20"/>
      <c r="Y6" s="127"/>
      <c r="Z6" s="125"/>
      <c r="AA6" s="1"/>
      <c r="AB6" s="1"/>
      <c r="AC6" s="1"/>
      <c r="AD6" s="1"/>
      <c r="AE6" s="1"/>
      <c r="AF6" s="1"/>
      <c r="AG6" s="1"/>
      <c r="AH6" s="1"/>
      <c r="AI6" s="1"/>
      <c r="AJ6" s="1"/>
      <c r="AK6" s="1"/>
      <c r="AL6" s="1"/>
      <c r="AM6" s="1"/>
      <c r="AN6" s="1"/>
    </row>
    <row r="7" spans="1:43" ht="15" thickBot="1">
      <c r="A7" s="144"/>
      <c r="B7" s="125"/>
      <c r="C7" s="127"/>
      <c r="D7" s="127"/>
      <c r="E7" s="127"/>
      <c r="F7" s="127"/>
      <c r="G7" s="127"/>
      <c r="H7" s="127"/>
      <c r="I7" s="127"/>
      <c r="J7" s="127"/>
      <c r="K7" s="127"/>
      <c r="L7" s="127"/>
      <c r="M7" s="127"/>
      <c r="N7" s="127"/>
      <c r="O7" s="127"/>
      <c r="P7" s="20"/>
      <c r="Q7" s="20"/>
      <c r="R7" s="20"/>
      <c r="S7" s="20"/>
      <c r="T7" s="20"/>
      <c r="U7" s="20"/>
      <c r="V7" s="20"/>
      <c r="W7" s="20"/>
      <c r="X7" s="20"/>
      <c r="Y7" s="20"/>
      <c r="Z7" s="20"/>
      <c r="AA7" s="17"/>
      <c r="AB7" s="17"/>
      <c r="AC7" s="17"/>
      <c r="AD7" s="1"/>
      <c r="AE7" s="1"/>
      <c r="AF7" s="1"/>
      <c r="AG7" s="1"/>
      <c r="AH7" s="1"/>
      <c r="AI7" s="1"/>
      <c r="AJ7" s="1"/>
      <c r="AK7" s="1"/>
      <c r="AL7" s="1"/>
      <c r="AM7" s="1"/>
      <c r="AN7" s="1"/>
    </row>
    <row r="8" spans="1:43" ht="14.45" customHeight="1" thickTop="1" thickBot="1">
      <c r="A8" s="144"/>
      <c r="B8" s="756" t="s">
        <v>173</v>
      </c>
      <c r="C8" s="758"/>
      <c r="D8" s="756" t="s">
        <v>1558</v>
      </c>
      <c r="E8" s="690" t="s">
        <v>262</v>
      </c>
      <c r="F8" s="683"/>
      <c r="G8" s="685"/>
      <c r="H8" s="574" t="s">
        <v>167</v>
      </c>
      <c r="I8" s="585"/>
      <c r="J8" s="585"/>
      <c r="K8" s="585"/>
      <c r="L8" s="585"/>
      <c r="M8" s="585"/>
      <c r="N8" s="585"/>
      <c r="O8" s="585"/>
      <c r="P8" s="585"/>
      <c r="Q8" s="586"/>
      <c r="R8" s="127"/>
      <c r="S8" s="20"/>
      <c r="T8" s="20"/>
      <c r="U8" s="20"/>
      <c r="V8" s="20"/>
      <c r="W8" s="20"/>
      <c r="X8" s="20"/>
      <c r="Y8" s="20"/>
      <c r="Z8" s="20"/>
      <c r="AA8" s="20"/>
      <c r="AB8" s="20"/>
      <c r="AC8" s="18"/>
      <c r="AD8" s="203"/>
      <c r="AE8" s="203"/>
      <c r="AF8" s="203"/>
      <c r="AG8" s="1"/>
      <c r="AH8" s="1"/>
      <c r="AI8" s="1"/>
      <c r="AJ8" s="1"/>
      <c r="AK8" s="1"/>
      <c r="AL8" s="1"/>
      <c r="AM8" s="1"/>
      <c r="AN8" s="1"/>
      <c r="AO8" s="1"/>
      <c r="AP8" s="1"/>
      <c r="AQ8" s="1"/>
    </row>
    <row r="9" spans="1:43" ht="56.45" customHeight="1" thickTop="1" thickBot="1">
      <c r="A9" s="144"/>
      <c r="B9" s="738"/>
      <c r="C9" s="759"/>
      <c r="D9" s="738"/>
      <c r="E9" s="755"/>
      <c r="F9" s="746"/>
      <c r="G9" s="728"/>
      <c r="H9" s="690" t="s">
        <v>168</v>
      </c>
      <c r="I9" s="685"/>
      <c r="J9" s="690" t="s">
        <v>169</v>
      </c>
      <c r="K9" s="685"/>
      <c r="L9" s="690" t="s">
        <v>170</v>
      </c>
      <c r="M9" s="685"/>
      <c r="N9" s="690" t="s">
        <v>171</v>
      </c>
      <c r="O9" s="685"/>
      <c r="P9" s="690" t="s">
        <v>172</v>
      </c>
      <c r="Q9" s="685"/>
      <c r="R9" s="154"/>
      <c r="S9" s="754"/>
      <c r="T9" s="754"/>
      <c r="U9" s="754"/>
      <c r="V9" s="754"/>
      <c r="W9" s="754"/>
      <c r="X9" s="754"/>
      <c r="Y9" s="754"/>
      <c r="Z9" s="754"/>
      <c r="AA9" s="754"/>
      <c r="AB9" s="754"/>
      <c r="AC9" s="125"/>
      <c r="AD9" s="1"/>
      <c r="AE9" s="1"/>
      <c r="AF9" s="1"/>
      <c r="AG9" s="1"/>
      <c r="AH9" s="1"/>
      <c r="AI9" s="1"/>
      <c r="AJ9" s="1"/>
      <c r="AK9" s="1"/>
    </row>
    <row r="10" spans="1:43" ht="24.6" customHeight="1" thickTop="1" thickBot="1">
      <c r="A10" s="144"/>
      <c r="B10" s="738"/>
      <c r="C10" s="759"/>
      <c r="D10" s="738"/>
      <c r="E10" s="690" t="s">
        <v>1559</v>
      </c>
      <c r="F10" s="756" t="s">
        <v>260</v>
      </c>
      <c r="G10" s="756" t="s">
        <v>261</v>
      </c>
      <c r="H10" s="755"/>
      <c r="I10" s="728"/>
      <c r="J10" s="755"/>
      <c r="K10" s="728"/>
      <c r="L10" s="755"/>
      <c r="M10" s="728"/>
      <c r="N10" s="755"/>
      <c r="O10" s="728"/>
      <c r="P10" s="755"/>
      <c r="Q10" s="728"/>
      <c r="R10" s="154"/>
      <c r="S10" s="754"/>
      <c r="T10" s="754"/>
      <c r="U10" s="754"/>
      <c r="V10" s="754"/>
      <c r="W10" s="754"/>
      <c r="X10" s="754"/>
      <c r="Y10" s="754"/>
      <c r="Z10" s="754"/>
      <c r="AA10" s="754"/>
      <c r="AB10" s="754"/>
      <c r="AC10" s="125"/>
      <c r="AD10" s="1"/>
      <c r="AE10" s="1"/>
      <c r="AF10" s="1"/>
      <c r="AG10" s="1"/>
      <c r="AH10" s="1"/>
      <c r="AI10" s="1"/>
      <c r="AJ10" s="1"/>
      <c r="AK10" s="1"/>
    </row>
    <row r="11" spans="1:43" ht="16.5" thickTop="1" thickBot="1">
      <c r="A11" s="144"/>
      <c r="B11" s="757"/>
      <c r="C11" s="760"/>
      <c r="D11" s="757"/>
      <c r="E11" s="594"/>
      <c r="F11" s="594"/>
      <c r="G11" s="594"/>
      <c r="H11" s="204">
        <v>2024</v>
      </c>
      <c r="I11" s="205">
        <v>2025</v>
      </c>
      <c r="J11" s="205">
        <v>2024</v>
      </c>
      <c r="K11" s="205">
        <v>2025</v>
      </c>
      <c r="L11" s="205">
        <v>2024</v>
      </c>
      <c r="M11" s="205">
        <v>2025</v>
      </c>
      <c r="N11" s="205">
        <v>2024</v>
      </c>
      <c r="O11" s="205">
        <v>2025</v>
      </c>
      <c r="P11" s="205">
        <v>2024</v>
      </c>
      <c r="Q11" s="206">
        <v>2025</v>
      </c>
      <c r="R11" s="18"/>
      <c r="S11" s="18"/>
      <c r="T11" s="18"/>
      <c r="U11" s="18"/>
      <c r="V11" s="18"/>
      <c r="W11" s="18"/>
      <c r="X11" s="18"/>
      <c r="Y11" s="18"/>
      <c r="Z11" s="18"/>
      <c r="AA11" s="18"/>
      <c r="AB11" s="18"/>
      <c r="AC11" s="125"/>
      <c r="AD11" s="1"/>
      <c r="AE11" s="1"/>
      <c r="AF11" s="1"/>
      <c r="AG11" s="1"/>
      <c r="AH11" s="1"/>
      <c r="AI11" s="1"/>
      <c r="AJ11" s="1"/>
      <c r="AK11" s="1"/>
    </row>
    <row r="12" spans="1:43" ht="15.75" thickTop="1">
      <c r="A12" s="144"/>
      <c r="B12" s="590" t="s">
        <v>1561</v>
      </c>
      <c r="C12" s="784" t="s">
        <v>1560</v>
      </c>
      <c r="D12" s="207"/>
      <c r="E12" s="481"/>
      <c r="F12" s="207"/>
      <c r="G12" s="207"/>
      <c r="H12" s="331">
        <v>4</v>
      </c>
      <c r="I12" s="332"/>
      <c r="J12" s="333">
        <v>4</v>
      </c>
      <c r="K12" s="332"/>
      <c r="L12" s="334">
        <v>26</v>
      </c>
      <c r="M12" s="332"/>
      <c r="N12" s="333">
        <v>0</v>
      </c>
      <c r="O12" s="335"/>
      <c r="P12" s="319">
        <v>25</v>
      </c>
      <c r="Q12" s="320"/>
      <c r="R12" s="154"/>
      <c r="S12" s="154"/>
      <c r="T12" s="154"/>
      <c r="U12" s="154"/>
      <c r="V12" s="154"/>
      <c r="W12" s="154"/>
      <c r="X12" s="154"/>
      <c r="Y12" s="154"/>
      <c r="Z12" s="154"/>
      <c r="AA12" s="154"/>
      <c r="AB12" s="154"/>
      <c r="AC12" s="125"/>
      <c r="AD12" s="1"/>
      <c r="AE12" s="1"/>
      <c r="AF12" s="1"/>
      <c r="AG12" s="1"/>
      <c r="AH12" s="1"/>
      <c r="AI12" s="1"/>
      <c r="AJ12" s="1"/>
      <c r="AK12" s="1"/>
    </row>
    <row r="13" spans="1:43" ht="15">
      <c r="A13" s="144"/>
      <c r="B13" s="935"/>
      <c r="C13" s="783"/>
      <c r="D13" s="208"/>
      <c r="E13" s="208"/>
      <c r="F13" s="208"/>
      <c r="G13" s="208"/>
      <c r="H13" s="336">
        <v>4</v>
      </c>
      <c r="I13" s="337"/>
      <c r="J13" s="339">
        <v>4</v>
      </c>
      <c r="K13" s="337"/>
      <c r="L13" s="338">
        <v>20</v>
      </c>
      <c r="M13" s="337"/>
      <c r="N13" s="349">
        <v>24</v>
      </c>
      <c r="O13" s="340"/>
      <c r="P13" s="321">
        <v>25</v>
      </c>
      <c r="Q13" s="322"/>
      <c r="R13" s="209"/>
      <c r="S13" s="210"/>
      <c r="T13" s="210"/>
      <c r="U13" s="210"/>
      <c r="V13" s="210"/>
      <c r="W13" s="210"/>
      <c r="X13" s="210"/>
      <c r="Y13" s="210"/>
      <c r="Z13" s="210"/>
      <c r="AA13" s="210"/>
      <c r="AB13" s="210"/>
      <c r="AC13" s="125"/>
      <c r="AD13" s="1"/>
      <c r="AE13" s="1"/>
      <c r="AF13" s="1"/>
      <c r="AG13" s="1"/>
      <c r="AH13" s="1"/>
      <c r="AI13" s="1"/>
      <c r="AJ13" s="1"/>
      <c r="AK13" s="1"/>
    </row>
    <row r="14" spans="1:43" ht="15">
      <c r="A14" s="144"/>
      <c r="B14" s="935"/>
      <c r="C14" s="783"/>
      <c r="D14" s="208"/>
      <c r="E14" s="208"/>
      <c r="F14" s="208"/>
      <c r="G14" s="208"/>
      <c r="H14" s="336">
        <v>4</v>
      </c>
      <c r="I14" s="337"/>
      <c r="J14" s="339">
        <v>4</v>
      </c>
      <c r="K14" s="337"/>
      <c r="L14" s="338">
        <v>64</v>
      </c>
      <c r="M14" s="337"/>
      <c r="N14" s="360">
        <v>0</v>
      </c>
      <c r="O14" s="340"/>
      <c r="P14" s="321">
        <v>25</v>
      </c>
      <c r="Q14" s="322"/>
      <c r="R14" s="209"/>
      <c r="S14" s="210"/>
      <c r="T14" s="210"/>
      <c r="U14" s="210"/>
      <c r="V14" s="210"/>
      <c r="W14" s="210"/>
      <c r="X14" s="210"/>
      <c r="Y14" s="210"/>
      <c r="Z14" s="210"/>
      <c r="AA14" s="210"/>
      <c r="AB14" s="210"/>
      <c r="AC14" s="125"/>
      <c r="AD14" s="1"/>
      <c r="AE14" s="1"/>
      <c r="AF14" s="1"/>
      <c r="AG14" s="1"/>
      <c r="AH14" s="1"/>
      <c r="AI14" s="1"/>
      <c r="AJ14" s="1"/>
      <c r="AK14" s="1"/>
    </row>
    <row r="15" spans="1:43" ht="15">
      <c r="A15" s="144"/>
      <c r="B15" s="935"/>
      <c r="C15" s="783"/>
      <c r="D15" s="208"/>
      <c r="E15" s="208"/>
      <c r="F15" s="208"/>
      <c r="G15" s="208"/>
      <c r="H15" s="336">
        <v>4</v>
      </c>
      <c r="I15" s="337"/>
      <c r="J15" s="339">
        <v>4</v>
      </c>
      <c r="K15" s="337"/>
      <c r="L15" s="338">
        <v>90</v>
      </c>
      <c r="M15" s="337"/>
      <c r="N15" s="343">
        <v>0</v>
      </c>
      <c r="O15" s="340"/>
      <c r="P15" s="321">
        <v>25</v>
      </c>
      <c r="Q15" s="322"/>
      <c r="R15" s="209"/>
      <c r="S15" s="210"/>
      <c r="T15" s="210"/>
      <c r="U15" s="210"/>
      <c r="V15" s="210"/>
      <c r="W15" s="210"/>
      <c r="X15" s="210"/>
      <c r="Y15" s="210"/>
      <c r="Z15" s="210"/>
      <c r="AA15" s="210"/>
      <c r="AB15" s="210"/>
      <c r="AC15" s="125"/>
      <c r="AD15" s="1"/>
      <c r="AE15" s="1"/>
      <c r="AF15" s="1"/>
      <c r="AG15" s="1"/>
      <c r="AH15" s="1"/>
      <c r="AI15" s="1"/>
      <c r="AJ15" s="1"/>
      <c r="AK15" s="1"/>
    </row>
    <row r="16" spans="1:43" ht="15">
      <c r="A16" s="144"/>
      <c r="B16" s="935"/>
      <c r="C16" s="783"/>
      <c r="D16" s="211"/>
      <c r="E16" s="211"/>
      <c r="F16" s="211"/>
      <c r="G16" s="211"/>
      <c r="H16" s="341">
        <v>5</v>
      </c>
      <c r="I16" s="342"/>
      <c r="J16" s="343">
        <v>5</v>
      </c>
      <c r="K16" s="342"/>
      <c r="L16" s="344">
        <v>74</v>
      </c>
      <c r="M16" s="342"/>
      <c r="N16" s="361">
        <v>0</v>
      </c>
      <c r="O16" s="345"/>
      <c r="P16" s="323">
        <v>25</v>
      </c>
      <c r="Q16" s="324"/>
      <c r="R16" s="154"/>
      <c r="S16" s="154"/>
      <c r="T16" s="154"/>
      <c r="U16" s="154"/>
      <c r="V16" s="154"/>
      <c r="W16" s="154"/>
      <c r="X16" s="154"/>
      <c r="Y16" s="154"/>
      <c r="Z16" s="154"/>
      <c r="AA16" s="154"/>
      <c r="AB16" s="154"/>
      <c r="AC16" s="125"/>
      <c r="AD16" s="1"/>
      <c r="AE16" s="1"/>
      <c r="AF16" s="1"/>
      <c r="AG16" s="1"/>
      <c r="AH16" s="1"/>
      <c r="AI16" s="1"/>
      <c r="AJ16" s="1"/>
      <c r="AK16" s="1"/>
    </row>
    <row r="17" spans="1:37" ht="15">
      <c r="A17" s="144"/>
      <c r="B17" s="935"/>
      <c r="C17" s="783"/>
      <c r="D17" s="208"/>
      <c r="E17" s="208"/>
      <c r="F17" s="208"/>
      <c r="G17" s="208"/>
      <c r="H17" s="336">
        <v>4</v>
      </c>
      <c r="I17" s="337"/>
      <c r="J17" s="339">
        <v>4</v>
      </c>
      <c r="K17" s="337"/>
      <c r="L17" s="338">
        <v>23</v>
      </c>
      <c r="M17" s="337"/>
      <c r="N17" s="360">
        <v>0</v>
      </c>
      <c r="O17" s="340"/>
      <c r="P17" s="321">
        <v>25</v>
      </c>
      <c r="Q17" s="322"/>
      <c r="R17" s="209"/>
      <c r="S17" s="210"/>
      <c r="T17" s="210"/>
      <c r="U17" s="210"/>
      <c r="V17" s="210"/>
      <c r="W17" s="210"/>
      <c r="X17" s="210"/>
      <c r="Y17" s="210"/>
      <c r="Z17" s="210"/>
      <c r="AA17" s="210"/>
      <c r="AB17" s="210"/>
      <c r="AC17" s="125"/>
      <c r="AD17" s="1"/>
      <c r="AE17" s="1"/>
      <c r="AF17" s="1"/>
      <c r="AG17" s="1"/>
      <c r="AH17" s="1"/>
      <c r="AI17" s="1"/>
      <c r="AJ17" s="1"/>
      <c r="AK17" s="1"/>
    </row>
    <row r="18" spans="1:37" ht="15">
      <c r="A18" s="144"/>
      <c r="B18" s="935"/>
      <c r="C18" s="783"/>
      <c r="D18" s="208"/>
      <c r="E18" s="208"/>
      <c r="F18" s="208"/>
      <c r="G18" s="208"/>
      <c r="H18" s="336">
        <v>4</v>
      </c>
      <c r="I18" s="337"/>
      <c r="J18" s="339">
        <v>4</v>
      </c>
      <c r="K18" s="337"/>
      <c r="L18" s="338">
        <v>92</v>
      </c>
      <c r="M18" s="337"/>
      <c r="N18" s="360">
        <v>0</v>
      </c>
      <c r="O18" s="340"/>
      <c r="P18" s="321">
        <v>25</v>
      </c>
      <c r="Q18" s="322"/>
      <c r="R18" s="209"/>
      <c r="S18" s="210"/>
      <c r="T18" s="210"/>
      <c r="U18" s="210"/>
      <c r="V18" s="210"/>
      <c r="W18" s="210"/>
      <c r="X18" s="210"/>
      <c r="Y18" s="210"/>
      <c r="Z18" s="210"/>
      <c r="AA18" s="210"/>
      <c r="AB18" s="210"/>
      <c r="AC18" s="125"/>
      <c r="AD18" s="1"/>
      <c r="AE18" s="1"/>
      <c r="AF18" s="1"/>
      <c r="AG18" s="1"/>
      <c r="AH18" s="1"/>
      <c r="AI18" s="1"/>
      <c r="AJ18" s="1"/>
      <c r="AK18" s="1"/>
    </row>
    <row r="19" spans="1:37" ht="15">
      <c r="A19" s="144"/>
      <c r="B19" s="935"/>
      <c r="C19" s="783"/>
      <c r="D19" s="208"/>
      <c r="E19" s="208"/>
      <c r="F19" s="208"/>
      <c r="G19" s="208"/>
      <c r="H19" s="336">
        <v>4</v>
      </c>
      <c r="I19" s="337"/>
      <c r="J19" s="339">
        <v>4</v>
      </c>
      <c r="K19" s="337"/>
      <c r="L19" s="338">
        <v>22</v>
      </c>
      <c r="M19" s="337"/>
      <c r="N19" s="343">
        <v>0</v>
      </c>
      <c r="O19" s="340"/>
      <c r="P19" s="321">
        <v>25</v>
      </c>
      <c r="Q19" s="322"/>
      <c r="R19" s="209"/>
      <c r="S19" s="210"/>
      <c r="T19" s="210"/>
      <c r="U19" s="210"/>
      <c r="V19" s="210"/>
      <c r="W19" s="210"/>
      <c r="X19" s="210"/>
      <c r="Y19" s="210"/>
      <c r="Z19" s="210"/>
      <c r="AA19" s="210"/>
      <c r="AB19" s="210"/>
      <c r="AC19" s="125"/>
      <c r="AD19" s="1"/>
      <c r="AE19" s="1"/>
      <c r="AF19" s="1"/>
      <c r="AG19" s="1"/>
      <c r="AH19" s="1"/>
      <c r="AI19" s="1"/>
      <c r="AJ19" s="1"/>
      <c r="AK19" s="1"/>
    </row>
    <row r="20" spans="1:37" ht="15">
      <c r="A20" s="144"/>
      <c r="B20" s="935"/>
      <c r="C20" s="783"/>
      <c r="D20" s="318"/>
      <c r="E20" s="318"/>
      <c r="F20" s="318"/>
      <c r="G20" s="318"/>
      <c r="H20" s="346"/>
      <c r="I20" s="347"/>
      <c r="J20" s="349"/>
      <c r="K20" s="347"/>
      <c r="L20" s="348"/>
      <c r="M20" s="347"/>
      <c r="N20" s="349"/>
      <c r="O20" s="350"/>
      <c r="P20" s="325"/>
      <c r="Q20" s="326"/>
      <c r="R20" s="209"/>
      <c r="S20" s="210"/>
      <c r="T20" s="210"/>
      <c r="U20" s="210"/>
      <c r="V20" s="210"/>
      <c r="W20" s="210"/>
      <c r="X20" s="210"/>
      <c r="Y20" s="210"/>
      <c r="Z20" s="210"/>
      <c r="AA20" s="210"/>
      <c r="AB20" s="210"/>
      <c r="AC20" s="125"/>
      <c r="AD20" s="1"/>
      <c r="AE20" s="1"/>
      <c r="AF20" s="1"/>
      <c r="AG20" s="1"/>
      <c r="AH20" s="1"/>
      <c r="AI20" s="1"/>
      <c r="AJ20" s="1"/>
      <c r="AK20" s="1"/>
    </row>
    <row r="21" spans="1:37" ht="15">
      <c r="A21" s="144"/>
      <c r="B21" s="935"/>
      <c r="C21" s="783"/>
      <c r="D21" s="318"/>
      <c r="E21" s="318"/>
      <c r="F21" s="318"/>
      <c r="G21" s="318"/>
      <c r="H21" s="346"/>
      <c r="I21" s="347"/>
      <c r="J21" s="349"/>
      <c r="K21" s="347"/>
      <c r="L21" s="348"/>
      <c r="M21" s="347"/>
      <c r="N21" s="349"/>
      <c r="O21" s="350"/>
      <c r="P21" s="325"/>
      <c r="Q21" s="326"/>
      <c r="R21" s="209"/>
      <c r="S21" s="210"/>
      <c r="T21" s="210"/>
      <c r="U21" s="210"/>
      <c r="V21" s="210"/>
      <c r="W21" s="210"/>
      <c r="X21" s="210"/>
      <c r="Y21" s="210"/>
      <c r="Z21" s="210"/>
      <c r="AA21" s="210"/>
      <c r="AB21" s="210"/>
      <c r="AC21" s="125"/>
      <c r="AD21" s="1"/>
      <c r="AE21" s="1"/>
      <c r="AF21" s="1"/>
      <c r="AG21" s="1"/>
      <c r="AH21" s="1"/>
      <c r="AI21" s="1"/>
      <c r="AJ21" s="1"/>
      <c r="AK21" s="1"/>
    </row>
    <row r="22" spans="1:37" ht="15">
      <c r="A22" s="144"/>
      <c r="B22" s="935"/>
      <c r="C22" s="783"/>
      <c r="D22" s="318"/>
      <c r="E22" s="318"/>
      <c r="F22" s="318"/>
      <c r="G22" s="318"/>
      <c r="H22" s="346"/>
      <c r="I22" s="347"/>
      <c r="J22" s="349"/>
      <c r="K22" s="347"/>
      <c r="L22" s="348"/>
      <c r="M22" s="347"/>
      <c r="N22" s="349"/>
      <c r="O22" s="350"/>
      <c r="P22" s="325"/>
      <c r="Q22" s="326"/>
      <c r="R22" s="209"/>
      <c r="S22" s="210"/>
      <c r="T22" s="210"/>
      <c r="U22" s="210"/>
      <c r="V22" s="210"/>
      <c r="W22" s="210"/>
      <c r="X22" s="210"/>
      <c r="Y22" s="210"/>
      <c r="Z22" s="210"/>
      <c r="AA22" s="210"/>
      <c r="AB22" s="210"/>
      <c r="AC22" s="125"/>
      <c r="AD22" s="1"/>
      <c r="AE22" s="1"/>
      <c r="AF22" s="1"/>
      <c r="AG22" s="1"/>
      <c r="AH22" s="1"/>
      <c r="AI22" s="1"/>
      <c r="AJ22" s="1"/>
      <c r="AK22" s="1"/>
    </row>
    <row r="23" spans="1:37" ht="15">
      <c r="A23" s="144"/>
      <c r="B23" s="935"/>
      <c r="C23" s="783"/>
      <c r="D23" s="238"/>
      <c r="E23" s="238"/>
      <c r="F23" s="238"/>
      <c r="G23" s="238"/>
      <c r="H23" s="786"/>
      <c r="I23" s="347"/>
      <c r="J23" s="789"/>
      <c r="K23" s="347"/>
      <c r="L23" s="928"/>
      <c r="M23" s="347"/>
      <c r="N23" s="925"/>
      <c r="O23" s="350"/>
      <c r="P23" s="922"/>
      <c r="Q23" s="326"/>
      <c r="R23" s="209"/>
      <c r="S23" s="210"/>
      <c r="T23" s="210"/>
      <c r="U23" s="210"/>
      <c r="V23" s="210"/>
      <c r="W23" s="210"/>
      <c r="X23" s="210"/>
      <c r="Y23" s="210"/>
      <c r="Z23" s="210"/>
      <c r="AA23" s="210"/>
      <c r="AB23" s="210"/>
      <c r="AC23" s="125"/>
      <c r="AD23" s="1"/>
      <c r="AE23" s="1"/>
      <c r="AF23" s="1"/>
      <c r="AG23" s="1"/>
      <c r="AH23" s="1"/>
      <c r="AI23" s="1"/>
      <c r="AJ23" s="1"/>
      <c r="AK23" s="1"/>
    </row>
    <row r="24" spans="1:37" ht="15">
      <c r="A24" s="144"/>
      <c r="B24" s="935"/>
      <c r="C24" s="783"/>
      <c r="D24" s="238"/>
      <c r="E24" s="238"/>
      <c r="F24" s="238"/>
      <c r="G24" s="238"/>
      <c r="H24" s="787"/>
      <c r="I24" s="347"/>
      <c r="J24" s="790"/>
      <c r="K24" s="347"/>
      <c r="L24" s="929"/>
      <c r="M24" s="347"/>
      <c r="N24" s="926"/>
      <c r="O24" s="350"/>
      <c r="P24" s="923"/>
      <c r="Q24" s="326"/>
      <c r="R24" s="209"/>
      <c r="S24" s="210"/>
      <c r="T24" s="210"/>
      <c r="U24" s="210"/>
      <c r="V24" s="210"/>
      <c r="W24" s="210"/>
      <c r="X24" s="210"/>
      <c r="Y24" s="210"/>
      <c r="Z24" s="210"/>
      <c r="AA24" s="210"/>
      <c r="AB24" s="210"/>
      <c r="AC24" s="125"/>
      <c r="AD24" s="1"/>
      <c r="AE24" s="1"/>
      <c r="AF24" s="1"/>
      <c r="AG24" s="1"/>
      <c r="AH24" s="1"/>
      <c r="AI24" s="1"/>
      <c r="AJ24" s="1"/>
      <c r="AK24" s="1"/>
    </row>
    <row r="25" spans="1:37" ht="15">
      <c r="A25" s="144"/>
      <c r="B25" s="935"/>
      <c r="C25" s="783"/>
      <c r="D25" s="238"/>
      <c r="E25" s="238"/>
      <c r="F25" s="238"/>
      <c r="G25" s="238"/>
      <c r="H25" s="787"/>
      <c r="I25" s="347"/>
      <c r="J25" s="790"/>
      <c r="K25" s="347"/>
      <c r="L25" s="929"/>
      <c r="M25" s="347"/>
      <c r="N25" s="926"/>
      <c r="O25" s="350"/>
      <c r="P25" s="923"/>
      <c r="Q25" s="326"/>
      <c r="R25" s="209"/>
      <c r="S25" s="210"/>
      <c r="T25" s="210"/>
      <c r="U25" s="210"/>
      <c r="V25" s="210"/>
      <c r="W25" s="210"/>
      <c r="X25" s="210"/>
      <c r="Y25" s="210"/>
      <c r="Z25" s="210"/>
      <c r="AA25" s="210"/>
      <c r="AB25" s="210"/>
      <c r="AC25" s="125"/>
      <c r="AD25" s="1"/>
      <c r="AE25" s="1"/>
      <c r="AF25" s="1"/>
      <c r="AG25" s="1"/>
      <c r="AH25" s="1"/>
      <c r="AI25" s="1"/>
      <c r="AJ25" s="1"/>
      <c r="AK25" s="1"/>
    </row>
    <row r="26" spans="1:37" ht="15">
      <c r="A26" s="144"/>
      <c r="B26" s="935"/>
      <c r="C26" s="783"/>
      <c r="D26" s="238"/>
      <c r="E26" s="238"/>
      <c r="F26" s="238"/>
      <c r="G26" s="238"/>
      <c r="H26" s="787"/>
      <c r="I26" s="347"/>
      <c r="J26" s="790"/>
      <c r="K26" s="347"/>
      <c r="L26" s="929"/>
      <c r="M26" s="347"/>
      <c r="N26" s="926"/>
      <c r="O26" s="350"/>
      <c r="P26" s="923"/>
      <c r="Q26" s="326"/>
      <c r="R26" s="209"/>
      <c r="S26" s="210"/>
      <c r="T26" s="210"/>
      <c r="U26" s="210"/>
      <c r="V26" s="210"/>
      <c r="W26" s="210"/>
      <c r="X26" s="210"/>
      <c r="Y26" s="210"/>
      <c r="Z26" s="210"/>
      <c r="AA26" s="210"/>
      <c r="AB26" s="210"/>
      <c r="AC26" s="125"/>
      <c r="AD26" s="1"/>
      <c r="AE26" s="1"/>
      <c r="AF26" s="1"/>
      <c r="AG26" s="1"/>
      <c r="AH26" s="1"/>
      <c r="AI26" s="1"/>
      <c r="AJ26" s="1"/>
      <c r="AK26" s="1"/>
    </row>
    <row r="27" spans="1:37" ht="15.75" thickBot="1">
      <c r="A27" s="144"/>
      <c r="B27" s="935"/>
      <c r="C27" s="785"/>
      <c r="D27" s="239"/>
      <c r="E27" s="239"/>
      <c r="F27" s="239"/>
      <c r="G27" s="239"/>
      <c r="H27" s="788"/>
      <c r="I27" s="351"/>
      <c r="J27" s="791"/>
      <c r="K27" s="351"/>
      <c r="L27" s="930"/>
      <c r="M27" s="351"/>
      <c r="N27" s="927"/>
      <c r="O27" s="352"/>
      <c r="P27" s="924"/>
      <c r="Q27" s="327"/>
      <c r="R27" s="209"/>
      <c r="S27" s="210"/>
      <c r="T27" s="210"/>
      <c r="U27" s="210"/>
      <c r="V27" s="210"/>
      <c r="W27" s="210"/>
      <c r="X27" s="210"/>
      <c r="Y27" s="210"/>
      <c r="Z27" s="210"/>
      <c r="AA27" s="210"/>
      <c r="AB27" s="210"/>
      <c r="AC27" s="125"/>
      <c r="AD27" s="1"/>
      <c r="AE27" s="1"/>
      <c r="AF27" s="1"/>
      <c r="AG27" s="1"/>
      <c r="AH27" s="1"/>
      <c r="AI27" s="1"/>
      <c r="AJ27" s="1"/>
      <c r="AK27" s="1"/>
    </row>
    <row r="28" spans="1:37" ht="15.75" thickTop="1">
      <c r="A28" s="144"/>
      <c r="B28" s="935"/>
      <c r="C28" s="783" t="s">
        <v>100</v>
      </c>
      <c r="D28" s="211"/>
      <c r="E28" s="211"/>
      <c r="F28" s="211"/>
      <c r="G28" s="211"/>
      <c r="H28" s="353">
        <v>1</v>
      </c>
      <c r="I28" s="354"/>
      <c r="J28" s="356">
        <v>0</v>
      </c>
      <c r="K28" s="354"/>
      <c r="L28" s="355">
        <v>8</v>
      </c>
      <c r="M28" s="354"/>
      <c r="N28" s="356">
        <v>0</v>
      </c>
      <c r="O28" s="357"/>
      <c r="P28" s="328">
        <v>0</v>
      </c>
      <c r="Q28" s="329"/>
      <c r="R28" s="209"/>
      <c r="S28" s="210"/>
      <c r="T28" s="210"/>
      <c r="U28" s="210"/>
      <c r="V28" s="210"/>
      <c r="W28" s="210"/>
      <c r="X28" s="210"/>
      <c r="Y28" s="210"/>
      <c r="Z28" s="210"/>
      <c r="AA28" s="210"/>
      <c r="AB28" s="210"/>
      <c r="AC28" s="125"/>
      <c r="AD28" s="1"/>
      <c r="AE28" s="1"/>
      <c r="AF28" s="1"/>
      <c r="AG28" s="1"/>
      <c r="AH28" s="1"/>
      <c r="AI28" s="1"/>
      <c r="AJ28" s="1"/>
      <c r="AK28" s="1"/>
    </row>
    <row r="29" spans="1:37" ht="15">
      <c r="A29" s="144"/>
      <c r="B29" s="935"/>
      <c r="C29" s="783"/>
      <c r="D29" s="211"/>
      <c r="E29" s="211"/>
      <c r="F29" s="211"/>
      <c r="G29" s="211"/>
      <c r="H29" s="353"/>
      <c r="I29" s="354"/>
      <c r="J29" s="356"/>
      <c r="K29" s="354"/>
      <c r="L29" s="355"/>
      <c r="M29" s="354"/>
      <c r="N29" s="356"/>
      <c r="O29" s="357"/>
      <c r="P29" s="328"/>
      <c r="Q29" s="329"/>
      <c r="R29" s="209"/>
      <c r="S29" s="210"/>
      <c r="T29" s="210"/>
      <c r="U29" s="210"/>
      <c r="V29" s="210"/>
      <c r="W29" s="210"/>
      <c r="X29" s="210"/>
      <c r="Y29" s="210"/>
      <c r="Z29" s="210"/>
      <c r="AA29" s="210"/>
      <c r="AB29" s="210"/>
      <c r="AC29" s="125"/>
      <c r="AD29" s="1"/>
      <c r="AE29" s="1"/>
      <c r="AF29" s="1"/>
      <c r="AG29" s="1"/>
      <c r="AH29" s="1"/>
      <c r="AI29" s="1"/>
      <c r="AJ29" s="1"/>
      <c r="AK29" s="1"/>
    </row>
    <row r="30" spans="1:37" ht="15">
      <c r="A30" s="144"/>
      <c r="B30" s="935"/>
      <c r="C30" s="783"/>
      <c r="D30" s="211"/>
      <c r="E30" s="211"/>
      <c r="F30" s="211"/>
      <c r="G30" s="211"/>
      <c r="H30" s="353"/>
      <c r="I30" s="354"/>
      <c r="J30" s="356"/>
      <c r="K30" s="354"/>
      <c r="L30" s="355"/>
      <c r="M30" s="354"/>
      <c r="N30" s="356"/>
      <c r="O30" s="357"/>
      <c r="P30" s="328"/>
      <c r="Q30" s="329"/>
      <c r="R30" s="209"/>
      <c r="S30" s="210"/>
      <c r="T30" s="210"/>
      <c r="U30" s="210"/>
      <c r="V30" s="210"/>
      <c r="W30" s="210"/>
      <c r="X30" s="210"/>
      <c r="Y30" s="210"/>
      <c r="Z30" s="210"/>
      <c r="AA30" s="210"/>
      <c r="AB30" s="210"/>
      <c r="AC30" s="125"/>
      <c r="AD30" s="1"/>
      <c r="AE30" s="1"/>
      <c r="AF30" s="1"/>
      <c r="AG30" s="1"/>
      <c r="AH30" s="1"/>
      <c r="AI30" s="1"/>
      <c r="AJ30" s="1"/>
      <c r="AK30" s="1"/>
    </row>
    <row r="31" spans="1:37" ht="15">
      <c r="A31" s="144"/>
      <c r="B31" s="935"/>
      <c r="C31" s="783"/>
      <c r="D31" s="211"/>
      <c r="E31" s="211"/>
      <c r="F31" s="211"/>
      <c r="G31" s="211"/>
      <c r="H31" s="353"/>
      <c r="I31" s="354"/>
      <c r="J31" s="356"/>
      <c r="K31" s="354"/>
      <c r="L31" s="355"/>
      <c r="M31" s="354"/>
      <c r="N31" s="356"/>
      <c r="O31" s="357"/>
      <c r="P31" s="328"/>
      <c r="Q31" s="329"/>
      <c r="R31" s="209"/>
      <c r="S31" s="210"/>
      <c r="T31" s="210"/>
      <c r="U31" s="210"/>
      <c r="V31" s="210"/>
      <c r="W31" s="210"/>
      <c r="X31" s="210"/>
      <c r="Y31" s="210"/>
      <c r="Z31" s="210"/>
      <c r="AA31" s="210"/>
      <c r="AB31" s="210"/>
      <c r="AC31" s="125"/>
      <c r="AD31" s="1"/>
      <c r="AE31" s="1"/>
      <c r="AF31" s="1"/>
      <c r="AG31" s="1"/>
      <c r="AH31" s="1"/>
      <c r="AI31" s="1"/>
      <c r="AJ31" s="1"/>
      <c r="AK31" s="1"/>
    </row>
    <row r="32" spans="1:37" ht="15">
      <c r="A32" s="144"/>
      <c r="B32" s="935"/>
      <c r="C32" s="783"/>
      <c r="D32" s="211"/>
      <c r="E32" s="211"/>
      <c r="F32" s="211"/>
      <c r="G32" s="211"/>
      <c r="H32" s="353"/>
      <c r="I32" s="354"/>
      <c r="J32" s="356"/>
      <c r="K32" s="354"/>
      <c r="L32" s="355"/>
      <c r="M32" s="354"/>
      <c r="N32" s="356"/>
      <c r="O32" s="357"/>
      <c r="P32" s="328"/>
      <c r="Q32" s="329"/>
      <c r="R32" s="209"/>
      <c r="S32" s="210"/>
      <c r="T32" s="210"/>
      <c r="U32" s="210"/>
      <c r="V32" s="210"/>
      <c r="W32" s="210"/>
      <c r="X32" s="210"/>
      <c r="Y32" s="210"/>
      <c r="Z32" s="210"/>
      <c r="AA32" s="210"/>
      <c r="AB32" s="210"/>
      <c r="AC32" s="125"/>
      <c r="AD32" s="1"/>
      <c r="AE32" s="1"/>
      <c r="AF32" s="1"/>
      <c r="AG32" s="1"/>
      <c r="AH32" s="1"/>
      <c r="AI32" s="1"/>
      <c r="AJ32" s="1"/>
      <c r="AK32" s="1"/>
    </row>
    <row r="33" spans="1:37" ht="15">
      <c r="A33" s="144"/>
      <c r="B33" s="935"/>
      <c r="C33" s="783"/>
      <c r="D33" s="211"/>
      <c r="E33" s="211"/>
      <c r="F33" s="211"/>
      <c r="G33" s="211"/>
      <c r="H33" s="353"/>
      <c r="I33" s="354"/>
      <c r="J33" s="356"/>
      <c r="K33" s="354"/>
      <c r="L33" s="355"/>
      <c r="M33" s="354"/>
      <c r="N33" s="356"/>
      <c r="O33" s="357"/>
      <c r="P33" s="328"/>
      <c r="Q33" s="329"/>
      <c r="R33" s="209"/>
      <c r="S33" s="210"/>
      <c r="T33" s="210"/>
      <c r="U33" s="210"/>
      <c r="V33" s="210"/>
      <c r="W33" s="210"/>
      <c r="X33" s="210"/>
      <c r="Y33" s="210"/>
      <c r="Z33" s="210"/>
      <c r="AA33" s="210"/>
      <c r="AB33" s="210"/>
      <c r="AC33" s="125"/>
      <c r="AD33" s="1"/>
      <c r="AE33" s="1"/>
      <c r="AF33" s="1"/>
      <c r="AG33" s="1"/>
      <c r="AH33" s="1"/>
      <c r="AI33" s="1"/>
      <c r="AJ33" s="1"/>
      <c r="AK33" s="1"/>
    </row>
    <row r="34" spans="1:37" ht="15">
      <c r="A34" s="144"/>
      <c r="B34" s="935"/>
      <c r="C34" s="783"/>
      <c r="D34" s="211"/>
      <c r="E34" s="211"/>
      <c r="F34" s="211"/>
      <c r="G34" s="211"/>
      <c r="H34" s="353"/>
      <c r="I34" s="354"/>
      <c r="J34" s="356"/>
      <c r="K34" s="354"/>
      <c r="L34" s="355"/>
      <c r="M34" s="354"/>
      <c r="N34" s="356"/>
      <c r="O34" s="357"/>
      <c r="P34" s="328"/>
      <c r="Q34" s="329"/>
      <c r="R34" s="209"/>
      <c r="S34" s="210"/>
      <c r="T34" s="210"/>
      <c r="U34" s="210"/>
      <c r="V34" s="210"/>
      <c r="W34" s="210"/>
      <c r="X34" s="210"/>
      <c r="Y34" s="210"/>
      <c r="Z34" s="210"/>
      <c r="AA34" s="210"/>
      <c r="AB34" s="210"/>
      <c r="AC34" s="125"/>
      <c r="AD34" s="1"/>
      <c r="AE34" s="1"/>
      <c r="AF34" s="1"/>
      <c r="AG34" s="1"/>
      <c r="AH34" s="1"/>
      <c r="AI34" s="1"/>
      <c r="AJ34" s="1"/>
      <c r="AK34" s="1"/>
    </row>
    <row r="35" spans="1:37" ht="15">
      <c r="A35" s="144"/>
      <c r="B35" s="935"/>
      <c r="C35" s="783"/>
      <c r="D35" s="211"/>
      <c r="E35" s="211"/>
      <c r="F35" s="211"/>
      <c r="G35" s="211"/>
      <c r="H35" s="353"/>
      <c r="I35" s="354"/>
      <c r="J35" s="356"/>
      <c r="K35" s="354"/>
      <c r="L35" s="355"/>
      <c r="M35" s="354"/>
      <c r="N35" s="356"/>
      <c r="O35" s="357"/>
      <c r="P35" s="328"/>
      <c r="Q35" s="329"/>
      <c r="R35" s="209"/>
      <c r="S35" s="210"/>
      <c r="T35" s="210"/>
      <c r="U35" s="210"/>
      <c r="V35" s="210"/>
      <c r="W35" s="210"/>
      <c r="X35" s="210"/>
      <c r="Y35" s="210"/>
      <c r="Z35" s="210"/>
      <c r="AA35" s="210"/>
      <c r="AB35" s="210"/>
      <c r="AC35" s="125"/>
      <c r="AD35" s="1"/>
      <c r="AE35" s="1"/>
      <c r="AF35" s="1"/>
      <c r="AG35" s="1"/>
      <c r="AH35" s="1"/>
      <c r="AI35" s="1"/>
      <c r="AJ35" s="1"/>
      <c r="AK35" s="1"/>
    </row>
    <row r="36" spans="1:37" ht="15">
      <c r="A36" s="144"/>
      <c r="B36" s="935"/>
      <c r="C36" s="783"/>
      <c r="D36" s="211"/>
      <c r="E36" s="211"/>
      <c r="F36" s="211"/>
      <c r="G36" s="211"/>
      <c r="H36" s="353"/>
      <c r="I36" s="354"/>
      <c r="J36" s="356"/>
      <c r="K36" s="354"/>
      <c r="L36" s="355"/>
      <c r="M36" s="354"/>
      <c r="N36" s="356"/>
      <c r="O36" s="357"/>
      <c r="P36" s="328"/>
      <c r="Q36" s="329"/>
      <c r="R36" s="209"/>
      <c r="S36" s="210"/>
      <c r="T36" s="210"/>
      <c r="U36" s="210"/>
      <c r="V36" s="210"/>
      <c r="W36" s="210"/>
      <c r="X36" s="210"/>
      <c r="Y36" s="210"/>
      <c r="Z36" s="210"/>
      <c r="AA36" s="210"/>
      <c r="AB36" s="210"/>
      <c r="AC36" s="125"/>
      <c r="AD36" s="1"/>
      <c r="AE36" s="1"/>
      <c r="AF36" s="1"/>
      <c r="AG36" s="1"/>
      <c r="AH36" s="1"/>
      <c r="AI36" s="1"/>
      <c r="AJ36" s="1"/>
      <c r="AK36" s="1"/>
    </row>
    <row r="37" spans="1:37" ht="15">
      <c r="A37" s="144"/>
      <c r="B37" s="935"/>
      <c r="C37" s="783"/>
      <c r="D37" s="211"/>
      <c r="E37" s="211"/>
      <c r="F37" s="211"/>
      <c r="G37" s="211"/>
      <c r="H37" s="353"/>
      <c r="I37" s="354"/>
      <c r="J37" s="356"/>
      <c r="K37" s="354"/>
      <c r="L37" s="355"/>
      <c r="M37" s="354"/>
      <c r="N37" s="356"/>
      <c r="O37" s="357"/>
      <c r="P37" s="328"/>
      <c r="Q37" s="329"/>
      <c r="R37" s="209"/>
      <c r="S37" s="210"/>
      <c r="T37" s="210"/>
      <c r="U37" s="210"/>
      <c r="V37" s="210"/>
      <c r="W37" s="210"/>
      <c r="X37" s="210"/>
      <c r="Y37" s="210"/>
      <c r="Z37" s="210"/>
      <c r="AA37" s="210"/>
      <c r="AB37" s="210"/>
      <c r="AC37" s="125"/>
      <c r="AD37" s="1"/>
      <c r="AE37" s="1"/>
      <c r="AF37" s="1"/>
      <c r="AG37" s="1"/>
      <c r="AH37" s="1"/>
      <c r="AI37" s="1"/>
      <c r="AJ37" s="1"/>
      <c r="AK37" s="1"/>
    </row>
    <row r="38" spans="1:37" ht="15">
      <c r="A38" s="144"/>
      <c r="B38" s="935"/>
      <c r="C38" s="783"/>
      <c r="D38" s="241"/>
      <c r="E38" s="241"/>
      <c r="F38" s="241"/>
      <c r="G38" s="241"/>
      <c r="H38" s="786"/>
      <c r="I38" s="337"/>
      <c r="J38" s="925"/>
      <c r="K38" s="337"/>
      <c r="L38" s="928"/>
      <c r="M38" s="337"/>
      <c r="N38" s="925"/>
      <c r="O38" s="340"/>
      <c r="P38" s="922"/>
      <c r="Q38" s="322"/>
      <c r="R38" s="209"/>
      <c r="S38" s="210"/>
      <c r="T38" s="210"/>
      <c r="U38" s="210"/>
      <c r="V38" s="210"/>
      <c r="W38" s="210"/>
      <c r="X38" s="210"/>
      <c r="Y38" s="210"/>
      <c r="Z38" s="210"/>
      <c r="AA38" s="210"/>
      <c r="AB38" s="210"/>
      <c r="AC38" s="125"/>
      <c r="AD38" s="1"/>
      <c r="AE38" s="1"/>
      <c r="AF38" s="1"/>
      <c r="AG38" s="1"/>
      <c r="AH38" s="1"/>
      <c r="AI38" s="1"/>
      <c r="AJ38" s="1"/>
      <c r="AK38" s="1"/>
    </row>
    <row r="39" spans="1:37" ht="14.45" customHeight="1">
      <c r="A39" s="144"/>
      <c r="B39" s="935"/>
      <c r="C39" s="783"/>
      <c r="D39" s="241"/>
      <c r="E39" s="241"/>
      <c r="F39" s="241"/>
      <c r="G39" s="241"/>
      <c r="H39" s="787"/>
      <c r="I39" s="337"/>
      <c r="J39" s="926"/>
      <c r="K39" s="337"/>
      <c r="L39" s="929"/>
      <c r="M39" s="337"/>
      <c r="N39" s="926"/>
      <c r="O39" s="340"/>
      <c r="P39" s="923"/>
      <c r="Q39" s="322"/>
      <c r="R39" s="209"/>
      <c r="S39" s="210"/>
      <c r="T39" s="210"/>
      <c r="U39" s="210"/>
      <c r="V39" s="210"/>
      <c r="W39" s="210"/>
      <c r="X39" s="210"/>
      <c r="Y39" s="210"/>
      <c r="Z39" s="210"/>
      <c r="AA39" s="210"/>
      <c r="AB39" s="210"/>
      <c r="AC39" s="125"/>
      <c r="AD39" s="1"/>
      <c r="AE39" s="1"/>
      <c r="AF39" s="1"/>
      <c r="AG39" s="1"/>
      <c r="AH39" s="1"/>
      <c r="AI39" s="1"/>
      <c r="AJ39" s="1"/>
      <c r="AK39" s="1"/>
    </row>
    <row r="40" spans="1:37" ht="14.45" customHeight="1">
      <c r="A40" s="144"/>
      <c r="B40" s="935"/>
      <c r="C40" s="783"/>
      <c r="D40" s="241"/>
      <c r="E40" s="241"/>
      <c r="F40" s="241"/>
      <c r="G40" s="241"/>
      <c r="H40" s="787"/>
      <c r="I40" s="337"/>
      <c r="J40" s="926"/>
      <c r="K40" s="337"/>
      <c r="L40" s="929"/>
      <c r="M40" s="337"/>
      <c r="N40" s="926"/>
      <c r="O40" s="340"/>
      <c r="P40" s="923"/>
      <c r="Q40" s="322"/>
      <c r="R40" s="209"/>
      <c r="S40" s="210"/>
      <c r="T40" s="210"/>
      <c r="U40" s="210"/>
      <c r="V40" s="210"/>
      <c r="W40" s="210"/>
      <c r="X40" s="210"/>
      <c r="Y40" s="210"/>
      <c r="Z40" s="210"/>
      <c r="AA40" s="210"/>
      <c r="AB40" s="210"/>
      <c r="AC40" s="125"/>
      <c r="AD40" s="1"/>
      <c r="AE40" s="1"/>
      <c r="AF40" s="1"/>
      <c r="AG40" s="1"/>
      <c r="AH40" s="1"/>
      <c r="AI40" s="1"/>
      <c r="AJ40" s="1"/>
      <c r="AK40" s="1"/>
    </row>
    <row r="41" spans="1:37" ht="14.45" customHeight="1">
      <c r="A41" s="144"/>
      <c r="B41" s="935"/>
      <c r="C41" s="783"/>
      <c r="D41" s="241"/>
      <c r="E41" s="241"/>
      <c r="F41" s="241"/>
      <c r="G41" s="241"/>
      <c r="H41" s="787"/>
      <c r="I41" s="337"/>
      <c r="J41" s="926"/>
      <c r="K41" s="337"/>
      <c r="L41" s="929"/>
      <c r="M41" s="337"/>
      <c r="N41" s="926"/>
      <c r="O41" s="340"/>
      <c r="P41" s="923"/>
      <c r="Q41" s="322"/>
      <c r="R41" s="209"/>
      <c r="S41" s="210"/>
      <c r="T41" s="210"/>
      <c r="U41" s="210"/>
      <c r="V41" s="210"/>
      <c r="W41" s="210"/>
      <c r="X41" s="210"/>
      <c r="Y41" s="210"/>
      <c r="Z41" s="210"/>
      <c r="AA41" s="210"/>
      <c r="AB41" s="210"/>
      <c r="AC41" s="125"/>
      <c r="AD41" s="1"/>
      <c r="AE41" s="1"/>
      <c r="AF41" s="1"/>
      <c r="AG41" s="1"/>
      <c r="AH41" s="1"/>
      <c r="AI41" s="1"/>
      <c r="AJ41" s="1"/>
      <c r="AK41" s="1"/>
    </row>
    <row r="42" spans="1:37" ht="15.75" thickBot="1">
      <c r="A42" s="144"/>
      <c r="B42" s="936"/>
      <c r="C42" s="783"/>
      <c r="D42" s="242"/>
      <c r="E42" s="242"/>
      <c r="F42" s="242"/>
      <c r="G42" s="242"/>
      <c r="H42" s="931"/>
      <c r="I42" s="358"/>
      <c r="J42" s="932"/>
      <c r="K42" s="358"/>
      <c r="L42" s="933"/>
      <c r="M42" s="358"/>
      <c r="N42" s="932"/>
      <c r="O42" s="359"/>
      <c r="P42" s="934"/>
      <c r="Q42" s="330"/>
      <c r="R42" s="209"/>
      <c r="S42" s="210"/>
      <c r="T42" s="210"/>
      <c r="U42" s="210"/>
      <c r="V42" s="210"/>
      <c r="W42" s="210"/>
      <c r="X42" s="210"/>
      <c r="Y42" s="210"/>
      <c r="Z42" s="210"/>
      <c r="AA42" s="210"/>
      <c r="AB42" s="210"/>
      <c r="AC42" s="125"/>
      <c r="AD42" s="1"/>
      <c r="AE42" s="1"/>
      <c r="AF42" s="1"/>
      <c r="AG42" s="1"/>
      <c r="AH42" s="1"/>
      <c r="AI42" s="1"/>
      <c r="AJ42" s="1"/>
      <c r="AK42" s="1"/>
    </row>
    <row r="43" spans="1:37" ht="15.75" thickTop="1">
      <c r="A43" s="144"/>
      <c r="B43" s="640" t="s">
        <v>174</v>
      </c>
      <c r="C43" s="784" t="s">
        <v>175</v>
      </c>
      <c r="D43" s="212"/>
      <c r="E43" s="212"/>
      <c r="F43" s="212"/>
      <c r="G43" s="212"/>
      <c r="H43" s="353">
        <v>4</v>
      </c>
      <c r="I43" s="354"/>
      <c r="J43" s="356">
        <v>4</v>
      </c>
      <c r="K43" s="354"/>
      <c r="L43" s="355">
        <v>30</v>
      </c>
      <c r="M43" s="354"/>
      <c r="N43" s="356">
        <v>0</v>
      </c>
      <c r="O43" s="357"/>
      <c r="P43" s="328">
        <v>0</v>
      </c>
      <c r="Q43" s="329"/>
      <c r="R43" s="209"/>
      <c r="S43" s="210"/>
      <c r="T43" s="210"/>
      <c r="U43" s="210"/>
      <c r="V43" s="210"/>
      <c r="W43" s="210"/>
      <c r="X43" s="210"/>
      <c r="Y43" s="210"/>
      <c r="Z43" s="210"/>
      <c r="AA43" s="210"/>
      <c r="AB43" s="210"/>
      <c r="AC43" s="125"/>
      <c r="AD43" s="1"/>
      <c r="AE43" s="1"/>
      <c r="AF43" s="1"/>
      <c r="AG43" s="1"/>
      <c r="AH43" s="1"/>
      <c r="AI43" s="1"/>
      <c r="AJ43" s="1"/>
      <c r="AK43" s="1"/>
    </row>
    <row r="44" spans="1:37" ht="15">
      <c r="A44" s="144"/>
      <c r="B44" s="767"/>
      <c r="C44" s="783"/>
      <c r="D44" s="208"/>
      <c r="E44" s="208"/>
      <c r="F44" s="208"/>
      <c r="G44" s="208"/>
      <c r="H44" s="336"/>
      <c r="I44" s="337"/>
      <c r="J44" s="339"/>
      <c r="K44" s="337"/>
      <c r="L44" s="338"/>
      <c r="M44" s="337"/>
      <c r="N44" s="339"/>
      <c r="O44" s="340"/>
      <c r="P44" s="321"/>
      <c r="Q44" s="322"/>
      <c r="R44" s="209"/>
      <c r="S44" s="210"/>
      <c r="T44" s="210"/>
      <c r="U44" s="210"/>
      <c r="V44" s="210"/>
      <c r="W44" s="210"/>
      <c r="X44" s="210"/>
      <c r="Y44" s="210"/>
      <c r="Z44" s="210"/>
      <c r="AA44" s="210"/>
      <c r="AB44" s="210"/>
      <c r="AC44" s="125"/>
      <c r="AD44" s="1"/>
      <c r="AE44" s="1"/>
      <c r="AF44" s="1"/>
      <c r="AG44" s="1"/>
      <c r="AH44" s="1"/>
      <c r="AI44" s="1"/>
      <c r="AJ44" s="1"/>
      <c r="AK44" s="1"/>
    </row>
    <row r="45" spans="1:37" ht="15">
      <c r="A45" s="144"/>
      <c r="B45" s="767"/>
      <c r="C45" s="783"/>
      <c r="D45" s="208"/>
      <c r="E45" s="208"/>
      <c r="F45" s="208"/>
      <c r="G45" s="208"/>
      <c r="H45" s="336"/>
      <c r="I45" s="337"/>
      <c r="J45" s="339"/>
      <c r="K45" s="337"/>
      <c r="L45" s="338"/>
      <c r="M45" s="337"/>
      <c r="N45" s="339"/>
      <c r="O45" s="340"/>
      <c r="P45" s="321"/>
      <c r="Q45" s="322"/>
      <c r="R45" s="209"/>
      <c r="S45" s="210"/>
      <c r="T45" s="210"/>
      <c r="U45" s="210"/>
      <c r="V45" s="210"/>
      <c r="W45" s="210"/>
      <c r="X45" s="210"/>
      <c r="Y45" s="210"/>
      <c r="Z45" s="210"/>
      <c r="AA45" s="210"/>
      <c r="AB45" s="210"/>
      <c r="AC45" s="125"/>
      <c r="AD45" s="1"/>
      <c r="AE45" s="1"/>
      <c r="AF45" s="1"/>
      <c r="AG45" s="1"/>
      <c r="AH45" s="1"/>
      <c r="AI45" s="1"/>
      <c r="AJ45" s="1"/>
      <c r="AK45" s="1"/>
    </row>
    <row r="46" spans="1:37" ht="15">
      <c r="A46" s="144"/>
      <c r="B46" s="767"/>
      <c r="C46" s="783"/>
      <c r="D46" s="208"/>
      <c r="E46" s="208"/>
      <c r="F46" s="208"/>
      <c r="G46" s="208"/>
      <c r="H46" s="336"/>
      <c r="I46" s="337"/>
      <c r="J46" s="339"/>
      <c r="K46" s="337"/>
      <c r="L46" s="338"/>
      <c r="M46" s="337"/>
      <c r="N46" s="339"/>
      <c r="O46" s="340"/>
      <c r="P46" s="321"/>
      <c r="Q46" s="322"/>
      <c r="R46" s="209"/>
      <c r="S46" s="210"/>
      <c r="T46" s="210"/>
      <c r="U46" s="210"/>
      <c r="V46" s="210"/>
      <c r="W46" s="210"/>
      <c r="X46" s="210"/>
      <c r="Y46" s="210"/>
      <c r="Z46" s="210"/>
      <c r="AA46" s="210"/>
      <c r="AB46" s="210"/>
      <c r="AC46" s="125"/>
      <c r="AD46" s="1"/>
      <c r="AE46" s="1"/>
      <c r="AF46" s="1"/>
      <c r="AG46" s="1"/>
      <c r="AH46" s="1"/>
      <c r="AI46" s="1"/>
      <c r="AJ46" s="1"/>
      <c r="AK46" s="1"/>
    </row>
    <row r="47" spans="1:37" ht="15">
      <c r="A47" s="144"/>
      <c r="B47" s="767"/>
      <c r="C47" s="783"/>
      <c r="D47" s="208"/>
      <c r="E47" s="208"/>
      <c r="F47" s="208"/>
      <c r="G47" s="208"/>
      <c r="H47" s="336"/>
      <c r="I47" s="337"/>
      <c r="J47" s="339"/>
      <c r="K47" s="337"/>
      <c r="L47" s="338"/>
      <c r="M47" s="337"/>
      <c r="N47" s="339"/>
      <c r="O47" s="340"/>
      <c r="P47" s="321"/>
      <c r="Q47" s="322"/>
      <c r="R47" s="209"/>
      <c r="S47" s="210"/>
      <c r="T47" s="210"/>
      <c r="U47" s="210"/>
      <c r="V47" s="210"/>
      <c r="W47" s="210"/>
      <c r="X47" s="210"/>
      <c r="Y47" s="210"/>
      <c r="Z47" s="210"/>
      <c r="AA47" s="210"/>
      <c r="AB47" s="210"/>
      <c r="AC47" s="125"/>
      <c r="AD47" s="1"/>
      <c r="AE47" s="1"/>
      <c r="AF47" s="1"/>
      <c r="AG47" s="1"/>
      <c r="AH47" s="1"/>
      <c r="AI47" s="1"/>
      <c r="AJ47" s="1"/>
      <c r="AK47" s="1"/>
    </row>
    <row r="48" spans="1:37" ht="15">
      <c r="A48" s="144"/>
      <c r="B48" s="767"/>
      <c r="C48" s="783"/>
      <c r="D48" s="208"/>
      <c r="E48" s="208"/>
      <c r="F48" s="208"/>
      <c r="G48" s="208"/>
      <c r="H48" s="336"/>
      <c r="I48" s="337"/>
      <c r="J48" s="339"/>
      <c r="K48" s="337"/>
      <c r="L48" s="338"/>
      <c r="M48" s="337"/>
      <c r="N48" s="339"/>
      <c r="O48" s="340"/>
      <c r="P48" s="321"/>
      <c r="Q48" s="322"/>
      <c r="R48" s="209"/>
      <c r="S48" s="210"/>
      <c r="T48" s="210"/>
      <c r="U48" s="210"/>
      <c r="V48" s="210"/>
      <c r="W48" s="210"/>
      <c r="X48" s="210"/>
      <c r="Y48" s="210"/>
      <c r="Z48" s="210"/>
      <c r="AA48" s="210"/>
      <c r="AB48" s="210"/>
      <c r="AC48" s="125"/>
      <c r="AD48" s="1"/>
      <c r="AE48" s="1"/>
      <c r="AF48" s="1"/>
      <c r="AG48" s="1"/>
      <c r="AH48" s="1"/>
      <c r="AI48" s="1"/>
      <c r="AJ48" s="1"/>
      <c r="AK48" s="1"/>
    </row>
    <row r="49" spans="1:37" ht="15">
      <c r="A49" s="144"/>
      <c r="B49" s="767"/>
      <c r="C49" s="783"/>
      <c r="D49" s="208"/>
      <c r="E49" s="208"/>
      <c r="F49" s="208"/>
      <c r="G49" s="208"/>
      <c r="H49" s="336"/>
      <c r="I49" s="337"/>
      <c r="J49" s="339"/>
      <c r="K49" s="337"/>
      <c r="L49" s="338"/>
      <c r="M49" s="337"/>
      <c r="N49" s="339"/>
      <c r="O49" s="340"/>
      <c r="P49" s="321"/>
      <c r="Q49" s="322"/>
      <c r="R49" s="209"/>
      <c r="S49" s="210"/>
      <c r="T49" s="210"/>
      <c r="U49" s="210"/>
      <c r="V49" s="210"/>
      <c r="W49" s="210"/>
      <c r="X49" s="210"/>
      <c r="Y49" s="210"/>
      <c r="Z49" s="210"/>
      <c r="AA49" s="210"/>
      <c r="AB49" s="210"/>
      <c r="AC49" s="125"/>
      <c r="AD49" s="1"/>
      <c r="AE49" s="1"/>
      <c r="AF49" s="1"/>
      <c r="AG49" s="1"/>
      <c r="AH49" s="1"/>
      <c r="AI49" s="1"/>
      <c r="AJ49" s="1"/>
      <c r="AK49" s="1"/>
    </row>
    <row r="50" spans="1:37" ht="15">
      <c r="A50" s="144"/>
      <c r="B50" s="767"/>
      <c r="C50" s="783"/>
      <c r="D50" s="208"/>
      <c r="E50" s="208"/>
      <c r="F50" s="208"/>
      <c r="G50" s="208"/>
      <c r="H50" s="336"/>
      <c r="I50" s="337"/>
      <c r="J50" s="339"/>
      <c r="K50" s="337"/>
      <c r="L50" s="338"/>
      <c r="M50" s="337"/>
      <c r="N50" s="339"/>
      <c r="O50" s="340"/>
      <c r="P50" s="321"/>
      <c r="Q50" s="322"/>
      <c r="R50" s="209"/>
      <c r="S50" s="210"/>
      <c r="T50" s="210"/>
      <c r="U50" s="210"/>
      <c r="V50" s="210"/>
      <c r="W50" s="210"/>
      <c r="X50" s="210"/>
      <c r="Y50" s="210"/>
      <c r="Z50" s="210"/>
      <c r="AA50" s="210"/>
      <c r="AB50" s="210"/>
      <c r="AC50" s="125"/>
      <c r="AD50" s="1"/>
      <c r="AE50" s="1"/>
      <c r="AF50" s="1"/>
      <c r="AG50" s="1"/>
      <c r="AH50" s="1"/>
      <c r="AI50" s="1"/>
      <c r="AJ50" s="1"/>
      <c r="AK50" s="1"/>
    </row>
    <row r="51" spans="1:37" ht="15">
      <c r="A51" s="144"/>
      <c r="B51" s="767"/>
      <c r="C51" s="783"/>
      <c r="D51" s="208"/>
      <c r="E51" s="208"/>
      <c r="F51" s="208"/>
      <c r="G51" s="208"/>
      <c r="H51" s="336"/>
      <c r="I51" s="337"/>
      <c r="J51" s="339"/>
      <c r="K51" s="337"/>
      <c r="L51" s="338"/>
      <c r="M51" s="337"/>
      <c r="N51" s="339"/>
      <c r="O51" s="340"/>
      <c r="P51" s="321"/>
      <c r="Q51" s="322"/>
      <c r="R51" s="209"/>
      <c r="S51" s="210"/>
      <c r="T51" s="210"/>
      <c r="U51" s="210"/>
      <c r="V51" s="210"/>
      <c r="W51" s="210"/>
      <c r="X51" s="210"/>
      <c r="Y51" s="210"/>
      <c r="Z51" s="210"/>
      <c r="AA51" s="210"/>
      <c r="AB51" s="210"/>
      <c r="AC51" s="125"/>
      <c r="AD51" s="1"/>
      <c r="AE51" s="1"/>
      <c r="AF51" s="1"/>
      <c r="AG51" s="1"/>
      <c r="AH51" s="1"/>
      <c r="AI51" s="1"/>
      <c r="AJ51" s="1"/>
      <c r="AK51" s="1"/>
    </row>
    <row r="52" spans="1:37" ht="15">
      <c r="A52" s="144"/>
      <c r="B52" s="767"/>
      <c r="C52" s="783"/>
      <c r="D52" s="208"/>
      <c r="E52" s="208"/>
      <c r="F52" s="208"/>
      <c r="G52" s="208"/>
      <c r="H52" s="336"/>
      <c r="I52" s="337"/>
      <c r="J52" s="339"/>
      <c r="K52" s="337"/>
      <c r="L52" s="338"/>
      <c r="M52" s="337"/>
      <c r="N52" s="339"/>
      <c r="O52" s="340"/>
      <c r="P52" s="321"/>
      <c r="Q52" s="322"/>
      <c r="R52" s="209"/>
      <c r="S52" s="210"/>
      <c r="T52" s="210"/>
      <c r="U52" s="210"/>
      <c r="V52" s="210"/>
      <c r="W52" s="210"/>
      <c r="X52" s="210"/>
      <c r="Y52" s="210"/>
      <c r="Z52" s="210"/>
      <c r="AA52" s="210"/>
      <c r="AB52" s="210"/>
      <c r="AC52" s="125"/>
      <c r="AD52" s="1"/>
      <c r="AE52" s="1"/>
      <c r="AF52" s="1"/>
      <c r="AG52" s="1"/>
      <c r="AH52" s="1"/>
      <c r="AI52" s="1"/>
      <c r="AJ52" s="1"/>
      <c r="AK52" s="1"/>
    </row>
    <row r="53" spans="1:37" ht="15">
      <c r="A53" s="144"/>
      <c r="B53" s="767"/>
      <c r="C53" s="783"/>
      <c r="D53" s="241"/>
      <c r="E53" s="241"/>
      <c r="F53" s="241"/>
      <c r="G53" s="241"/>
      <c r="H53" s="786"/>
      <c r="I53" s="337"/>
      <c r="J53" s="925"/>
      <c r="K53" s="337"/>
      <c r="L53" s="928"/>
      <c r="M53" s="337"/>
      <c r="N53" s="925"/>
      <c r="O53" s="340"/>
      <c r="P53" s="922"/>
      <c r="Q53" s="322"/>
      <c r="R53" s="209"/>
      <c r="S53" s="210"/>
      <c r="T53" s="210"/>
      <c r="U53" s="210"/>
      <c r="V53" s="210"/>
      <c r="W53" s="210"/>
      <c r="X53" s="210"/>
      <c r="Y53" s="210"/>
      <c r="Z53" s="210"/>
      <c r="AA53" s="210"/>
      <c r="AB53" s="210"/>
      <c r="AC53" s="125"/>
      <c r="AD53" s="1"/>
      <c r="AE53" s="1"/>
      <c r="AF53" s="1"/>
      <c r="AG53" s="1"/>
      <c r="AH53" s="1"/>
      <c r="AI53" s="1"/>
      <c r="AJ53" s="1"/>
      <c r="AK53" s="1"/>
    </row>
    <row r="54" spans="1:37" ht="15">
      <c r="A54" s="144"/>
      <c r="B54" s="767"/>
      <c r="C54" s="783"/>
      <c r="D54" s="241"/>
      <c r="E54" s="241"/>
      <c r="F54" s="241"/>
      <c r="G54" s="241"/>
      <c r="H54" s="787"/>
      <c r="I54" s="337"/>
      <c r="J54" s="926"/>
      <c r="K54" s="337"/>
      <c r="L54" s="929"/>
      <c r="M54" s="337"/>
      <c r="N54" s="926"/>
      <c r="O54" s="340"/>
      <c r="P54" s="923"/>
      <c r="Q54" s="322"/>
      <c r="R54" s="209"/>
      <c r="S54" s="210"/>
      <c r="T54" s="210"/>
      <c r="U54" s="210"/>
      <c r="V54" s="210"/>
      <c r="W54" s="210"/>
      <c r="X54" s="210"/>
      <c r="Y54" s="210"/>
      <c r="Z54" s="210"/>
      <c r="AA54" s="210"/>
      <c r="AB54" s="210"/>
      <c r="AC54" s="125"/>
      <c r="AD54" s="1"/>
      <c r="AE54" s="1"/>
      <c r="AF54" s="1"/>
      <c r="AG54" s="1"/>
      <c r="AH54" s="1"/>
      <c r="AI54" s="1"/>
      <c r="AJ54" s="1"/>
      <c r="AK54" s="1"/>
    </row>
    <row r="55" spans="1:37" ht="15">
      <c r="A55" s="144"/>
      <c r="B55" s="767"/>
      <c r="C55" s="783"/>
      <c r="D55" s="241"/>
      <c r="E55" s="241"/>
      <c r="F55" s="241"/>
      <c r="G55" s="241"/>
      <c r="H55" s="787"/>
      <c r="I55" s="337"/>
      <c r="J55" s="926"/>
      <c r="K55" s="337"/>
      <c r="L55" s="929"/>
      <c r="M55" s="337"/>
      <c r="N55" s="926"/>
      <c r="O55" s="340"/>
      <c r="P55" s="923"/>
      <c r="Q55" s="322"/>
      <c r="R55" s="209"/>
      <c r="S55" s="210"/>
      <c r="T55" s="210"/>
      <c r="U55" s="210"/>
      <c r="V55" s="210"/>
      <c r="W55" s="210"/>
      <c r="X55" s="210"/>
      <c r="Y55" s="210"/>
      <c r="Z55" s="210"/>
      <c r="AA55" s="210"/>
      <c r="AB55" s="210"/>
      <c r="AC55" s="125"/>
      <c r="AD55" s="1"/>
      <c r="AE55" s="1"/>
      <c r="AF55" s="1"/>
      <c r="AG55" s="1"/>
      <c r="AH55" s="1"/>
      <c r="AI55" s="1"/>
      <c r="AJ55" s="1"/>
      <c r="AK55" s="1"/>
    </row>
    <row r="56" spans="1:37" ht="15">
      <c r="A56" s="144"/>
      <c r="B56" s="767"/>
      <c r="C56" s="783"/>
      <c r="D56" s="241"/>
      <c r="E56" s="241"/>
      <c r="F56" s="241"/>
      <c r="G56" s="241"/>
      <c r="H56" s="787"/>
      <c r="I56" s="337"/>
      <c r="J56" s="926"/>
      <c r="K56" s="337"/>
      <c r="L56" s="929"/>
      <c r="M56" s="337"/>
      <c r="N56" s="926"/>
      <c r="O56" s="340"/>
      <c r="P56" s="923"/>
      <c r="Q56" s="322"/>
      <c r="R56" s="209"/>
      <c r="S56" s="210"/>
      <c r="T56" s="210"/>
      <c r="U56" s="210"/>
      <c r="V56" s="210"/>
      <c r="W56" s="210"/>
      <c r="X56" s="210"/>
      <c r="Y56" s="210"/>
      <c r="Z56" s="210"/>
      <c r="AA56" s="210"/>
      <c r="AB56" s="210"/>
      <c r="AC56" s="125"/>
      <c r="AD56" s="1"/>
      <c r="AE56" s="1"/>
      <c r="AF56" s="1"/>
      <c r="AG56" s="1"/>
      <c r="AH56" s="1"/>
      <c r="AI56" s="1"/>
      <c r="AJ56" s="1"/>
      <c r="AK56" s="1"/>
    </row>
    <row r="57" spans="1:37" ht="15.75" thickBot="1">
      <c r="A57" s="144"/>
      <c r="B57" s="768"/>
      <c r="C57" s="785"/>
      <c r="D57" s="239"/>
      <c r="E57" s="239"/>
      <c r="F57" s="239"/>
      <c r="G57" s="239"/>
      <c r="H57" s="788"/>
      <c r="I57" s="351"/>
      <c r="J57" s="927"/>
      <c r="K57" s="351"/>
      <c r="L57" s="930"/>
      <c r="M57" s="351"/>
      <c r="N57" s="927"/>
      <c r="O57" s="352"/>
      <c r="P57" s="924"/>
      <c r="Q57" s="327"/>
      <c r="R57" s="209"/>
      <c r="S57" s="210"/>
      <c r="T57" s="210"/>
      <c r="U57" s="210"/>
      <c r="V57" s="210"/>
      <c r="W57" s="210"/>
      <c r="X57" s="210"/>
      <c r="Y57" s="210"/>
      <c r="Z57" s="210"/>
      <c r="AA57" s="210"/>
      <c r="AB57" s="210"/>
      <c r="AC57" s="125"/>
      <c r="AD57" s="1"/>
      <c r="AE57" s="1"/>
      <c r="AF57" s="1"/>
      <c r="AG57" s="1"/>
      <c r="AH57" s="1"/>
      <c r="AI57" s="1"/>
      <c r="AJ57" s="1"/>
      <c r="AK57" s="1"/>
    </row>
    <row r="58" spans="1:37" ht="15.75" thickTop="1">
      <c r="A58" s="144"/>
      <c r="B58" s="768"/>
      <c r="C58" s="770" t="s">
        <v>139</v>
      </c>
      <c r="D58" s="211"/>
      <c r="E58" s="211"/>
      <c r="F58" s="211"/>
      <c r="G58" s="211"/>
      <c r="H58" s="353">
        <v>2</v>
      </c>
      <c r="I58" s="354"/>
      <c r="J58" s="356">
        <v>0</v>
      </c>
      <c r="K58" s="354"/>
      <c r="L58" s="355">
        <v>10</v>
      </c>
      <c r="M58" s="354"/>
      <c r="N58" s="356">
        <v>0</v>
      </c>
      <c r="O58" s="357"/>
      <c r="P58" s="328">
        <v>0</v>
      </c>
      <c r="Q58" s="329"/>
      <c r="R58" s="209"/>
      <c r="S58" s="210"/>
      <c r="T58" s="210"/>
      <c r="U58" s="210"/>
      <c r="V58" s="210"/>
      <c r="W58" s="210"/>
      <c r="X58" s="210"/>
      <c r="Y58" s="210"/>
      <c r="Z58" s="210"/>
      <c r="AA58" s="210"/>
      <c r="AB58" s="210"/>
      <c r="AC58" s="125"/>
      <c r="AD58" s="1"/>
      <c r="AE58" s="1"/>
      <c r="AF58" s="1"/>
      <c r="AG58" s="1"/>
      <c r="AH58" s="1"/>
      <c r="AI58" s="1"/>
      <c r="AJ58" s="1"/>
      <c r="AK58" s="1"/>
    </row>
    <row r="59" spans="1:37" ht="15">
      <c r="A59" s="144"/>
      <c r="B59" s="768"/>
      <c r="C59" s="770"/>
      <c r="D59" s="211"/>
      <c r="E59" s="211"/>
      <c r="F59" s="211"/>
      <c r="G59" s="211"/>
      <c r="H59" s="353">
        <v>1</v>
      </c>
      <c r="I59" s="354"/>
      <c r="J59" s="356">
        <v>0</v>
      </c>
      <c r="K59" s="354"/>
      <c r="L59" s="355">
        <v>8</v>
      </c>
      <c r="M59" s="354"/>
      <c r="N59" s="356">
        <v>0</v>
      </c>
      <c r="O59" s="357"/>
      <c r="P59" s="328">
        <v>0</v>
      </c>
      <c r="Q59" s="329"/>
      <c r="R59" s="209"/>
      <c r="S59" s="210"/>
      <c r="T59" s="210"/>
      <c r="U59" s="210"/>
      <c r="V59" s="210"/>
      <c r="W59" s="210"/>
      <c r="X59" s="210"/>
      <c r="Y59" s="210"/>
      <c r="Z59" s="210"/>
      <c r="AA59" s="210"/>
      <c r="AB59" s="210"/>
      <c r="AC59" s="125"/>
      <c r="AD59" s="1"/>
      <c r="AE59" s="1"/>
      <c r="AF59" s="1"/>
      <c r="AG59" s="1"/>
      <c r="AH59" s="1"/>
      <c r="AI59" s="1"/>
      <c r="AJ59" s="1"/>
      <c r="AK59" s="1"/>
    </row>
    <row r="60" spans="1:37" ht="15">
      <c r="A60" s="144"/>
      <c r="B60" s="768"/>
      <c r="C60" s="770"/>
      <c r="D60" s="211"/>
      <c r="E60" s="211"/>
      <c r="F60" s="211"/>
      <c r="G60" s="211"/>
      <c r="H60" s="353">
        <v>2</v>
      </c>
      <c r="I60" s="354"/>
      <c r="J60" s="356">
        <v>0</v>
      </c>
      <c r="K60" s="354"/>
      <c r="L60" s="355">
        <v>10</v>
      </c>
      <c r="M60" s="354"/>
      <c r="N60" s="356">
        <v>0</v>
      </c>
      <c r="O60" s="357"/>
      <c r="P60" s="328">
        <v>0</v>
      </c>
      <c r="Q60" s="329"/>
      <c r="R60" s="209"/>
      <c r="S60" s="210"/>
      <c r="T60" s="210"/>
      <c r="U60" s="210"/>
      <c r="V60" s="210"/>
      <c r="W60" s="210"/>
      <c r="X60" s="210"/>
      <c r="Y60" s="210"/>
      <c r="Z60" s="210"/>
      <c r="AA60" s="210"/>
      <c r="AB60" s="210"/>
      <c r="AC60" s="125"/>
      <c r="AD60" s="1"/>
      <c r="AE60" s="1"/>
      <c r="AF60" s="1"/>
      <c r="AG60" s="1"/>
      <c r="AH60" s="1"/>
      <c r="AI60" s="1"/>
      <c r="AJ60" s="1"/>
      <c r="AK60" s="1"/>
    </row>
    <row r="61" spans="1:37" ht="15">
      <c r="A61" s="144"/>
      <c r="B61" s="768"/>
      <c r="C61" s="770"/>
      <c r="D61" s="211"/>
      <c r="E61" s="211"/>
      <c r="F61" s="211"/>
      <c r="G61" s="211"/>
      <c r="H61" s="353">
        <v>1</v>
      </c>
      <c r="I61" s="354"/>
      <c r="J61" s="356">
        <v>0</v>
      </c>
      <c r="K61" s="354"/>
      <c r="L61" s="355">
        <v>8</v>
      </c>
      <c r="M61" s="354"/>
      <c r="N61" s="356">
        <v>0</v>
      </c>
      <c r="O61" s="357"/>
      <c r="P61" s="328">
        <v>0</v>
      </c>
      <c r="Q61" s="329"/>
      <c r="R61" s="209"/>
      <c r="S61" s="210"/>
      <c r="T61" s="210"/>
      <c r="U61" s="210"/>
      <c r="V61" s="210"/>
      <c r="W61" s="210"/>
      <c r="X61" s="210"/>
      <c r="Y61" s="210"/>
      <c r="Z61" s="210"/>
      <c r="AA61" s="210"/>
      <c r="AB61" s="210"/>
      <c r="AC61" s="125"/>
      <c r="AD61" s="1"/>
      <c r="AE61" s="1"/>
      <c r="AF61" s="1"/>
      <c r="AG61" s="1"/>
      <c r="AH61" s="1"/>
      <c r="AI61" s="1"/>
      <c r="AJ61" s="1"/>
      <c r="AK61" s="1"/>
    </row>
    <row r="62" spans="1:37" ht="15">
      <c r="A62" s="144"/>
      <c r="B62" s="768"/>
      <c r="C62" s="770"/>
      <c r="D62" s="211"/>
      <c r="E62" s="211"/>
      <c r="F62" s="211"/>
      <c r="G62" s="211"/>
      <c r="H62" s="353">
        <v>2</v>
      </c>
      <c r="I62" s="354"/>
      <c r="J62" s="356">
        <v>0</v>
      </c>
      <c r="K62" s="354"/>
      <c r="L62" s="355">
        <v>6</v>
      </c>
      <c r="M62" s="354"/>
      <c r="N62" s="356">
        <v>0</v>
      </c>
      <c r="O62" s="357"/>
      <c r="P62" s="328">
        <v>0</v>
      </c>
      <c r="Q62" s="329"/>
      <c r="R62" s="209"/>
      <c r="S62" s="210"/>
      <c r="T62" s="210"/>
      <c r="U62" s="210"/>
      <c r="V62" s="210"/>
      <c r="W62" s="210"/>
      <c r="X62" s="210"/>
      <c r="Y62" s="210"/>
      <c r="Z62" s="210"/>
      <c r="AA62" s="210"/>
      <c r="AB62" s="210"/>
      <c r="AC62" s="125"/>
      <c r="AD62" s="1"/>
      <c r="AE62" s="1"/>
      <c r="AF62" s="1"/>
      <c r="AG62" s="1"/>
      <c r="AH62" s="1"/>
      <c r="AI62" s="1"/>
      <c r="AJ62" s="1"/>
      <c r="AK62" s="1"/>
    </row>
    <row r="63" spans="1:37" ht="15">
      <c r="A63" s="144"/>
      <c r="B63" s="768"/>
      <c r="C63" s="770"/>
      <c r="D63" s="211"/>
      <c r="E63" s="211"/>
      <c r="F63" s="211"/>
      <c r="G63" s="211"/>
      <c r="H63" s="353">
        <v>1</v>
      </c>
      <c r="I63" s="354"/>
      <c r="J63" s="356">
        <v>0</v>
      </c>
      <c r="K63" s="354"/>
      <c r="L63" s="355">
        <v>8</v>
      </c>
      <c r="M63" s="354"/>
      <c r="N63" s="356">
        <v>0</v>
      </c>
      <c r="O63" s="357"/>
      <c r="P63" s="328">
        <v>0</v>
      </c>
      <c r="Q63" s="329"/>
      <c r="R63" s="209"/>
      <c r="S63" s="210"/>
      <c r="T63" s="210"/>
      <c r="U63" s="210"/>
      <c r="V63" s="210"/>
      <c r="W63" s="210"/>
      <c r="X63" s="210"/>
      <c r="Y63" s="210"/>
      <c r="Z63" s="210"/>
      <c r="AA63" s="210"/>
      <c r="AB63" s="210"/>
      <c r="AC63" s="125"/>
      <c r="AD63" s="1"/>
      <c r="AE63" s="1"/>
      <c r="AF63" s="1"/>
      <c r="AG63" s="1"/>
      <c r="AH63" s="1"/>
      <c r="AI63" s="1"/>
      <c r="AJ63" s="1"/>
      <c r="AK63" s="1"/>
    </row>
    <row r="64" spans="1:37" ht="15">
      <c r="A64" s="144"/>
      <c r="B64" s="768"/>
      <c r="C64" s="770"/>
      <c r="D64" s="211"/>
      <c r="E64" s="211"/>
      <c r="F64" s="211"/>
      <c r="G64" s="211"/>
      <c r="H64" s="353">
        <v>1</v>
      </c>
      <c r="I64" s="354"/>
      <c r="J64" s="356">
        <v>0</v>
      </c>
      <c r="K64" s="354"/>
      <c r="L64" s="355">
        <v>15</v>
      </c>
      <c r="M64" s="354"/>
      <c r="N64" s="356">
        <v>0</v>
      </c>
      <c r="O64" s="357"/>
      <c r="P64" s="328">
        <v>0</v>
      </c>
      <c r="Q64" s="329"/>
      <c r="R64" s="209"/>
      <c r="S64" s="210"/>
      <c r="T64" s="210"/>
      <c r="U64" s="210"/>
      <c r="V64" s="210"/>
      <c r="W64" s="210"/>
      <c r="X64" s="210"/>
      <c r="Y64" s="210"/>
      <c r="Z64" s="210"/>
      <c r="AA64" s="210"/>
      <c r="AB64" s="210"/>
      <c r="AC64" s="125"/>
      <c r="AD64" s="1"/>
      <c r="AE64" s="1"/>
      <c r="AF64" s="1"/>
      <c r="AG64" s="1"/>
      <c r="AH64" s="1"/>
      <c r="AI64" s="1"/>
      <c r="AJ64" s="1"/>
      <c r="AK64" s="1"/>
    </row>
    <row r="65" spans="1:40" ht="15">
      <c r="A65" s="144"/>
      <c r="B65" s="768"/>
      <c r="C65" s="770"/>
      <c r="D65" s="211"/>
      <c r="E65" s="211"/>
      <c r="F65" s="211"/>
      <c r="G65" s="211"/>
      <c r="H65" s="353">
        <v>2</v>
      </c>
      <c r="I65" s="354"/>
      <c r="J65" s="356">
        <v>0</v>
      </c>
      <c r="K65" s="354"/>
      <c r="L65" s="355">
        <v>12</v>
      </c>
      <c r="M65" s="354"/>
      <c r="N65" s="356">
        <v>0</v>
      </c>
      <c r="O65" s="357"/>
      <c r="P65" s="328">
        <v>0</v>
      </c>
      <c r="Q65" s="329"/>
      <c r="R65" s="209"/>
      <c r="S65" s="210"/>
      <c r="T65" s="210"/>
      <c r="U65" s="210"/>
      <c r="V65" s="210"/>
      <c r="W65" s="210"/>
      <c r="X65" s="210"/>
      <c r="Y65" s="210"/>
      <c r="Z65" s="210"/>
      <c r="AA65" s="210"/>
      <c r="AB65" s="210"/>
      <c r="AC65" s="125"/>
      <c r="AD65" s="1"/>
      <c r="AE65" s="1"/>
      <c r="AF65" s="1"/>
      <c r="AG65" s="1"/>
      <c r="AH65" s="1"/>
      <c r="AI65" s="1"/>
      <c r="AJ65" s="1"/>
      <c r="AK65" s="1"/>
    </row>
    <row r="66" spans="1:40" ht="15">
      <c r="A66" s="144"/>
      <c r="B66" s="768"/>
      <c r="C66" s="770"/>
      <c r="D66" s="211"/>
      <c r="E66" s="211"/>
      <c r="F66" s="211"/>
      <c r="G66" s="211"/>
      <c r="H66" s="353">
        <v>1</v>
      </c>
      <c r="I66" s="354"/>
      <c r="J66" s="356">
        <v>0</v>
      </c>
      <c r="K66" s="354"/>
      <c r="L66" s="355">
        <v>8</v>
      </c>
      <c r="M66" s="354"/>
      <c r="N66" s="356">
        <v>0</v>
      </c>
      <c r="O66" s="357"/>
      <c r="P66" s="328">
        <v>0</v>
      </c>
      <c r="Q66" s="329"/>
      <c r="R66" s="209"/>
      <c r="S66" s="210"/>
      <c r="T66" s="210"/>
      <c r="U66" s="210"/>
      <c r="V66" s="210"/>
      <c r="W66" s="210"/>
      <c r="X66" s="210"/>
      <c r="Y66" s="210"/>
      <c r="Z66" s="210"/>
      <c r="AA66" s="210"/>
      <c r="AB66" s="210"/>
      <c r="AC66" s="125"/>
      <c r="AD66" s="1"/>
      <c r="AE66" s="1"/>
      <c r="AF66" s="1"/>
      <c r="AG66" s="1"/>
      <c r="AH66" s="1"/>
      <c r="AI66" s="1"/>
      <c r="AJ66" s="1"/>
      <c r="AK66" s="1"/>
    </row>
    <row r="67" spans="1:40" ht="15">
      <c r="A67" s="144"/>
      <c r="B67" s="768"/>
      <c r="C67" s="770"/>
      <c r="D67" s="211"/>
      <c r="E67" s="211"/>
      <c r="F67" s="211"/>
      <c r="G67" s="211"/>
      <c r="H67" s="353">
        <v>2</v>
      </c>
      <c r="I67" s="354"/>
      <c r="J67" s="356">
        <v>0</v>
      </c>
      <c r="K67" s="354"/>
      <c r="L67" s="355">
        <v>9</v>
      </c>
      <c r="M67" s="354"/>
      <c r="N67" s="356">
        <v>0</v>
      </c>
      <c r="O67" s="357"/>
      <c r="P67" s="328">
        <v>0</v>
      </c>
      <c r="Q67" s="329"/>
      <c r="R67" s="209"/>
      <c r="S67" s="210"/>
      <c r="T67" s="210"/>
      <c r="U67" s="210"/>
      <c r="V67" s="210"/>
      <c r="W67" s="210"/>
      <c r="X67" s="210"/>
      <c r="Y67" s="210"/>
      <c r="Z67" s="210"/>
      <c r="AA67" s="210"/>
      <c r="AB67" s="210"/>
      <c r="AC67" s="125"/>
      <c r="AD67" s="1"/>
      <c r="AE67" s="1"/>
      <c r="AF67" s="1"/>
      <c r="AG67" s="1"/>
      <c r="AH67" s="1"/>
      <c r="AI67" s="1"/>
      <c r="AJ67" s="1"/>
      <c r="AK67" s="1"/>
    </row>
    <row r="68" spans="1:40" ht="15.6" customHeight="1">
      <c r="A68" s="144"/>
      <c r="B68" s="768"/>
      <c r="C68" s="770"/>
      <c r="D68" s="240"/>
      <c r="E68" s="240"/>
      <c r="F68" s="240"/>
      <c r="G68" s="240"/>
      <c r="H68" s="786"/>
      <c r="I68" s="354"/>
      <c r="J68" s="925"/>
      <c r="K68" s="354"/>
      <c r="L68" s="928"/>
      <c r="M68" s="354"/>
      <c r="N68" s="925"/>
      <c r="O68" s="357"/>
      <c r="P68" s="922"/>
      <c r="Q68" s="329"/>
      <c r="R68" s="209"/>
      <c r="S68" s="210"/>
      <c r="T68" s="210"/>
      <c r="U68" s="210"/>
      <c r="V68" s="210"/>
      <c r="W68" s="210"/>
      <c r="X68" s="210"/>
      <c r="Y68" s="210"/>
      <c r="Z68" s="210"/>
      <c r="AA68" s="210"/>
      <c r="AB68" s="210"/>
      <c r="AC68" s="125"/>
      <c r="AD68" s="1"/>
      <c r="AE68" s="1"/>
      <c r="AF68" s="1"/>
      <c r="AG68" s="1"/>
      <c r="AH68" s="1"/>
      <c r="AI68" s="1"/>
      <c r="AJ68" s="1"/>
      <c r="AK68" s="1"/>
    </row>
    <row r="69" spans="1:40" ht="15">
      <c r="A69" s="144"/>
      <c r="B69" s="768"/>
      <c r="C69" s="770"/>
      <c r="D69" s="241"/>
      <c r="E69" s="241"/>
      <c r="F69" s="241"/>
      <c r="G69" s="241"/>
      <c r="H69" s="787"/>
      <c r="I69" s="337"/>
      <c r="J69" s="926"/>
      <c r="K69" s="337"/>
      <c r="L69" s="929"/>
      <c r="M69" s="337"/>
      <c r="N69" s="926"/>
      <c r="O69" s="340"/>
      <c r="P69" s="923"/>
      <c r="Q69" s="322"/>
      <c r="R69" s="209"/>
      <c r="S69" s="210"/>
      <c r="T69" s="210"/>
      <c r="U69" s="210"/>
      <c r="V69" s="210"/>
      <c r="W69" s="210"/>
      <c r="X69" s="210"/>
      <c r="Y69" s="210"/>
      <c r="Z69" s="210"/>
      <c r="AA69" s="210"/>
      <c r="AB69" s="210"/>
      <c r="AC69" s="125"/>
      <c r="AD69" s="1"/>
      <c r="AE69" s="1"/>
      <c r="AF69" s="1"/>
      <c r="AG69" s="1"/>
      <c r="AH69" s="1"/>
      <c r="AI69" s="1"/>
      <c r="AJ69" s="1"/>
      <c r="AK69" s="1"/>
    </row>
    <row r="70" spans="1:40" ht="15">
      <c r="A70" s="144"/>
      <c r="B70" s="768"/>
      <c r="C70" s="770"/>
      <c r="D70" s="241"/>
      <c r="E70" s="241"/>
      <c r="F70" s="241"/>
      <c r="G70" s="241"/>
      <c r="H70" s="787"/>
      <c r="I70" s="337"/>
      <c r="J70" s="926"/>
      <c r="K70" s="337"/>
      <c r="L70" s="929"/>
      <c r="M70" s="337"/>
      <c r="N70" s="926"/>
      <c r="O70" s="340"/>
      <c r="P70" s="923"/>
      <c r="Q70" s="322"/>
      <c r="R70" s="209"/>
      <c r="S70" s="210"/>
      <c r="T70" s="210"/>
      <c r="U70" s="210"/>
      <c r="V70" s="210"/>
      <c r="W70" s="210"/>
      <c r="X70" s="210"/>
      <c r="Y70" s="210"/>
      <c r="Z70" s="210"/>
      <c r="AA70" s="210"/>
      <c r="AB70" s="210"/>
      <c r="AC70" s="125"/>
      <c r="AD70" s="1"/>
      <c r="AE70" s="1"/>
      <c r="AF70" s="1"/>
      <c r="AG70" s="1"/>
      <c r="AH70" s="1"/>
      <c r="AI70" s="1"/>
      <c r="AJ70" s="1"/>
      <c r="AK70" s="1"/>
    </row>
    <row r="71" spans="1:40" ht="15">
      <c r="A71" s="144"/>
      <c r="B71" s="768"/>
      <c r="C71" s="770"/>
      <c r="D71" s="241"/>
      <c r="E71" s="241"/>
      <c r="F71" s="241"/>
      <c r="G71" s="241"/>
      <c r="H71" s="787"/>
      <c r="I71" s="337"/>
      <c r="J71" s="926"/>
      <c r="K71" s="337"/>
      <c r="L71" s="929"/>
      <c r="M71" s="337"/>
      <c r="N71" s="926"/>
      <c r="O71" s="340"/>
      <c r="P71" s="923"/>
      <c r="Q71" s="322"/>
      <c r="R71" s="209"/>
      <c r="S71" s="894"/>
      <c r="T71" s="894"/>
      <c r="U71" s="894"/>
      <c r="V71" s="894"/>
      <c r="W71" s="894"/>
      <c r="X71" s="894"/>
      <c r="Y71" s="894"/>
      <c r="Z71" s="894"/>
      <c r="AA71" s="894"/>
      <c r="AB71" s="894"/>
      <c r="AC71" s="125"/>
      <c r="AD71" s="1"/>
      <c r="AE71" s="1"/>
      <c r="AF71" s="1"/>
      <c r="AG71" s="1"/>
      <c r="AH71" s="1"/>
      <c r="AI71" s="1"/>
      <c r="AJ71" s="1"/>
      <c r="AK71" s="1"/>
    </row>
    <row r="72" spans="1:40" ht="15.75" thickBot="1">
      <c r="A72" s="144"/>
      <c r="B72" s="769"/>
      <c r="C72" s="771"/>
      <c r="D72" s="239"/>
      <c r="E72" s="239"/>
      <c r="F72" s="239"/>
      <c r="G72" s="239"/>
      <c r="H72" s="788"/>
      <c r="I72" s="351"/>
      <c r="J72" s="927"/>
      <c r="K72" s="351"/>
      <c r="L72" s="930"/>
      <c r="M72" s="351"/>
      <c r="N72" s="927"/>
      <c r="O72" s="352"/>
      <c r="P72" s="924"/>
      <c r="Q72" s="327"/>
      <c r="R72" s="209"/>
      <c r="S72" s="894"/>
      <c r="T72" s="894"/>
      <c r="U72" s="894"/>
      <c r="V72" s="894"/>
      <c r="W72" s="894"/>
      <c r="X72" s="894"/>
      <c r="Y72" s="894"/>
      <c r="Z72" s="894"/>
      <c r="AA72" s="894"/>
      <c r="AB72" s="894"/>
      <c r="AC72" s="125"/>
      <c r="AD72" s="1"/>
      <c r="AE72" s="1"/>
      <c r="AF72" s="1"/>
      <c r="AG72" s="1"/>
      <c r="AH72" s="1"/>
      <c r="AI72" s="1"/>
      <c r="AJ72" s="1"/>
      <c r="AK72" s="1"/>
    </row>
    <row r="73" spans="1:40" ht="15" thickTop="1">
      <c r="A73" s="144"/>
      <c r="B73" s="144"/>
      <c r="C73" s="127"/>
      <c r="D73" s="127"/>
      <c r="E73" s="127"/>
      <c r="F73" s="127"/>
      <c r="G73" s="127"/>
      <c r="H73" s="127"/>
      <c r="I73" s="127"/>
      <c r="J73" s="127"/>
      <c r="K73" s="127"/>
      <c r="L73" s="127"/>
      <c r="M73" s="127"/>
      <c r="N73" s="127"/>
      <c r="O73" s="127"/>
      <c r="P73" s="210"/>
      <c r="Q73" s="210"/>
      <c r="R73" s="210"/>
      <c r="S73" s="210"/>
      <c r="T73" s="210"/>
      <c r="U73" s="210"/>
      <c r="V73" s="210"/>
      <c r="W73" s="210"/>
      <c r="X73" s="210"/>
      <c r="Y73" s="210"/>
      <c r="Z73" s="125"/>
      <c r="AA73" s="1"/>
      <c r="AB73" s="1"/>
      <c r="AC73" s="1"/>
      <c r="AD73" s="1"/>
      <c r="AE73" s="1"/>
      <c r="AF73" s="1"/>
      <c r="AG73" s="1"/>
      <c r="AH73" s="1"/>
    </row>
    <row r="74" spans="1:40" ht="15" thickBot="1">
      <c r="A74" s="144"/>
      <c r="B74" s="144"/>
      <c r="C74" s="127"/>
      <c r="D74" s="127"/>
      <c r="E74" s="127"/>
      <c r="F74" s="127"/>
      <c r="G74" s="127"/>
      <c r="H74" s="127"/>
      <c r="I74" s="127"/>
      <c r="J74" s="127"/>
      <c r="K74" s="127"/>
      <c r="L74" s="127"/>
      <c r="M74" s="127"/>
      <c r="N74" s="127"/>
      <c r="O74" s="127"/>
      <c r="P74" s="210"/>
      <c r="Q74" s="210"/>
      <c r="R74" s="210"/>
      <c r="S74" s="210"/>
      <c r="T74" s="210"/>
      <c r="U74" s="210"/>
      <c r="V74" s="210"/>
      <c r="W74" s="210"/>
      <c r="X74" s="210"/>
      <c r="Y74" s="210"/>
      <c r="Z74" s="125"/>
      <c r="AA74" s="1"/>
      <c r="AB74" s="1"/>
      <c r="AC74" s="1"/>
      <c r="AD74" s="1"/>
      <c r="AE74" s="1"/>
      <c r="AF74" s="1"/>
      <c r="AG74" s="1"/>
      <c r="AH74" s="1"/>
    </row>
    <row r="75" spans="1:40" ht="16.5" thickTop="1" thickBot="1">
      <c r="A75" s="127"/>
      <c r="B75" s="742" t="s">
        <v>1568</v>
      </c>
      <c r="C75" s="743"/>
      <c r="D75" s="743"/>
      <c r="E75" s="743"/>
      <c r="F75" s="743"/>
      <c r="G75" s="743"/>
      <c r="H75" s="743"/>
      <c r="I75" s="743"/>
      <c r="J75" s="743"/>
      <c r="K75" s="743"/>
      <c r="L75" s="743"/>
      <c r="M75" s="743"/>
      <c r="N75" s="743"/>
      <c r="O75" s="743"/>
      <c r="P75" s="743"/>
      <c r="Q75" s="743"/>
      <c r="R75" s="743"/>
      <c r="S75" s="743"/>
      <c r="T75" s="743"/>
      <c r="U75" s="743"/>
      <c r="V75" s="743"/>
      <c r="W75" s="743"/>
      <c r="X75" s="743"/>
      <c r="Y75" s="745"/>
      <c r="Z75" s="1"/>
      <c r="AA75" s="16"/>
      <c r="AB75" s="16"/>
      <c r="AC75" s="16"/>
      <c r="AD75" s="1"/>
      <c r="AE75" s="1"/>
      <c r="AF75" s="1"/>
      <c r="AG75" s="1"/>
      <c r="AH75" s="1"/>
      <c r="AI75" s="1"/>
      <c r="AJ75" s="1"/>
      <c r="AK75" s="1"/>
      <c r="AL75" s="1"/>
      <c r="AM75" s="1"/>
      <c r="AN75" s="1"/>
    </row>
    <row r="76" spans="1:40" ht="15" customHeight="1" thickTop="1">
      <c r="A76" s="127"/>
      <c r="B76" s="890"/>
      <c r="C76" s="773" t="s">
        <v>1562</v>
      </c>
      <c r="D76" s="773" t="s">
        <v>1563</v>
      </c>
      <c r="E76" s="773" t="s">
        <v>1564</v>
      </c>
      <c r="F76" s="773"/>
      <c r="G76" s="774" t="s">
        <v>1565</v>
      </c>
      <c r="H76" s="774"/>
      <c r="I76" s="774" t="s">
        <v>1566</v>
      </c>
      <c r="J76" s="774"/>
      <c r="K76" s="892" t="s">
        <v>1567</v>
      </c>
      <c r="L76" s="893"/>
      <c r="M76" s="774" t="s">
        <v>1569</v>
      </c>
      <c r="N76" s="774" t="s">
        <v>1570</v>
      </c>
      <c r="O76" s="774"/>
      <c r="P76" s="774" t="s">
        <v>179</v>
      </c>
      <c r="Q76" s="774"/>
      <c r="R76" s="774" t="s">
        <v>180</v>
      </c>
      <c r="S76" s="774" t="s">
        <v>181</v>
      </c>
      <c r="T76" s="774" t="s">
        <v>182</v>
      </c>
      <c r="U76" s="774" t="s">
        <v>183</v>
      </c>
      <c r="V76" s="774" t="s">
        <v>1571</v>
      </c>
      <c r="W76" s="774" t="s">
        <v>184</v>
      </c>
      <c r="X76" s="774" t="s">
        <v>185</v>
      </c>
      <c r="Y76" s="774" t="s">
        <v>186</v>
      </c>
      <c r="Z76" s="1"/>
      <c r="AA76" s="1"/>
      <c r="AB76" s="1"/>
      <c r="AC76" s="1"/>
      <c r="AD76" s="1"/>
      <c r="AE76" s="1"/>
      <c r="AF76" s="1"/>
      <c r="AG76" s="1"/>
      <c r="AH76" s="1"/>
      <c r="AI76" s="1"/>
      <c r="AJ76" s="1"/>
      <c r="AK76" s="1"/>
      <c r="AL76" s="1"/>
      <c r="AM76" s="1"/>
      <c r="AN76" s="1"/>
    </row>
    <row r="77" spans="1:40" ht="47.1" customHeight="1" thickBot="1">
      <c r="A77" s="127"/>
      <c r="B77" s="891"/>
      <c r="C77" s="773"/>
      <c r="D77" s="773"/>
      <c r="E77" s="773"/>
      <c r="F77" s="773"/>
      <c r="G77" s="774"/>
      <c r="H77" s="774"/>
      <c r="I77" s="774"/>
      <c r="J77" s="774"/>
      <c r="K77" s="892"/>
      <c r="L77" s="893"/>
      <c r="M77" s="774"/>
      <c r="N77" s="774"/>
      <c r="O77" s="774"/>
      <c r="P77" s="774"/>
      <c r="Q77" s="774"/>
      <c r="R77" s="774"/>
      <c r="S77" s="774"/>
      <c r="T77" s="774"/>
      <c r="U77" s="774"/>
      <c r="V77" s="774"/>
      <c r="W77" s="774"/>
      <c r="X77" s="774"/>
      <c r="Y77" s="774"/>
      <c r="Z77" s="1"/>
      <c r="AA77" s="1"/>
      <c r="AB77" s="1"/>
      <c r="AC77" s="1"/>
      <c r="AD77" s="1"/>
      <c r="AE77" s="1"/>
      <c r="AF77" s="1"/>
      <c r="AG77" s="1"/>
      <c r="AH77" s="1"/>
      <c r="AI77" s="1"/>
      <c r="AJ77" s="1"/>
      <c r="AK77" s="1"/>
      <c r="AL77" s="1"/>
      <c r="AM77" s="1"/>
      <c r="AN77" s="1"/>
    </row>
    <row r="78" spans="1:40" ht="17.100000000000001" customHeight="1" thickTop="1">
      <c r="A78" s="127"/>
      <c r="B78" s="587" t="s">
        <v>187</v>
      </c>
      <c r="C78" s="775"/>
      <c r="D78" s="778"/>
      <c r="E78" s="772"/>
      <c r="F78" s="772"/>
      <c r="G78" s="772"/>
      <c r="H78" s="772"/>
      <c r="I78" s="213" t="s">
        <v>188</v>
      </c>
      <c r="J78" s="214"/>
      <c r="K78" s="870"/>
      <c r="L78" s="871"/>
      <c r="M78" s="792"/>
      <c r="N78" s="835"/>
      <c r="O78" s="836"/>
      <c r="P78" s="835"/>
      <c r="Q78" s="836"/>
      <c r="R78" s="792"/>
      <c r="S78" s="898"/>
      <c r="T78" s="792"/>
      <c r="U78" s="879"/>
      <c r="V78" s="901"/>
      <c r="W78" s="792"/>
      <c r="X78" s="792"/>
      <c r="Y78" s="904"/>
      <c r="Z78" s="1"/>
      <c r="AA78" s="1"/>
      <c r="AB78" s="1"/>
      <c r="AC78" s="1"/>
      <c r="AD78" s="1"/>
      <c r="AE78" s="1"/>
      <c r="AF78" s="1"/>
      <c r="AG78" s="1"/>
      <c r="AH78" s="1"/>
      <c r="AI78" s="1"/>
      <c r="AJ78" s="1"/>
      <c r="AK78" s="1"/>
      <c r="AL78" s="1"/>
      <c r="AM78" s="1"/>
      <c r="AN78" s="1"/>
    </row>
    <row r="79" spans="1:40">
      <c r="A79" s="127"/>
      <c r="B79" s="773"/>
      <c r="C79" s="776"/>
      <c r="D79" s="779"/>
      <c r="E79" s="781"/>
      <c r="F79" s="781"/>
      <c r="G79" s="781"/>
      <c r="H79" s="781"/>
      <c r="I79" s="215" t="s">
        <v>189</v>
      </c>
      <c r="J79" s="216"/>
      <c r="K79" s="872"/>
      <c r="L79" s="873"/>
      <c r="M79" s="793"/>
      <c r="N79" s="837"/>
      <c r="O79" s="838"/>
      <c r="P79" s="837"/>
      <c r="Q79" s="838"/>
      <c r="R79" s="793"/>
      <c r="S79" s="899"/>
      <c r="T79" s="793"/>
      <c r="U79" s="880"/>
      <c r="V79" s="902"/>
      <c r="W79" s="793"/>
      <c r="X79" s="793"/>
      <c r="Y79" s="905"/>
      <c r="Z79" s="1"/>
      <c r="AA79" s="1"/>
      <c r="AB79" s="1"/>
      <c r="AC79" s="1"/>
      <c r="AD79" s="1"/>
      <c r="AE79" s="1"/>
      <c r="AF79" s="1"/>
      <c r="AG79" s="1"/>
      <c r="AH79" s="1"/>
      <c r="AI79" s="1"/>
      <c r="AJ79" s="1"/>
      <c r="AK79" s="1"/>
      <c r="AL79" s="1"/>
      <c r="AM79" s="1"/>
      <c r="AN79" s="1"/>
    </row>
    <row r="80" spans="1:40" ht="15" thickBot="1">
      <c r="A80" s="127"/>
      <c r="B80" s="773"/>
      <c r="C80" s="777"/>
      <c r="D80" s="780"/>
      <c r="E80" s="782"/>
      <c r="F80" s="782"/>
      <c r="G80" s="782"/>
      <c r="H80" s="782"/>
      <c r="I80" s="217" t="s">
        <v>190</v>
      </c>
      <c r="J80" s="218"/>
      <c r="K80" s="874"/>
      <c r="L80" s="875"/>
      <c r="M80" s="794"/>
      <c r="N80" s="863"/>
      <c r="O80" s="864"/>
      <c r="P80" s="863"/>
      <c r="Q80" s="864"/>
      <c r="R80" s="794"/>
      <c r="S80" s="900"/>
      <c r="T80" s="794"/>
      <c r="U80" s="881"/>
      <c r="V80" s="903"/>
      <c r="W80" s="794"/>
      <c r="X80" s="794"/>
      <c r="Y80" s="906"/>
      <c r="Z80" s="1"/>
      <c r="AA80" s="1"/>
      <c r="AB80" s="1"/>
      <c r="AC80" s="1"/>
      <c r="AD80" s="1"/>
      <c r="AE80" s="1"/>
      <c r="AF80" s="1"/>
      <c r="AG80" s="1"/>
      <c r="AH80" s="1"/>
      <c r="AI80" s="1"/>
      <c r="AJ80" s="1"/>
      <c r="AK80" s="1"/>
      <c r="AL80" s="1"/>
      <c r="AM80" s="1"/>
      <c r="AN80" s="1"/>
    </row>
    <row r="81" spans="1:40" ht="15" thickTop="1">
      <c r="A81" s="127"/>
      <c r="B81" s="773"/>
      <c r="C81" s="876"/>
      <c r="D81" s="879"/>
      <c r="E81" s="868"/>
      <c r="F81" s="869"/>
      <c r="G81" s="772"/>
      <c r="H81" s="772"/>
      <c r="I81" s="213" t="s">
        <v>188</v>
      </c>
      <c r="J81" s="214"/>
      <c r="K81" s="870"/>
      <c r="L81" s="871"/>
      <c r="M81" s="792"/>
      <c r="N81" s="835"/>
      <c r="O81" s="836"/>
      <c r="P81" s="835"/>
      <c r="Q81" s="836"/>
      <c r="R81" s="792"/>
      <c r="S81" s="898"/>
      <c r="T81" s="792"/>
      <c r="U81" s="879"/>
      <c r="V81" s="901"/>
      <c r="W81" s="792"/>
      <c r="X81" s="792"/>
      <c r="Y81" s="904"/>
      <c r="Z81" s="1"/>
      <c r="AA81" s="1"/>
      <c r="AB81" s="1"/>
      <c r="AC81" s="1"/>
      <c r="AD81" s="1"/>
      <c r="AE81" s="1"/>
      <c r="AF81" s="1"/>
      <c r="AG81" s="1"/>
      <c r="AH81" s="1"/>
      <c r="AI81" s="1"/>
      <c r="AJ81" s="1"/>
      <c r="AK81" s="1"/>
      <c r="AL81" s="1"/>
      <c r="AM81" s="1"/>
      <c r="AN81" s="1"/>
    </row>
    <row r="82" spans="1:40">
      <c r="A82" s="127"/>
      <c r="B82" s="773"/>
      <c r="C82" s="877"/>
      <c r="D82" s="880"/>
      <c r="E82" s="801"/>
      <c r="F82" s="802"/>
      <c r="G82" s="781"/>
      <c r="H82" s="781"/>
      <c r="I82" s="215" t="s">
        <v>189</v>
      </c>
      <c r="J82" s="216"/>
      <c r="K82" s="872"/>
      <c r="L82" s="873"/>
      <c r="M82" s="793"/>
      <c r="N82" s="837"/>
      <c r="O82" s="838"/>
      <c r="P82" s="837"/>
      <c r="Q82" s="838"/>
      <c r="R82" s="793"/>
      <c r="S82" s="899"/>
      <c r="T82" s="793"/>
      <c r="U82" s="880"/>
      <c r="V82" s="902"/>
      <c r="W82" s="793"/>
      <c r="X82" s="793"/>
      <c r="Y82" s="905"/>
      <c r="Z82" s="1"/>
      <c r="AA82" s="1"/>
      <c r="AB82" s="1"/>
      <c r="AC82" s="1"/>
      <c r="AD82" s="1"/>
      <c r="AE82" s="1"/>
      <c r="AF82" s="1"/>
      <c r="AG82" s="1"/>
      <c r="AH82" s="1"/>
      <c r="AI82" s="1"/>
      <c r="AJ82" s="1"/>
      <c r="AK82" s="1"/>
      <c r="AL82" s="1"/>
      <c r="AM82" s="1"/>
      <c r="AN82" s="1"/>
    </row>
    <row r="83" spans="1:40" ht="15.6" customHeight="1" thickBot="1">
      <c r="A83" s="127"/>
      <c r="B83" s="773"/>
      <c r="C83" s="878"/>
      <c r="D83" s="881"/>
      <c r="E83" s="866"/>
      <c r="F83" s="867"/>
      <c r="G83" s="782"/>
      <c r="H83" s="782"/>
      <c r="I83" s="217" t="s">
        <v>190</v>
      </c>
      <c r="J83" s="218"/>
      <c r="K83" s="874"/>
      <c r="L83" s="875"/>
      <c r="M83" s="794"/>
      <c r="N83" s="863"/>
      <c r="O83" s="864"/>
      <c r="P83" s="863"/>
      <c r="Q83" s="864"/>
      <c r="R83" s="794"/>
      <c r="S83" s="900"/>
      <c r="T83" s="794"/>
      <c r="U83" s="881"/>
      <c r="V83" s="903"/>
      <c r="W83" s="794"/>
      <c r="X83" s="794"/>
      <c r="Y83" s="906"/>
      <c r="Z83" s="1"/>
      <c r="AA83" s="1"/>
      <c r="AB83" s="1"/>
      <c r="AC83" s="1"/>
      <c r="AD83" s="1"/>
      <c r="AE83" s="1"/>
      <c r="AF83" s="1"/>
      <c r="AG83" s="1"/>
      <c r="AH83" s="1"/>
      <c r="AI83" s="1"/>
      <c r="AJ83" s="1"/>
      <c r="AK83" s="1"/>
      <c r="AL83" s="1"/>
      <c r="AM83" s="1"/>
      <c r="AN83" s="1"/>
    </row>
    <row r="84" spans="1:40" ht="15" thickTop="1">
      <c r="A84" s="127"/>
      <c r="B84" s="773"/>
      <c r="C84" s="876"/>
      <c r="D84" s="879"/>
      <c r="E84" s="868"/>
      <c r="F84" s="869"/>
      <c r="G84" s="772"/>
      <c r="H84" s="772"/>
      <c r="I84" s="213" t="s">
        <v>188</v>
      </c>
      <c r="J84" s="214"/>
      <c r="K84" s="870"/>
      <c r="L84" s="871"/>
      <c r="M84" s="792"/>
      <c r="N84" s="835"/>
      <c r="O84" s="836"/>
      <c r="P84" s="835"/>
      <c r="Q84" s="836"/>
      <c r="R84" s="792"/>
      <c r="S84" s="898"/>
      <c r="T84" s="792"/>
      <c r="U84" s="879"/>
      <c r="V84" s="901"/>
      <c r="W84" s="792"/>
      <c r="X84" s="792"/>
      <c r="Y84" s="904"/>
      <c r="Z84" s="1"/>
      <c r="AA84" s="1"/>
      <c r="AB84" s="1"/>
      <c r="AC84" s="1"/>
      <c r="AD84" s="1"/>
      <c r="AE84" s="1"/>
      <c r="AF84" s="1"/>
      <c r="AG84" s="1"/>
      <c r="AH84" s="1"/>
      <c r="AI84" s="1"/>
      <c r="AJ84" s="1"/>
      <c r="AK84" s="1"/>
      <c r="AL84" s="1"/>
      <c r="AM84" s="1"/>
      <c r="AN84" s="1"/>
    </row>
    <row r="85" spans="1:40">
      <c r="A85" s="127"/>
      <c r="B85" s="773"/>
      <c r="C85" s="877"/>
      <c r="D85" s="880"/>
      <c r="E85" s="801"/>
      <c r="F85" s="802"/>
      <c r="G85" s="781"/>
      <c r="H85" s="781"/>
      <c r="I85" s="215" t="s">
        <v>189</v>
      </c>
      <c r="J85" s="216"/>
      <c r="K85" s="872"/>
      <c r="L85" s="873"/>
      <c r="M85" s="793"/>
      <c r="N85" s="837"/>
      <c r="O85" s="838"/>
      <c r="P85" s="837"/>
      <c r="Q85" s="838"/>
      <c r="R85" s="793"/>
      <c r="S85" s="899"/>
      <c r="T85" s="793"/>
      <c r="U85" s="880"/>
      <c r="V85" s="902"/>
      <c r="W85" s="793"/>
      <c r="X85" s="793"/>
      <c r="Y85" s="905"/>
      <c r="Z85" s="1"/>
      <c r="AA85" s="1"/>
      <c r="AB85" s="1"/>
      <c r="AC85" s="1"/>
      <c r="AD85" s="1"/>
      <c r="AE85" s="1"/>
      <c r="AF85" s="1"/>
      <c r="AG85" s="1"/>
      <c r="AH85" s="1"/>
      <c r="AI85" s="1"/>
      <c r="AJ85" s="1"/>
      <c r="AK85" s="1"/>
      <c r="AL85" s="1"/>
      <c r="AM85" s="1"/>
      <c r="AN85" s="1"/>
    </row>
    <row r="86" spans="1:40" ht="15.6" customHeight="1" thickBot="1">
      <c r="A86" s="127"/>
      <c r="B86" s="773"/>
      <c r="C86" s="878"/>
      <c r="D86" s="881"/>
      <c r="E86" s="866"/>
      <c r="F86" s="867"/>
      <c r="G86" s="782"/>
      <c r="H86" s="782"/>
      <c r="I86" s="217" t="s">
        <v>190</v>
      </c>
      <c r="J86" s="218"/>
      <c r="K86" s="874"/>
      <c r="L86" s="875"/>
      <c r="M86" s="794"/>
      <c r="N86" s="863"/>
      <c r="O86" s="864"/>
      <c r="P86" s="863"/>
      <c r="Q86" s="864"/>
      <c r="R86" s="794"/>
      <c r="S86" s="900"/>
      <c r="T86" s="794"/>
      <c r="U86" s="881"/>
      <c r="V86" s="903"/>
      <c r="W86" s="794"/>
      <c r="X86" s="794"/>
      <c r="Y86" s="906"/>
      <c r="Z86" s="1"/>
      <c r="AA86" s="1"/>
      <c r="AB86" s="1"/>
      <c r="AC86" s="1"/>
      <c r="AD86" s="1"/>
      <c r="AE86" s="1"/>
      <c r="AF86" s="1"/>
      <c r="AG86" s="1"/>
      <c r="AH86" s="1"/>
      <c r="AI86" s="1"/>
      <c r="AJ86" s="1"/>
      <c r="AK86" s="1"/>
      <c r="AL86" s="1"/>
      <c r="AM86" s="1"/>
      <c r="AN86" s="1"/>
    </row>
    <row r="87" spans="1:40" ht="15" thickTop="1">
      <c r="A87" s="127"/>
      <c r="B87" s="773"/>
      <c r="C87" s="876"/>
      <c r="D87" s="879"/>
      <c r="E87" s="868"/>
      <c r="F87" s="869"/>
      <c r="G87" s="772"/>
      <c r="H87" s="772"/>
      <c r="I87" s="213" t="s">
        <v>188</v>
      </c>
      <c r="J87" s="214"/>
      <c r="K87" s="870"/>
      <c r="L87" s="871"/>
      <c r="M87" s="792"/>
      <c r="N87" s="835"/>
      <c r="O87" s="836"/>
      <c r="P87" s="835"/>
      <c r="Q87" s="836"/>
      <c r="R87" s="792"/>
      <c r="S87" s="898"/>
      <c r="T87" s="792"/>
      <c r="U87" s="879"/>
      <c r="V87" s="901"/>
      <c r="W87" s="792"/>
      <c r="X87" s="792"/>
      <c r="Y87" s="904"/>
      <c r="Z87" s="1"/>
      <c r="AA87" s="1"/>
      <c r="AB87" s="1"/>
      <c r="AC87" s="1"/>
      <c r="AD87" s="1"/>
      <c r="AE87" s="1"/>
      <c r="AF87" s="1"/>
      <c r="AG87" s="1"/>
      <c r="AH87" s="1"/>
      <c r="AI87" s="1"/>
      <c r="AJ87" s="1"/>
      <c r="AK87" s="1"/>
      <c r="AL87" s="1"/>
      <c r="AM87" s="1"/>
      <c r="AN87" s="1"/>
    </row>
    <row r="88" spans="1:40">
      <c r="A88" s="127"/>
      <c r="B88" s="773"/>
      <c r="C88" s="877"/>
      <c r="D88" s="880"/>
      <c r="E88" s="801"/>
      <c r="F88" s="802"/>
      <c r="G88" s="781"/>
      <c r="H88" s="781"/>
      <c r="I88" s="215" t="s">
        <v>189</v>
      </c>
      <c r="J88" s="216"/>
      <c r="K88" s="872"/>
      <c r="L88" s="873"/>
      <c r="M88" s="793"/>
      <c r="N88" s="837"/>
      <c r="O88" s="838"/>
      <c r="P88" s="837"/>
      <c r="Q88" s="838"/>
      <c r="R88" s="793"/>
      <c r="S88" s="899"/>
      <c r="T88" s="793"/>
      <c r="U88" s="880"/>
      <c r="V88" s="902"/>
      <c r="W88" s="793"/>
      <c r="X88" s="793"/>
      <c r="Y88" s="905"/>
      <c r="Z88" s="1"/>
      <c r="AA88" s="1"/>
      <c r="AB88" s="1"/>
      <c r="AC88" s="1"/>
      <c r="AD88" s="1"/>
      <c r="AE88" s="1"/>
      <c r="AF88" s="1"/>
      <c r="AG88" s="1"/>
      <c r="AH88" s="1"/>
      <c r="AI88" s="1"/>
      <c r="AJ88" s="1"/>
      <c r="AK88" s="1"/>
      <c r="AL88" s="1"/>
      <c r="AM88" s="1"/>
      <c r="AN88" s="1"/>
    </row>
    <row r="89" spans="1:40" ht="15.6" customHeight="1" thickBot="1">
      <c r="A89" s="127"/>
      <c r="B89" s="773"/>
      <c r="C89" s="878"/>
      <c r="D89" s="881"/>
      <c r="E89" s="866"/>
      <c r="F89" s="867"/>
      <c r="G89" s="782"/>
      <c r="H89" s="782"/>
      <c r="I89" s="217" t="s">
        <v>190</v>
      </c>
      <c r="J89" s="218"/>
      <c r="K89" s="874"/>
      <c r="L89" s="875"/>
      <c r="M89" s="794"/>
      <c r="N89" s="863"/>
      <c r="O89" s="864"/>
      <c r="P89" s="863"/>
      <c r="Q89" s="864"/>
      <c r="R89" s="794"/>
      <c r="S89" s="900"/>
      <c r="T89" s="794"/>
      <c r="U89" s="881"/>
      <c r="V89" s="903"/>
      <c r="W89" s="794"/>
      <c r="X89" s="794"/>
      <c r="Y89" s="906"/>
      <c r="Z89" s="1"/>
      <c r="AA89" s="1"/>
      <c r="AB89" s="1"/>
      <c r="AC89" s="1"/>
      <c r="AD89" s="1"/>
      <c r="AE89" s="1"/>
      <c r="AF89" s="1"/>
      <c r="AG89" s="1"/>
      <c r="AH89" s="1"/>
      <c r="AI89" s="1"/>
      <c r="AJ89" s="1"/>
      <c r="AK89" s="1"/>
      <c r="AL89" s="1"/>
      <c r="AM89" s="1"/>
      <c r="AN89" s="1"/>
    </row>
    <row r="90" spans="1:40" ht="15" thickTop="1">
      <c r="A90" s="127"/>
      <c r="B90" s="773"/>
      <c r="C90" s="876"/>
      <c r="D90" s="879"/>
      <c r="E90" s="868"/>
      <c r="F90" s="869"/>
      <c r="G90" s="772"/>
      <c r="H90" s="772"/>
      <c r="I90" s="213" t="s">
        <v>188</v>
      </c>
      <c r="J90" s="214"/>
      <c r="K90" s="870"/>
      <c r="L90" s="871"/>
      <c r="M90" s="792"/>
      <c r="N90" s="835"/>
      <c r="O90" s="836"/>
      <c r="P90" s="835"/>
      <c r="Q90" s="836"/>
      <c r="R90" s="792"/>
      <c r="S90" s="898"/>
      <c r="T90" s="792"/>
      <c r="U90" s="879"/>
      <c r="V90" s="901"/>
      <c r="W90" s="792"/>
      <c r="X90" s="792"/>
      <c r="Y90" s="904"/>
      <c r="Z90" s="1"/>
      <c r="AA90" s="1"/>
      <c r="AB90" s="1"/>
      <c r="AC90" s="1"/>
      <c r="AD90" s="1"/>
      <c r="AE90" s="1"/>
      <c r="AF90" s="1"/>
      <c r="AG90" s="1"/>
      <c r="AH90" s="1"/>
      <c r="AI90" s="1"/>
      <c r="AJ90" s="1"/>
      <c r="AK90" s="1"/>
      <c r="AL90" s="1"/>
      <c r="AM90" s="1"/>
      <c r="AN90" s="1"/>
    </row>
    <row r="91" spans="1:40">
      <c r="A91" s="127"/>
      <c r="B91" s="773"/>
      <c r="C91" s="877"/>
      <c r="D91" s="880"/>
      <c r="E91" s="801"/>
      <c r="F91" s="802"/>
      <c r="G91" s="781"/>
      <c r="H91" s="781"/>
      <c r="I91" s="215" t="s">
        <v>189</v>
      </c>
      <c r="J91" s="216"/>
      <c r="K91" s="872"/>
      <c r="L91" s="873"/>
      <c r="M91" s="793"/>
      <c r="N91" s="837"/>
      <c r="O91" s="838"/>
      <c r="P91" s="837"/>
      <c r="Q91" s="838"/>
      <c r="R91" s="793"/>
      <c r="S91" s="899"/>
      <c r="T91" s="793"/>
      <c r="U91" s="880"/>
      <c r="V91" s="902"/>
      <c r="W91" s="793"/>
      <c r="X91" s="793"/>
      <c r="Y91" s="905"/>
      <c r="Z91" s="1"/>
      <c r="AA91" s="1"/>
      <c r="AB91" s="1"/>
      <c r="AC91" s="1"/>
      <c r="AD91" s="1"/>
      <c r="AE91" s="1"/>
      <c r="AF91" s="1"/>
      <c r="AG91" s="1"/>
      <c r="AH91" s="1"/>
      <c r="AI91" s="1"/>
      <c r="AJ91" s="1"/>
      <c r="AK91" s="1"/>
      <c r="AL91" s="1"/>
      <c r="AM91" s="1"/>
      <c r="AN91" s="1"/>
    </row>
    <row r="92" spans="1:40" ht="15.6" customHeight="1" thickBot="1">
      <c r="A92" s="127"/>
      <c r="B92" s="773"/>
      <c r="C92" s="878"/>
      <c r="D92" s="881"/>
      <c r="E92" s="866"/>
      <c r="F92" s="867"/>
      <c r="G92" s="782"/>
      <c r="H92" s="782"/>
      <c r="I92" s="217" t="s">
        <v>190</v>
      </c>
      <c r="J92" s="218"/>
      <c r="K92" s="874"/>
      <c r="L92" s="875"/>
      <c r="M92" s="794"/>
      <c r="N92" s="863"/>
      <c r="O92" s="864"/>
      <c r="P92" s="863"/>
      <c r="Q92" s="864"/>
      <c r="R92" s="794"/>
      <c r="S92" s="900"/>
      <c r="T92" s="794"/>
      <c r="U92" s="881"/>
      <c r="V92" s="903"/>
      <c r="W92" s="794"/>
      <c r="X92" s="794"/>
      <c r="Y92" s="906"/>
      <c r="Z92" s="1"/>
      <c r="AA92" s="1"/>
      <c r="AB92" s="1"/>
      <c r="AC92" s="1"/>
      <c r="AD92" s="1"/>
      <c r="AE92" s="1"/>
      <c r="AF92" s="1"/>
      <c r="AG92" s="1"/>
      <c r="AH92" s="1"/>
      <c r="AI92" s="1"/>
      <c r="AJ92" s="1"/>
      <c r="AK92" s="1"/>
      <c r="AL92" s="1"/>
      <c r="AM92" s="1"/>
      <c r="AN92" s="1"/>
    </row>
    <row r="93" spans="1:40" ht="15" thickTop="1">
      <c r="A93" s="127"/>
      <c r="B93" s="773"/>
      <c r="C93" s="876"/>
      <c r="D93" s="879"/>
      <c r="E93" s="868"/>
      <c r="F93" s="869"/>
      <c r="G93" s="772"/>
      <c r="H93" s="772"/>
      <c r="I93" s="213" t="s">
        <v>188</v>
      </c>
      <c r="J93" s="214"/>
      <c r="K93" s="870"/>
      <c r="L93" s="871"/>
      <c r="M93" s="792"/>
      <c r="N93" s="835"/>
      <c r="O93" s="836"/>
      <c r="P93" s="835"/>
      <c r="Q93" s="836"/>
      <c r="R93" s="792"/>
      <c r="S93" s="898"/>
      <c r="T93" s="792"/>
      <c r="U93" s="879"/>
      <c r="V93" s="901"/>
      <c r="W93" s="792"/>
      <c r="X93" s="792"/>
      <c r="Y93" s="904"/>
      <c r="Z93" s="1"/>
      <c r="AA93" s="1"/>
      <c r="AB93" s="1"/>
      <c r="AC93" s="1"/>
      <c r="AD93" s="1"/>
      <c r="AE93" s="1"/>
      <c r="AF93" s="1"/>
      <c r="AG93" s="1"/>
      <c r="AH93" s="1"/>
      <c r="AI93" s="1"/>
      <c r="AJ93" s="1"/>
      <c r="AK93" s="1"/>
      <c r="AL93" s="1"/>
      <c r="AM93" s="1"/>
      <c r="AN93" s="1"/>
    </row>
    <row r="94" spans="1:40">
      <c r="A94" s="127"/>
      <c r="B94" s="773"/>
      <c r="C94" s="877"/>
      <c r="D94" s="880"/>
      <c r="E94" s="801"/>
      <c r="F94" s="802"/>
      <c r="G94" s="781"/>
      <c r="H94" s="781"/>
      <c r="I94" s="215" t="s">
        <v>189</v>
      </c>
      <c r="J94" s="216"/>
      <c r="K94" s="872"/>
      <c r="L94" s="873"/>
      <c r="M94" s="793"/>
      <c r="N94" s="837"/>
      <c r="O94" s="838"/>
      <c r="P94" s="837"/>
      <c r="Q94" s="838"/>
      <c r="R94" s="793"/>
      <c r="S94" s="899"/>
      <c r="T94" s="793"/>
      <c r="U94" s="880"/>
      <c r="V94" s="902"/>
      <c r="W94" s="793"/>
      <c r="X94" s="793"/>
      <c r="Y94" s="905"/>
      <c r="Z94" s="1"/>
      <c r="AA94" s="1"/>
      <c r="AB94" s="1"/>
      <c r="AC94" s="1"/>
      <c r="AD94" s="1"/>
      <c r="AE94" s="1"/>
      <c r="AF94" s="1"/>
      <c r="AG94" s="1"/>
      <c r="AH94" s="1"/>
      <c r="AI94" s="1"/>
      <c r="AJ94" s="1"/>
      <c r="AK94" s="1"/>
      <c r="AL94" s="1"/>
      <c r="AM94" s="1"/>
      <c r="AN94" s="1"/>
    </row>
    <row r="95" spans="1:40" ht="15.6" customHeight="1" thickBot="1">
      <c r="A95" s="127"/>
      <c r="B95" s="773"/>
      <c r="C95" s="878"/>
      <c r="D95" s="881"/>
      <c r="E95" s="866"/>
      <c r="F95" s="867"/>
      <c r="G95" s="782"/>
      <c r="H95" s="782"/>
      <c r="I95" s="217" t="s">
        <v>190</v>
      </c>
      <c r="J95" s="218"/>
      <c r="K95" s="874"/>
      <c r="L95" s="875"/>
      <c r="M95" s="794"/>
      <c r="N95" s="863"/>
      <c r="O95" s="864"/>
      <c r="P95" s="863"/>
      <c r="Q95" s="864"/>
      <c r="R95" s="794"/>
      <c r="S95" s="900"/>
      <c r="T95" s="794"/>
      <c r="U95" s="881"/>
      <c r="V95" s="903"/>
      <c r="W95" s="794"/>
      <c r="X95" s="794"/>
      <c r="Y95" s="906"/>
      <c r="Z95" s="1"/>
      <c r="AA95" s="1"/>
      <c r="AB95" s="1"/>
      <c r="AC95" s="1"/>
      <c r="AD95" s="1"/>
      <c r="AE95" s="1"/>
      <c r="AF95" s="1"/>
      <c r="AG95" s="1"/>
      <c r="AH95" s="1"/>
      <c r="AI95" s="1"/>
      <c r="AJ95" s="1"/>
      <c r="AK95" s="1"/>
      <c r="AL95" s="1"/>
      <c r="AM95" s="1"/>
      <c r="AN95" s="1"/>
    </row>
    <row r="96" spans="1:40" ht="15" thickTop="1">
      <c r="A96" s="127"/>
      <c r="B96" s="773"/>
      <c r="C96" s="876"/>
      <c r="D96" s="879"/>
      <c r="E96" s="868"/>
      <c r="F96" s="869"/>
      <c r="G96" s="772"/>
      <c r="H96" s="772"/>
      <c r="I96" s="213" t="s">
        <v>188</v>
      </c>
      <c r="J96" s="214"/>
      <c r="K96" s="870"/>
      <c r="L96" s="871"/>
      <c r="M96" s="792"/>
      <c r="N96" s="835"/>
      <c r="O96" s="836"/>
      <c r="P96" s="835"/>
      <c r="Q96" s="836"/>
      <c r="R96" s="792"/>
      <c r="S96" s="898"/>
      <c r="T96" s="792"/>
      <c r="U96" s="879"/>
      <c r="V96" s="901"/>
      <c r="W96" s="792"/>
      <c r="X96" s="792"/>
      <c r="Y96" s="904"/>
      <c r="Z96" s="1"/>
      <c r="AA96" s="1"/>
      <c r="AB96" s="1"/>
      <c r="AC96" s="1"/>
      <c r="AD96" s="1"/>
      <c r="AE96" s="1"/>
      <c r="AF96" s="1"/>
      <c r="AG96" s="1"/>
      <c r="AH96" s="1"/>
      <c r="AI96" s="1"/>
      <c r="AJ96" s="1"/>
      <c r="AK96" s="1"/>
      <c r="AL96" s="1"/>
      <c r="AM96" s="1"/>
      <c r="AN96" s="1"/>
    </row>
    <row r="97" spans="1:40">
      <c r="A97" s="127"/>
      <c r="B97" s="773"/>
      <c r="C97" s="877"/>
      <c r="D97" s="880"/>
      <c r="E97" s="801"/>
      <c r="F97" s="802"/>
      <c r="G97" s="781"/>
      <c r="H97" s="781"/>
      <c r="I97" s="215" t="s">
        <v>189</v>
      </c>
      <c r="J97" s="216"/>
      <c r="K97" s="872"/>
      <c r="L97" s="873"/>
      <c r="M97" s="793"/>
      <c r="N97" s="837"/>
      <c r="O97" s="838"/>
      <c r="P97" s="837"/>
      <c r="Q97" s="838"/>
      <c r="R97" s="793"/>
      <c r="S97" s="899"/>
      <c r="T97" s="793"/>
      <c r="U97" s="880"/>
      <c r="V97" s="902"/>
      <c r="W97" s="793"/>
      <c r="X97" s="793"/>
      <c r="Y97" s="905"/>
      <c r="Z97" s="1"/>
      <c r="AA97" s="1"/>
      <c r="AB97" s="1"/>
      <c r="AC97" s="1"/>
      <c r="AD97" s="1"/>
      <c r="AE97" s="1"/>
      <c r="AF97" s="1"/>
      <c r="AG97" s="1"/>
      <c r="AH97" s="1"/>
      <c r="AI97" s="1"/>
      <c r="AJ97" s="1"/>
      <c r="AK97" s="1"/>
      <c r="AL97" s="1"/>
      <c r="AM97" s="1"/>
      <c r="AN97" s="1"/>
    </row>
    <row r="98" spans="1:40" ht="15.6" customHeight="1" thickBot="1">
      <c r="A98" s="127"/>
      <c r="B98" s="773"/>
      <c r="C98" s="878"/>
      <c r="D98" s="881"/>
      <c r="E98" s="866"/>
      <c r="F98" s="867"/>
      <c r="G98" s="782"/>
      <c r="H98" s="782"/>
      <c r="I98" s="217" t="s">
        <v>190</v>
      </c>
      <c r="J98" s="218"/>
      <c r="K98" s="874"/>
      <c r="L98" s="875"/>
      <c r="M98" s="794"/>
      <c r="N98" s="863"/>
      <c r="O98" s="864"/>
      <c r="P98" s="863"/>
      <c r="Q98" s="864"/>
      <c r="R98" s="794"/>
      <c r="S98" s="900"/>
      <c r="T98" s="794"/>
      <c r="U98" s="881"/>
      <c r="V98" s="903"/>
      <c r="W98" s="794"/>
      <c r="X98" s="794"/>
      <c r="Y98" s="906"/>
      <c r="Z98" s="1"/>
      <c r="AA98" s="1"/>
      <c r="AB98" s="1"/>
      <c r="AC98" s="1"/>
      <c r="AD98" s="1"/>
      <c r="AE98" s="1"/>
      <c r="AF98" s="1"/>
      <c r="AG98" s="1"/>
      <c r="AH98" s="1"/>
      <c r="AI98" s="1"/>
      <c r="AJ98" s="1"/>
      <c r="AK98" s="1"/>
      <c r="AL98" s="1"/>
      <c r="AM98" s="1"/>
      <c r="AN98" s="1"/>
    </row>
    <row r="99" spans="1:40" ht="15" thickTop="1">
      <c r="A99" s="127"/>
      <c r="B99" s="773"/>
      <c r="C99" s="876"/>
      <c r="D99" s="879"/>
      <c r="E99" s="868"/>
      <c r="F99" s="869"/>
      <c r="G99" s="772"/>
      <c r="H99" s="772"/>
      <c r="I99" s="213" t="s">
        <v>188</v>
      </c>
      <c r="J99" s="214"/>
      <c r="K99" s="870"/>
      <c r="L99" s="871"/>
      <c r="M99" s="792"/>
      <c r="N99" s="835"/>
      <c r="O99" s="836"/>
      <c r="P99" s="835"/>
      <c r="Q99" s="836"/>
      <c r="R99" s="792"/>
      <c r="S99" s="898"/>
      <c r="T99" s="792"/>
      <c r="U99" s="879"/>
      <c r="V99" s="901"/>
      <c r="W99" s="792"/>
      <c r="X99" s="792"/>
      <c r="Y99" s="904"/>
      <c r="Z99" s="1"/>
      <c r="AA99" s="1"/>
      <c r="AB99" s="1"/>
      <c r="AC99" s="1"/>
      <c r="AD99" s="1"/>
      <c r="AE99" s="1"/>
      <c r="AF99" s="1"/>
      <c r="AG99" s="1"/>
      <c r="AH99" s="1"/>
      <c r="AI99" s="1"/>
      <c r="AJ99" s="1"/>
      <c r="AK99" s="1"/>
      <c r="AL99" s="1"/>
      <c r="AM99" s="1"/>
      <c r="AN99" s="1"/>
    </row>
    <row r="100" spans="1:40">
      <c r="A100" s="127"/>
      <c r="B100" s="773"/>
      <c r="C100" s="877"/>
      <c r="D100" s="880"/>
      <c r="E100" s="801"/>
      <c r="F100" s="802"/>
      <c r="G100" s="781"/>
      <c r="H100" s="781"/>
      <c r="I100" s="215" t="s">
        <v>189</v>
      </c>
      <c r="J100" s="216"/>
      <c r="K100" s="872"/>
      <c r="L100" s="873"/>
      <c r="M100" s="793"/>
      <c r="N100" s="837"/>
      <c r="O100" s="838"/>
      <c r="P100" s="837"/>
      <c r="Q100" s="838"/>
      <c r="R100" s="793"/>
      <c r="S100" s="899"/>
      <c r="T100" s="793"/>
      <c r="U100" s="880"/>
      <c r="V100" s="902"/>
      <c r="W100" s="793"/>
      <c r="X100" s="793"/>
      <c r="Y100" s="905"/>
      <c r="Z100" s="1"/>
      <c r="AA100" s="1"/>
      <c r="AB100" s="1"/>
      <c r="AC100" s="1"/>
      <c r="AD100" s="1"/>
      <c r="AE100" s="1"/>
      <c r="AF100" s="1"/>
      <c r="AG100" s="1"/>
      <c r="AH100" s="1"/>
      <c r="AI100" s="1"/>
      <c r="AJ100" s="1"/>
      <c r="AK100" s="1"/>
      <c r="AL100" s="1"/>
      <c r="AM100" s="1"/>
      <c r="AN100" s="1"/>
    </row>
    <row r="101" spans="1:40" ht="15.6" customHeight="1" thickBot="1">
      <c r="A101" s="127"/>
      <c r="B101" s="773"/>
      <c r="C101" s="878"/>
      <c r="D101" s="881"/>
      <c r="E101" s="866"/>
      <c r="F101" s="867"/>
      <c r="G101" s="782"/>
      <c r="H101" s="782"/>
      <c r="I101" s="217" t="s">
        <v>190</v>
      </c>
      <c r="J101" s="218"/>
      <c r="K101" s="874"/>
      <c r="L101" s="875"/>
      <c r="M101" s="794"/>
      <c r="N101" s="863"/>
      <c r="O101" s="864"/>
      <c r="P101" s="863"/>
      <c r="Q101" s="864"/>
      <c r="R101" s="794"/>
      <c r="S101" s="900"/>
      <c r="T101" s="794"/>
      <c r="U101" s="881"/>
      <c r="V101" s="903"/>
      <c r="W101" s="794"/>
      <c r="X101" s="794"/>
      <c r="Y101" s="906"/>
      <c r="Z101" s="1"/>
      <c r="AA101" s="1"/>
      <c r="AB101" s="1"/>
      <c r="AC101" s="1"/>
      <c r="AD101" s="1"/>
      <c r="AE101" s="1"/>
      <c r="AF101" s="1"/>
      <c r="AG101" s="1"/>
      <c r="AH101" s="1"/>
      <c r="AI101" s="1"/>
      <c r="AJ101" s="1"/>
      <c r="AK101" s="1"/>
      <c r="AL101" s="1"/>
      <c r="AM101" s="1"/>
      <c r="AN101" s="1"/>
    </row>
    <row r="102" spans="1:40" ht="15" thickTop="1">
      <c r="A102" s="127"/>
      <c r="B102" s="773"/>
      <c r="C102" s="876"/>
      <c r="D102" s="879"/>
      <c r="E102" s="868"/>
      <c r="F102" s="869"/>
      <c r="G102" s="772"/>
      <c r="H102" s="772"/>
      <c r="I102" s="213" t="s">
        <v>188</v>
      </c>
      <c r="J102" s="214"/>
      <c r="K102" s="870"/>
      <c r="L102" s="871"/>
      <c r="M102" s="792"/>
      <c r="N102" s="835"/>
      <c r="O102" s="836"/>
      <c r="P102" s="835"/>
      <c r="Q102" s="836"/>
      <c r="R102" s="792"/>
      <c r="S102" s="898"/>
      <c r="T102" s="792"/>
      <c r="U102" s="879"/>
      <c r="V102" s="901"/>
      <c r="W102" s="792"/>
      <c r="X102" s="792"/>
      <c r="Y102" s="904"/>
      <c r="Z102" s="1"/>
      <c r="AA102" s="1"/>
      <c r="AB102" s="1"/>
      <c r="AC102" s="1"/>
      <c r="AD102" s="1"/>
      <c r="AE102" s="1"/>
      <c r="AF102" s="1"/>
      <c r="AG102" s="1"/>
      <c r="AH102" s="1"/>
      <c r="AI102" s="1"/>
      <c r="AJ102" s="1"/>
      <c r="AK102" s="1"/>
      <c r="AL102" s="1"/>
      <c r="AM102" s="1"/>
      <c r="AN102" s="1"/>
    </row>
    <row r="103" spans="1:40">
      <c r="A103" s="127"/>
      <c r="B103" s="773"/>
      <c r="C103" s="877"/>
      <c r="D103" s="880"/>
      <c r="E103" s="801"/>
      <c r="F103" s="802"/>
      <c r="G103" s="781"/>
      <c r="H103" s="781"/>
      <c r="I103" s="215" t="s">
        <v>189</v>
      </c>
      <c r="J103" s="216"/>
      <c r="K103" s="872"/>
      <c r="L103" s="873"/>
      <c r="M103" s="793"/>
      <c r="N103" s="837"/>
      <c r="O103" s="838"/>
      <c r="P103" s="837"/>
      <c r="Q103" s="838"/>
      <c r="R103" s="793"/>
      <c r="S103" s="899"/>
      <c r="T103" s="793"/>
      <c r="U103" s="880"/>
      <c r="V103" s="902"/>
      <c r="W103" s="793"/>
      <c r="X103" s="793"/>
      <c r="Y103" s="905"/>
      <c r="Z103" s="1"/>
      <c r="AA103" s="1"/>
      <c r="AB103" s="1"/>
      <c r="AC103" s="1"/>
      <c r="AD103" s="1"/>
      <c r="AE103" s="1"/>
      <c r="AF103" s="1"/>
      <c r="AG103" s="1"/>
      <c r="AH103" s="1"/>
      <c r="AI103" s="1"/>
      <c r="AJ103" s="1"/>
      <c r="AK103" s="1"/>
      <c r="AL103" s="1"/>
      <c r="AM103" s="1"/>
      <c r="AN103" s="1"/>
    </row>
    <row r="104" spans="1:40" ht="15.6" customHeight="1" thickBot="1">
      <c r="A104" s="127"/>
      <c r="B104" s="773"/>
      <c r="C104" s="878"/>
      <c r="D104" s="881"/>
      <c r="E104" s="866"/>
      <c r="F104" s="867"/>
      <c r="G104" s="782"/>
      <c r="H104" s="782"/>
      <c r="I104" s="217" t="s">
        <v>190</v>
      </c>
      <c r="J104" s="218"/>
      <c r="K104" s="874"/>
      <c r="L104" s="875"/>
      <c r="M104" s="794"/>
      <c r="N104" s="863"/>
      <c r="O104" s="864"/>
      <c r="P104" s="863"/>
      <c r="Q104" s="864"/>
      <c r="R104" s="794"/>
      <c r="S104" s="900"/>
      <c r="T104" s="794"/>
      <c r="U104" s="881"/>
      <c r="V104" s="903"/>
      <c r="W104" s="794"/>
      <c r="X104" s="794"/>
      <c r="Y104" s="906"/>
      <c r="Z104" s="1"/>
      <c r="AA104" s="1"/>
      <c r="AB104" s="1"/>
      <c r="AC104" s="1"/>
      <c r="AD104" s="1"/>
      <c r="AE104" s="1"/>
      <c r="AF104" s="1"/>
      <c r="AG104" s="1"/>
      <c r="AH104" s="1"/>
      <c r="AI104" s="1"/>
      <c r="AJ104" s="1"/>
      <c r="AK104" s="1"/>
      <c r="AL104" s="1"/>
      <c r="AM104" s="1"/>
      <c r="AN104" s="1"/>
    </row>
    <row r="105" spans="1:40" ht="15" thickTop="1">
      <c r="A105" s="127"/>
      <c r="B105" s="773"/>
      <c r="C105" s="876"/>
      <c r="D105" s="879"/>
      <c r="E105" s="868"/>
      <c r="F105" s="869"/>
      <c r="G105" s="772"/>
      <c r="H105" s="772"/>
      <c r="I105" s="213" t="s">
        <v>188</v>
      </c>
      <c r="J105" s="214"/>
      <c r="K105" s="870"/>
      <c r="L105" s="871"/>
      <c r="M105" s="792"/>
      <c r="N105" s="835"/>
      <c r="O105" s="836"/>
      <c r="P105" s="835"/>
      <c r="Q105" s="836"/>
      <c r="R105" s="792"/>
      <c r="S105" s="898"/>
      <c r="T105" s="792"/>
      <c r="U105" s="879"/>
      <c r="V105" s="901"/>
      <c r="W105" s="792"/>
      <c r="X105" s="792"/>
      <c r="Y105" s="904"/>
      <c r="Z105" s="1"/>
      <c r="AA105" s="1"/>
      <c r="AB105" s="1"/>
      <c r="AC105" s="1"/>
      <c r="AD105" s="1"/>
      <c r="AE105" s="1"/>
      <c r="AF105" s="1"/>
      <c r="AG105" s="1"/>
      <c r="AH105" s="1"/>
      <c r="AI105" s="1"/>
      <c r="AJ105" s="1"/>
      <c r="AK105" s="1"/>
      <c r="AL105" s="1"/>
      <c r="AM105" s="1"/>
      <c r="AN105" s="1"/>
    </row>
    <row r="106" spans="1:40">
      <c r="A106" s="127"/>
      <c r="B106" s="773"/>
      <c r="C106" s="877"/>
      <c r="D106" s="880"/>
      <c r="E106" s="801"/>
      <c r="F106" s="802"/>
      <c r="G106" s="781"/>
      <c r="H106" s="781"/>
      <c r="I106" s="215" t="s">
        <v>189</v>
      </c>
      <c r="J106" s="216"/>
      <c r="K106" s="872"/>
      <c r="L106" s="873"/>
      <c r="M106" s="793"/>
      <c r="N106" s="837"/>
      <c r="O106" s="838"/>
      <c r="P106" s="837"/>
      <c r="Q106" s="838"/>
      <c r="R106" s="793"/>
      <c r="S106" s="899"/>
      <c r="T106" s="793"/>
      <c r="U106" s="880"/>
      <c r="V106" s="902"/>
      <c r="W106" s="793"/>
      <c r="X106" s="793"/>
      <c r="Y106" s="905"/>
      <c r="Z106" s="1"/>
      <c r="AA106" s="1"/>
      <c r="AB106" s="1"/>
      <c r="AC106" s="1"/>
      <c r="AD106" s="1"/>
      <c r="AE106" s="1"/>
      <c r="AF106" s="1"/>
      <c r="AG106" s="1"/>
      <c r="AH106" s="1"/>
      <c r="AI106" s="1"/>
      <c r="AJ106" s="1"/>
      <c r="AK106" s="1"/>
      <c r="AL106" s="1"/>
      <c r="AM106" s="1"/>
      <c r="AN106" s="1"/>
    </row>
    <row r="107" spans="1:40" ht="15.6" customHeight="1" thickBot="1">
      <c r="A107" s="127"/>
      <c r="B107" s="773"/>
      <c r="C107" s="878"/>
      <c r="D107" s="881"/>
      <c r="E107" s="866"/>
      <c r="F107" s="867"/>
      <c r="G107" s="782"/>
      <c r="H107" s="782"/>
      <c r="I107" s="217" t="s">
        <v>190</v>
      </c>
      <c r="J107" s="218"/>
      <c r="K107" s="874"/>
      <c r="L107" s="875"/>
      <c r="M107" s="794"/>
      <c r="N107" s="863"/>
      <c r="O107" s="864"/>
      <c r="P107" s="863"/>
      <c r="Q107" s="864"/>
      <c r="R107" s="794"/>
      <c r="S107" s="900"/>
      <c r="T107" s="794"/>
      <c r="U107" s="881"/>
      <c r="V107" s="903"/>
      <c r="W107" s="794"/>
      <c r="X107" s="794"/>
      <c r="Y107" s="906"/>
      <c r="Z107" s="1"/>
      <c r="AA107" s="1"/>
      <c r="AB107" s="1"/>
      <c r="AC107" s="1"/>
      <c r="AD107" s="1"/>
      <c r="AE107" s="1"/>
      <c r="AF107" s="1"/>
      <c r="AG107" s="1"/>
      <c r="AH107" s="1"/>
      <c r="AI107" s="1"/>
      <c r="AJ107" s="1"/>
      <c r="AK107" s="1"/>
      <c r="AL107" s="1"/>
      <c r="AM107" s="1"/>
      <c r="AN107" s="1"/>
    </row>
    <row r="108" spans="1:40" ht="15" thickTop="1">
      <c r="A108" s="127"/>
      <c r="B108" s="773"/>
      <c r="C108" s="876"/>
      <c r="D108" s="879"/>
      <c r="E108" s="868"/>
      <c r="F108" s="869"/>
      <c r="G108" s="772"/>
      <c r="H108" s="772"/>
      <c r="I108" s="213" t="s">
        <v>188</v>
      </c>
      <c r="J108" s="214"/>
      <c r="K108" s="870"/>
      <c r="L108" s="871"/>
      <c r="M108" s="792"/>
      <c r="N108" s="835"/>
      <c r="O108" s="836"/>
      <c r="P108" s="835"/>
      <c r="Q108" s="836"/>
      <c r="R108" s="792"/>
      <c r="S108" s="898"/>
      <c r="T108" s="792"/>
      <c r="U108" s="879"/>
      <c r="V108" s="901"/>
      <c r="W108" s="792"/>
      <c r="X108" s="792"/>
      <c r="Y108" s="904"/>
      <c r="Z108" s="1"/>
      <c r="AA108" s="1"/>
      <c r="AB108" s="1"/>
      <c r="AC108" s="1"/>
      <c r="AD108" s="1"/>
      <c r="AE108" s="1"/>
      <c r="AF108" s="1"/>
      <c r="AG108" s="1"/>
      <c r="AH108" s="1"/>
      <c r="AI108" s="1"/>
      <c r="AJ108" s="1"/>
      <c r="AK108" s="1"/>
      <c r="AL108" s="1"/>
      <c r="AM108" s="1"/>
      <c r="AN108" s="1"/>
    </row>
    <row r="109" spans="1:40">
      <c r="A109" s="127"/>
      <c r="B109" s="773"/>
      <c r="C109" s="877"/>
      <c r="D109" s="880"/>
      <c r="E109" s="801"/>
      <c r="F109" s="802"/>
      <c r="G109" s="781"/>
      <c r="H109" s="781"/>
      <c r="I109" s="215" t="s">
        <v>189</v>
      </c>
      <c r="J109" s="216"/>
      <c r="K109" s="872"/>
      <c r="L109" s="873"/>
      <c r="M109" s="793"/>
      <c r="N109" s="837"/>
      <c r="O109" s="838"/>
      <c r="P109" s="837"/>
      <c r="Q109" s="838"/>
      <c r="R109" s="793"/>
      <c r="S109" s="899"/>
      <c r="T109" s="793"/>
      <c r="U109" s="880"/>
      <c r="V109" s="902"/>
      <c r="W109" s="793"/>
      <c r="X109" s="793"/>
      <c r="Y109" s="905"/>
      <c r="Z109" s="1"/>
      <c r="AA109" s="1"/>
      <c r="AB109" s="1"/>
      <c r="AC109" s="1"/>
      <c r="AD109" s="1"/>
      <c r="AE109" s="1"/>
      <c r="AF109" s="1"/>
      <c r="AG109" s="1"/>
      <c r="AH109" s="1"/>
      <c r="AI109" s="1"/>
      <c r="AJ109" s="1"/>
      <c r="AK109" s="1"/>
      <c r="AL109" s="1"/>
      <c r="AM109" s="1"/>
      <c r="AN109" s="1"/>
    </row>
    <row r="110" spans="1:40" ht="15.6" customHeight="1" thickBot="1">
      <c r="A110" s="127"/>
      <c r="B110" s="773"/>
      <c r="C110" s="878"/>
      <c r="D110" s="881"/>
      <c r="E110" s="866"/>
      <c r="F110" s="867"/>
      <c r="G110" s="782"/>
      <c r="H110" s="782"/>
      <c r="I110" s="217" t="s">
        <v>190</v>
      </c>
      <c r="J110" s="218"/>
      <c r="K110" s="874"/>
      <c r="L110" s="875"/>
      <c r="M110" s="794"/>
      <c r="N110" s="863"/>
      <c r="O110" s="864"/>
      <c r="P110" s="863"/>
      <c r="Q110" s="864"/>
      <c r="R110" s="794"/>
      <c r="S110" s="900"/>
      <c r="T110" s="794"/>
      <c r="U110" s="881"/>
      <c r="V110" s="903"/>
      <c r="W110" s="794"/>
      <c r="X110" s="794"/>
      <c r="Y110" s="906"/>
      <c r="Z110" s="1"/>
      <c r="AA110" s="1"/>
      <c r="AB110" s="1"/>
      <c r="AC110" s="1"/>
      <c r="AD110" s="1"/>
      <c r="AE110" s="1"/>
      <c r="AF110" s="1"/>
      <c r="AG110" s="1"/>
      <c r="AH110" s="1"/>
      <c r="AI110" s="1"/>
      <c r="AJ110" s="1"/>
      <c r="AK110" s="1"/>
      <c r="AL110" s="1"/>
      <c r="AM110" s="1"/>
      <c r="AN110" s="1"/>
    </row>
    <row r="111" spans="1:40" ht="15" thickTop="1">
      <c r="A111" s="127"/>
      <c r="B111" s="773"/>
      <c r="C111" s="876"/>
      <c r="D111" s="879"/>
      <c r="E111" s="868"/>
      <c r="F111" s="869"/>
      <c r="G111" s="772"/>
      <c r="H111" s="772"/>
      <c r="I111" s="213" t="s">
        <v>188</v>
      </c>
      <c r="J111" s="214"/>
      <c r="K111" s="870"/>
      <c r="L111" s="871"/>
      <c r="M111" s="792"/>
      <c r="N111" s="835"/>
      <c r="O111" s="836"/>
      <c r="P111" s="835"/>
      <c r="Q111" s="836"/>
      <c r="R111" s="792"/>
      <c r="S111" s="898"/>
      <c r="T111" s="792"/>
      <c r="U111" s="879"/>
      <c r="V111" s="901"/>
      <c r="W111" s="792"/>
      <c r="X111" s="792"/>
      <c r="Y111" s="904"/>
      <c r="Z111" s="1"/>
      <c r="AA111" s="1"/>
      <c r="AB111" s="1"/>
      <c r="AC111" s="1"/>
      <c r="AD111" s="1"/>
      <c r="AE111" s="1"/>
      <c r="AF111" s="1"/>
      <c r="AG111" s="1"/>
      <c r="AH111" s="1"/>
      <c r="AI111" s="1"/>
      <c r="AJ111" s="1"/>
      <c r="AK111" s="1"/>
      <c r="AL111" s="1"/>
      <c r="AM111" s="1"/>
      <c r="AN111" s="1"/>
    </row>
    <row r="112" spans="1:40">
      <c r="A112" s="127"/>
      <c r="B112" s="773"/>
      <c r="C112" s="877"/>
      <c r="D112" s="880"/>
      <c r="E112" s="801"/>
      <c r="F112" s="802"/>
      <c r="G112" s="781"/>
      <c r="H112" s="781"/>
      <c r="I112" s="215" t="s">
        <v>189</v>
      </c>
      <c r="J112" s="216"/>
      <c r="K112" s="872"/>
      <c r="L112" s="873"/>
      <c r="M112" s="793"/>
      <c r="N112" s="837"/>
      <c r="O112" s="838"/>
      <c r="P112" s="837"/>
      <c r="Q112" s="838"/>
      <c r="R112" s="793"/>
      <c r="S112" s="899"/>
      <c r="T112" s="793"/>
      <c r="U112" s="880"/>
      <c r="V112" s="902"/>
      <c r="W112" s="793"/>
      <c r="X112" s="793"/>
      <c r="Y112" s="905"/>
      <c r="Z112" s="1"/>
      <c r="AA112" s="1"/>
      <c r="AB112" s="1"/>
      <c r="AC112" s="1"/>
      <c r="AD112" s="1"/>
      <c r="AE112" s="1"/>
      <c r="AF112" s="1"/>
      <c r="AG112" s="1"/>
      <c r="AH112" s="1"/>
      <c r="AI112" s="1"/>
      <c r="AJ112" s="1"/>
      <c r="AK112" s="1"/>
      <c r="AL112" s="1"/>
      <c r="AM112" s="1"/>
      <c r="AN112" s="1"/>
    </row>
    <row r="113" spans="1:40" ht="15.6" customHeight="1" thickBot="1">
      <c r="A113" s="127"/>
      <c r="B113" s="773"/>
      <c r="C113" s="878"/>
      <c r="D113" s="881"/>
      <c r="E113" s="866"/>
      <c r="F113" s="867"/>
      <c r="G113" s="782"/>
      <c r="H113" s="782"/>
      <c r="I113" s="217" t="s">
        <v>190</v>
      </c>
      <c r="J113" s="218"/>
      <c r="K113" s="874"/>
      <c r="L113" s="875"/>
      <c r="M113" s="794"/>
      <c r="N113" s="863"/>
      <c r="O113" s="864"/>
      <c r="P113" s="863"/>
      <c r="Q113" s="864"/>
      <c r="R113" s="794"/>
      <c r="S113" s="900"/>
      <c r="T113" s="794"/>
      <c r="U113" s="881"/>
      <c r="V113" s="903"/>
      <c r="W113" s="794"/>
      <c r="X113" s="794"/>
      <c r="Y113" s="906"/>
      <c r="Z113" s="1"/>
      <c r="AA113" s="1"/>
      <c r="AB113" s="1"/>
      <c r="AC113" s="1"/>
      <c r="AD113" s="1"/>
      <c r="AE113" s="1"/>
      <c r="AF113" s="1"/>
      <c r="AG113" s="1"/>
      <c r="AH113" s="1"/>
      <c r="AI113" s="1"/>
      <c r="AJ113" s="1"/>
      <c r="AK113" s="1"/>
      <c r="AL113" s="1"/>
      <c r="AM113" s="1"/>
      <c r="AN113" s="1"/>
    </row>
    <row r="114" spans="1:40" ht="15" hidden="1" outlineLevel="1" thickTop="1">
      <c r="A114" s="127"/>
      <c r="B114" s="773"/>
      <c r="C114" s="876"/>
      <c r="D114" s="879"/>
      <c r="E114" s="868"/>
      <c r="F114" s="869"/>
      <c r="G114" s="772"/>
      <c r="H114" s="772"/>
      <c r="I114" s="213" t="s">
        <v>188</v>
      </c>
      <c r="J114" s="214"/>
      <c r="K114" s="870"/>
      <c r="L114" s="871"/>
      <c r="M114" s="792"/>
      <c r="N114" s="835"/>
      <c r="O114" s="836"/>
      <c r="P114" s="835"/>
      <c r="Q114" s="836"/>
      <c r="R114" s="792"/>
      <c r="S114" s="898"/>
      <c r="T114" s="792"/>
      <c r="U114" s="879"/>
      <c r="V114" s="901"/>
      <c r="W114" s="792"/>
      <c r="X114" s="792"/>
      <c r="Y114" s="904"/>
      <c r="Z114" s="1"/>
      <c r="AA114" s="1"/>
      <c r="AB114" s="1"/>
      <c r="AC114" s="1"/>
      <c r="AD114" s="1"/>
      <c r="AE114" s="1"/>
      <c r="AF114" s="1"/>
      <c r="AG114" s="1"/>
      <c r="AH114" s="1"/>
      <c r="AI114" s="1"/>
      <c r="AJ114" s="1"/>
      <c r="AK114" s="1"/>
      <c r="AL114" s="1"/>
      <c r="AM114" s="1"/>
      <c r="AN114" s="1"/>
    </row>
    <row r="115" spans="1:40" hidden="1" outlineLevel="1">
      <c r="A115" s="127"/>
      <c r="B115" s="773"/>
      <c r="C115" s="877"/>
      <c r="D115" s="880"/>
      <c r="E115" s="801"/>
      <c r="F115" s="802"/>
      <c r="G115" s="781"/>
      <c r="H115" s="781"/>
      <c r="I115" s="215" t="s">
        <v>189</v>
      </c>
      <c r="J115" s="216"/>
      <c r="K115" s="872"/>
      <c r="L115" s="873"/>
      <c r="M115" s="793"/>
      <c r="N115" s="837"/>
      <c r="O115" s="838"/>
      <c r="P115" s="837"/>
      <c r="Q115" s="838"/>
      <c r="R115" s="793"/>
      <c r="S115" s="899"/>
      <c r="T115" s="793"/>
      <c r="U115" s="880"/>
      <c r="V115" s="902"/>
      <c r="W115" s="793"/>
      <c r="X115" s="793"/>
      <c r="Y115" s="905"/>
      <c r="Z115" s="1"/>
      <c r="AA115" s="1"/>
      <c r="AB115" s="1"/>
      <c r="AC115" s="1"/>
      <c r="AD115" s="1"/>
      <c r="AE115" s="1"/>
      <c r="AF115" s="1"/>
      <c r="AG115" s="1"/>
      <c r="AH115" s="1"/>
      <c r="AI115" s="1"/>
      <c r="AJ115" s="1"/>
      <c r="AK115" s="1"/>
      <c r="AL115" s="1"/>
      <c r="AM115" s="1"/>
      <c r="AN115" s="1"/>
    </row>
    <row r="116" spans="1:40" ht="15.6" hidden="1" customHeight="1" outlineLevel="1" thickBot="1">
      <c r="A116" s="127"/>
      <c r="B116" s="773"/>
      <c r="C116" s="878"/>
      <c r="D116" s="881"/>
      <c r="E116" s="866"/>
      <c r="F116" s="867"/>
      <c r="G116" s="782"/>
      <c r="H116" s="782"/>
      <c r="I116" s="217" t="s">
        <v>190</v>
      </c>
      <c r="J116" s="218"/>
      <c r="K116" s="874"/>
      <c r="L116" s="875"/>
      <c r="M116" s="794"/>
      <c r="N116" s="863"/>
      <c r="O116" s="864"/>
      <c r="P116" s="863"/>
      <c r="Q116" s="864"/>
      <c r="R116" s="794"/>
      <c r="S116" s="900"/>
      <c r="T116" s="794"/>
      <c r="U116" s="881"/>
      <c r="V116" s="903"/>
      <c r="W116" s="794"/>
      <c r="X116" s="794"/>
      <c r="Y116" s="906"/>
      <c r="Z116" s="1"/>
      <c r="AA116" s="1"/>
      <c r="AB116" s="1"/>
      <c r="AC116" s="1"/>
      <c r="AD116" s="1"/>
      <c r="AE116" s="1"/>
      <c r="AF116" s="1"/>
      <c r="AG116" s="1"/>
      <c r="AH116" s="1"/>
      <c r="AI116" s="1"/>
      <c r="AJ116" s="1"/>
      <c r="AK116" s="1"/>
      <c r="AL116" s="1"/>
      <c r="AM116" s="1"/>
      <c r="AN116" s="1"/>
    </row>
    <row r="117" spans="1:40" ht="15" hidden="1" outlineLevel="1" thickTop="1">
      <c r="A117" s="127"/>
      <c r="B117" s="773"/>
      <c r="C117" s="876"/>
      <c r="D117" s="879"/>
      <c r="E117" s="868"/>
      <c r="F117" s="869"/>
      <c r="G117" s="772"/>
      <c r="H117" s="772"/>
      <c r="I117" s="213" t="s">
        <v>188</v>
      </c>
      <c r="J117" s="214"/>
      <c r="K117" s="870"/>
      <c r="L117" s="871"/>
      <c r="M117" s="792"/>
      <c r="N117" s="835"/>
      <c r="O117" s="836"/>
      <c r="P117" s="835"/>
      <c r="Q117" s="836"/>
      <c r="R117" s="792"/>
      <c r="S117" s="898"/>
      <c r="T117" s="792"/>
      <c r="U117" s="879"/>
      <c r="V117" s="901"/>
      <c r="W117" s="792"/>
      <c r="X117" s="792"/>
      <c r="Y117" s="904"/>
      <c r="Z117" s="1"/>
      <c r="AA117" s="1"/>
      <c r="AB117" s="1"/>
      <c r="AC117" s="1"/>
      <c r="AD117" s="1"/>
      <c r="AE117" s="1"/>
      <c r="AF117" s="1"/>
      <c r="AG117" s="1"/>
      <c r="AH117" s="1"/>
      <c r="AI117" s="1"/>
      <c r="AJ117" s="1"/>
      <c r="AK117" s="1"/>
      <c r="AL117" s="1"/>
      <c r="AM117" s="1"/>
      <c r="AN117" s="1"/>
    </row>
    <row r="118" spans="1:40" hidden="1" outlineLevel="1">
      <c r="A118" s="127"/>
      <c r="B118" s="773"/>
      <c r="C118" s="877"/>
      <c r="D118" s="880"/>
      <c r="E118" s="801"/>
      <c r="F118" s="802"/>
      <c r="G118" s="781"/>
      <c r="H118" s="781"/>
      <c r="I118" s="215" t="s">
        <v>189</v>
      </c>
      <c r="J118" s="216"/>
      <c r="K118" s="872"/>
      <c r="L118" s="873"/>
      <c r="M118" s="793"/>
      <c r="N118" s="837"/>
      <c r="O118" s="838"/>
      <c r="P118" s="837"/>
      <c r="Q118" s="838"/>
      <c r="R118" s="793"/>
      <c r="S118" s="899"/>
      <c r="T118" s="793"/>
      <c r="U118" s="880"/>
      <c r="V118" s="902"/>
      <c r="W118" s="793"/>
      <c r="X118" s="793"/>
      <c r="Y118" s="905"/>
      <c r="Z118" s="1"/>
      <c r="AA118" s="1"/>
      <c r="AB118" s="1"/>
      <c r="AC118" s="1"/>
      <c r="AD118" s="1"/>
      <c r="AE118" s="1"/>
      <c r="AF118" s="1"/>
      <c r="AG118" s="1"/>
      <c r="AH118" s="1"/>
      <c r="AI118" s="1"/>
      <c r="AJ118" s="1"/>
      <c r="AK118" s="1"/>
      <c r="AL118" s="1"/>
      <c r="AM118" s="1"/>
      <c r="AN118" s="1"/>
    </row>
    <row r="119" spans="1:40" ht="15.6" hidden="1" customHeight="1" outlineLevel="1" thickBot="1">
      <c r="A119" s="127"/>
      <c r="B119" s="773"/>
      <c r="C119" s="878"/>
      <c r="D119" s="881"/>
      <c r="E119" s="866"/>
      <c r="F119" s="867"/>
      <c r="G119" s="782"/>
      <c r="H119" s="782"/>
      <c r="I119" s="217" t="s">
        <v>190</v>
      </c>
      <c r="J119" s="218"/>
      <c r="K119" s="874"/>
      <c r="L119" s="875"/>
      <c r="M119" s="794"/>
      <c r="N119" s="863"/>
      <c r="O119" s="864"/>
      <c r="P119" s="863"/>
      <c r="Q119" s="864"/>
      <c r="R119" s="794"/>
      <c r="S119" s="900"/>
      <c r="T119" s="794"/>
      <c r="U119" s="881"/>
      <c r="V119" s="903"/>
      <c r="W119" s="794"/>
      <c r="X119" s="794"/>
      <c r="Y119" s="906"/>
      <c r="Z119" s="1"/>
      <c r="AA119" s="1"/>
      <c r="AB119" s="1"/>
      <c r="AC119" s="1"/>
      <c r="AD119" s="1"/>
      <c r="AE119" s="1"/>
      <c r="AF119" s="1"/>
      <c r="AG119" s="1"/>
      <c r="AH119" s="1"/>
      <c r="AI119" s="1"/>
      <c r="AJ119" s="1"/>
      <c r="AK119" s="1"/>
      <c r="AL119" s="1"/>
      <c r="AM119" s="1"/>
      <c r="AN119" s="1"/>
    </row>
    <row r="120" spans="1:40" ht="15" hidden="1" outlineLevel="1" thickTop="1">
      <c r="A120" s="127"/>
      <c r="B120" s="773"/>
      <c r="C120" s="876"/>
      <c r="D120" s="879"/>
      <c r="E120" s="868"/>
      <c r="F120" s="869"/>
      <c r="G120" s="772"/>
      <c r="H120" s="772"/>
      <c r="I120" s="213" t="s">
        <v>188</v>
      </c>
      <c r="J120" s="214"/>
      <c r="K120" s="870"/>
      <c r="L120" s="871"/>
      <c r="M120" s="792"/>
      <c r="N120" s="835"/>
      <c r="O120" s="836"/>
      <c r="P120" s="835"/>
      <c r="Q120" s="836"/>
      <c r="R120" s="792"/>
      <c r="S120" s="898"/>
      <c r="T120" s="792"/>
      <c r="U120" s="879"/>
      <c r="V120" s="901"/>
      <c r="W120" s="792"/>
      <c r="X120" s="792"/>
      <c r="Y120" s="904"/>
      <c r="Z120" s="1"/>
      <c r="AA120" s="1"/>
      <c r="AB120" s="1"/>
      <c r="AC120" s="1"/>
      <c r="AD120" s="1"/>
      <c r="AE120" s="1"/>
      <c r="AF120" s="1"/>
      <c r="AG120" s="1"/>
      <c r="AH120" s="1"/>
      <c r="AI120" s="1"/>
      <c r="AJ120" s="1"/>
      <c r="AK120" s="1"/>
      <c r="AL120" s="1"/>
      <c r="AM120" s="1"/>
      <c r="AN120" s="1"/>
    </row>
    <row r="121" spans="1:40" hidden="1" outlineLevel="1">
      <c r="A121" s="127"/>
      <c r="B121" s="773"/>
      <c r="C121" s="877"/>
      <c r="D121" s="880"/>
      <c r="E121" s="801"/>
      <c r="F121" s="802"/>
      <c r="G121" s="781"/>
      <c r="H121" s="781"/>
      <c r="I121" s="215" t="s">
        <v>189</v>
      </c>
      <c r="J121" s="216"/>
      <c r="K121" s="872"/>
      <c r="L121" s="873"/>
      <c r="M121" s="793"/>
      <c r="N121" s="837"/>
      <c r="O121" s="838"/>
      <c r="P121" s="837"/>
      <c r="Q121" s="838"/>
      <c r="R121" s="793"/>
      <c r="S121" s="899"/>
      <c r="T121" s="793"/>
      <c r="U121" s="880"/>
      <c r="V121" s="902"/>
      <c r="W121" s="793"/>
      <c r="X121" s="793"/>
      <c r="Y121" s="905"/>
      <c r="Z121" s="1"/>
      <c r="AA121" s="1"/>
      <c r="AB121" s="1"/>
      <c r="AC121" s="1"/>
      <c r="AD121" s="1"/>
      <c r="AE121" s="1"/>
      <c r="AF121" s="1"/>
      <c r="AG121" s="1"/>
      <c r="AH121" s="1"/>
      <c r="AI121" s="1"/>
      <c r="AJ121" s="1"/>
      <c r="AK121" s="1"/>
      <c r="AL121" s="1"/>
      <c r="AM121" s="1"/>
      <c r="AN121" s="1"/>
    </row>
    <row r="122" spans="1:40" ht="15.6" hidden="1" customHeight="1" outlineLevel="1" thickBot="1">
      <c r="A122" s="127"/>
      <c r="B122" s="773"/>
      <c r="C122" s="878"/>
      <c r="D122" s="881"/>
      <c r="E122" s="866"/>
      <c r="F122" s="867"/>
      <c r="G122" s="782"/>
      <c r="H122" s="782"/>
      <c r="I122" s="217" t="s">
        <v>190</v>
      </c>
      <c r="J122" s="218"/>
      <c r="K122" s="874"/>
      <c r="L122" s="875"/>
      <c r="M122" s="794"/>
      <c r="N122" s="863"/>
      <c r="O122" s="864"/>
      <c r="P122" s="863"/>
      <c r="Q122" s="864"/>
      <c r="R122" s="794"/>
      <c r="S122" s="900"/>
      <c r="T122" s="794"/>
      <c r="U122" s="881"/>
      <c r="V122" s="903"/>
      <c r="W122" s="794"/>
      <c r="X122" s="794"/>
      <c r="Y122" s="906"/>
      <c r="Z122" s="1"/>
      <c r="AA122" s="1"/>
      <c r="AB122" s="1"/>
      <c r="AC122" s="1"/>
      <c r="AD122" s="1"/>
      <c r="AE122" s="1"/>
      <c r="AF122" s="1"/>
      <c r="AG122" s="1"/>
      <c r="AH122" s="1"/>
      <c r="AI122" s="1"/>
      <c r="AJ122" s="1"/>
      <c r="AK122" s="1"/>
      <c r="AL122" s="1"/>
      <c r="AM122" s="1"/>
      <c r="AN122" s="1"/>
    </row>
    <row r="123" spans="1:40" ht="15" hidden="1" outlineLevel="1" thickTop="1">
      <c r="A123" s="127"/>
      <c r="B123" s="773"/>
      <c r="C123" s="876"/>
      <c r="D123" s="879"/>
      <c r="E123" s="868"/>
      <c r="F123" s="869"/>
      <c r="G123" s="772"/>
      <c r="H123" s="772"/>
      <c r="I123" s="213" t="s">
        <v>188</v>
      </c>
      <c r="J123" s="214"/>
      <c r="K123" s="870"/>
      <c r="L123" s="871"/>
      <c r="M123" s="792"/>
      <c r="N123" s="835"/>
      <c r="O123" s="836"/>
      <c r="P123" s="835"/>
      <c r="Q123" s="836"/>
      <c r="R123" s="792"/>
      <c r="S123" s="898"/>
      <c r="T123" s="792"/>
      <c r="U123" s="879"/>
      <c r="V123" s="901"/>
      <c r="W123" s="792"/>
      <c r="X123" s="792"/>
      <c r="Y123" s="904"/>
      <c r="Z123" s="1"/>
      <c r="AA123" s="1"/>
      <c r="AB123" s="1"/>
      <c r="AC123" s="1"/>
      <c r="AD123" s="1"/>
      <c r="AE123" s="1"/>
      <c r="AF123" s="1"/>
      <c r="AG123" s="1"/>
      <c r="AH123" s="1"/>
      <c r="AI123" s="1"/>
      <c r="AJ123" s="1"/>
      <c r="AK123" s="1"/>
      <c r="AL123" s="1"/>
      <c r="AM123" s="1"/>
      <c r="AN123" s="1"/>
    </row>
    <row r="124" spans="1:40" hidden="1" outlineLevel="1">
      <c r="A124" s="127"/>
      <c r="B124" s="773"/>
      <c r="C124" s="877"/>
      <c r="D124" s="880"/>
      <c r="E124" s="801"/>
      <c r="F124" s="802"/>
      <c r="G124" s="781"/>
      <c r="H124" s="781"/>
      <c r="I124" s="215" t="s">
        <v>189</v>
      </c>
      <c r="J124" s="216"/>
      <c r="K124" s="872"/>
      <c r="L124" s="873"/>
      <c r="M124" s="793"/>
      <c r="N124" s="837"/>
      <c r="O124" s="838"/>
      <c r="P124" s="837"/>
      <c r="Q124" s="838"/>
      <c r="R124" s="793"/>
      <c r="S124" s="899"/>
      <c r="T124" s="793"/>
      <c r="U124" s="880"/>
      <c r="V124" s="902"/>
      <c r="W124" s="793"/>
      <c r="X124" s="793"/>
      <c r="Y124" s="905"/>
      <c r="Z124" s="1"/>
      <c r="AA124" s="1"/>
      <c r="AB124" s="1"/>
      <c r="AC124" s="1"/>
      <c r="AD124" s="1"/>
      <c r="AE124" s="1"/>
      <c r="AF124" s="1"/>
      <c r="AG124" s="1"/>
      <c r="AH124" s="1"/>
      <c r="AI124" s="1"/>
      <c r="AJ124" s="1"/>
      <c r="AK124" s="1"/>
      <c r="AL124" s="1"/>
      <c r="AM124" s="1"/>
      <c r="AN124" s="1"/>
    </row>
    <row r="125" spans="1:40" ht="15.6" hidden="1" customHeight="1" outlineLevel="1" thickBot="1">
      <c r="A125" s="127"/>
      <c r="B125" s="773"/>
      <c r="C125" s="878"/>
      <c r="D125" s="881"/>
      <c r="E125" s="866"/>
      <c r="F125" s="867"/>
      <c r="G125" s="782"/>
      <c r="H125" s="782"/>
      <c r="I125" s="217" t="s">
        <v>190</v>
      </c>
      <c r="J125" s="218"/>
      <c r="K125" s="874"/>
      <c r="L125" s="875"/>
      <c r="M125" s="794"/>
      <c r="N125" s="863"/>
      <c r="O125" s="864"/>
      <c r="P125" s="863"/>
      <c r="Q125" s="864"/>
      <c r="R125" s="794"/>
      <c r="S125" s="900"/>
      <c r="T125" s="794"/>
      <c r="U125" s="881"/>
      <c r="V125" s="903"/>
      <c r="W125" s="794"/>
      <c r="X125" s="794"/>
      <c r="Y125" s="906"/>
      <c r="Z125" s="1"/>
      <c r="AA125" s="1"/>
      <c r="AB125" s="1"/>
      <c r="AC125" s="1"/>
      <c r="AD125" s="1"/>
      <c r="AE125" s="1"/>
      <c r="AF125" s="1"/>
      <c r="AG125" s="1"/>
      <c r="AH125" s="1"/>
      <c r="AI125" s="1"/>
      <c r="AJ125" s="1"/>
      <c r="AK125" s="1"/>
      <c r="AL125" s="1"/>
      <c r="AM125" s="1"/>
      <c r="AN125" s="1"/>
    </row>
    <row r="126" spans="1:40" ht="15" hidden="1" outlineLevel="1" thickTop="1">
      <c r="A126" s="127"/>
      <c r="B126" s="773"/>
      <c r="C126" s="876"/>
      <c r="D126" s="879"/>
      <c r="E126" s="868"/>
      <c r="F126" s="869"/>
      <c r="G126" s="772"/>
      <c r="H126" s="772"/>
      <c r="I126" s="213" t="s">
        <v>188</v>
      </c>
      <c r="J126" s="214"/>
      <c r="K126" s="870"/>
      <c r="L126" s="871"/>
      <c r="M126" s="792"/>
      <c r="N126" s="835"/>
      <c r="O126" s="836"/>
      <c r="P126" s="835"/>
      <c r="Q126" s="836"/>
      <c r="R126" s="792"/>
      <c r="S126" s="898"/>
      <c r="T126" s="792"/>
      <c r="U126" s="879"/>
      <c r="V126" s="901"/>
      <c r="W126" s="792"/>
      <c r="X126" s="792"/>
      <c r="Y126" s="904"/>
      <c r="Z126" s="1"/>
      <c r="AA126" s="1"/>
      <c r="AB126" s="1"/>
      <c r="AC126" s="1"/>
      <c r="AD126" s="1"/>
      <c r="AE126" s="1"/>
      <c r="AF126" s="1"/>
      <c r="AG126" s="1"/>
      <c r="AH126" s="1"/>
      <c r="AI126" s="1"/>
      <c r="AJ126" s="1"/>
      <c r="AK126" s="1"/>
      <c r="AL126" s="1"/>
      <c r="AM126" s="1"/>
      <c r="AN126" s="1"/>
    </row>
    <row r="127" spans="1:40" hidden="1" outlineLevel="1">
      <c r="A127" s="127"/>
      <c r="B127" s="773"/>
      <c r="C127" s="877"/>
      <c r="D127" s="880"/>
      <c r="E127" s="801"/>
      <c r="F127" s="802"/>
      <c r="G127" s="781"/>
      <c r="H127" s="781"/>
      <c r="I127" s="215" t="s">
        <v>189</v>
      </c>
      <c r="J127" s="216"/>
      <c r="K127" s="872"/>
      <c r="L127" s="873"/>
      <c r="M127" s="793"/>
      <c r="N127" s="837"/>
      <c r="O127" s="838"/>
      <c r="P127" s="837"/>
      <c r="Q127" s="838"/>
      <c r="R127" s="793"/>
      <c r="S127" s="899"/>
      <c r="T127" s="793"/>
      <c r="U127" s="880"/>
      <c r="V127" s="902"/>
      <c r="W127" s="793"/>
      <c r="X127" s="793"/>
      <c r="Y127" s="905"/>
      <c r="Z127" s="1"/>
      <c r="AA127" s="1"/>
      <c r="AB127" s="1"/>
      <c r="AC127" s="1"/>
      <c r="AD127" s="1"/>
      <c r="AE127" s="1"/>
      <c r="AF127" s="1"/>
      <c r="AG127" s="1"/>
      <c r="AH127" s="1"/>
      <c r="AI127" s="1"/>
      <c r="AJ127" s="1"/>
      <c r="AK127" s="1"/>
      <c r="AL127" s="1"/>
      <c r="AM127" s="1"/>
      <c r="AN127" s="1"/>
    </row>
    <row r="128" spans="1:40" ht="15.6" hidden="1" customHeight="1" outlineLevel="1" thickBot="1">
      <c r="A128" s="127"/>
      <c r="B128" s="773"/>
      <c r="C128" s="878"/>
      <c r="D128" s="881"/>
      <c r="E128" s="866"/>
      <c r="F128" s="867"/>
      <c r="G128" s="782"/>
      <c r="H128" s="782"/>
      <c r="I128" s="217" t="s">
        <v>190</v>
      </c>
      <c r="J128" s="218"/>
      <c r="K128" s="874"/>
      <c r="L128" s="875"/>
      <c r="M128" s="794"/>
      <c r="N128" s="863"/>
      <c r="O128" s="864"/>
      <c r="P128" s="863"/>
      <c r="Q128" s="864"/>
      <c r="R128" s="794"/>
      <c r="S128" s="900"/>
      <c r="T128" s="794"/>
      <c r="U128" s="881"/>
      <c r="V128" s="903"/>
      <c r="W128" s="794"/>
      <c r="X128" s="794"/>
      <c r="Y128" s="906"/>
      <c r="Z128" s="1"/>
      <c r="AA128" s="1"/>
      <c r="AB128" s="1"/>
      <c r="AC128" s="1"/>
      <c r="AD128" s="1"/>
      <c r="AE128" s="1"/>
      <c r="AF128" s="1"/>
      <c r="AG128" s="1"/>
      <c r="AH128" s="1"/>
      <c r="AI128" s="1"/>
      <c r="AJ128" s="1"/>
      <c r="AK128" s="1"/>
      <c r="AL128" s="1"/>
      <c r="AM128" s="1"/>
      <c r="AN128" s="1"/>
    </row>
    <row r="129" spans="1:40" ht="15" hidden="1" outlineLevel="1" thickTop="1">
      <c r="A129" s="127"/>
      <c r="B129" s="773"/>
      <c r="C129" s="876"/>
      <c r="D129" s="879"/>
      <c r="E129" s="868"/>
      <c r="F129" s="869"/>
      <c r="G129" s="772"/>
      <c r="H129" s="772"/>
      <c r="I129" s="213" t="s">
        <v>188</v>
      </c>
      <c r="J129" s="214"/>
      <c r="K129" s="870"/>
      <c r="L129" s="871"/>
      <c r="M129" s="792"/>
      <c r="N129" s="835"/>
      <c r="O129" s="836"/>
      <c r="P129" s="835"/>
      <c r="Q129" s="836"/>
      <c r="R129" s="792"/>
      <c r="S129" s="898"/>
      <c r="T129" s="792"/>
      <c r="U129" s="879"/>
      <c r="V129" s="901"/>
      <c r="W129" s="792"/>
      <c r="X129" s="792"/>
      <c r="Y129" s="904"/>
      <c r="Z129" s="1"/>
      <c r="AA129" s="1"/>
      <c r="AB129" s="1"/>
      <c r="AC129" s="1"/>
      <c r="AD129" s="1"/>
      <c r="AE129" s="1"/>
      <c r="AF129" s="1"/>
      <c r="AG129" s="1"/>
      <c r="AH129" s="1"/>
      <c r="AI129" s="1"/>
      <c r="AJ129" s="1"/>
      <c r="AK129" s="1"/>
      <c r="AL129" s="1"/>
      <c r="AM129" s="1"/>
      <c r="AN129" s="1"/>
    </row>
    <row r="130" spans="1:40" hidden="1" outlineLevel="1">
      <c r="A130" s="127"/>
      <c r="B130" s="773"/>
      <c r="C130" s="877"/>
      <c r="D130" s="880"/>
      <c r="E130" s="801"/>
      <c r="F130" s="802"/>
      <c r="G130" s="781"/>
      <c r="H130" s="781"/>
      <c r="I130" s="215" t="s">
        <v>189</v>
      </c>
      <c r="J130" s="216"/>
      <c r="K130" s="872"/>
      <c r="L130" s="873"/>
      <c r="M130" s="793"/>
      <c r="N130" s="837"/>
      <c r="O130" s="838"/>
      <c r="P130" s="837"/>
      <c r="Q130" s="838"/>
      <c r="R130" s="793"/>
      <c r="S130" s="899"/>
      <c r="T130" s="793"/>
      <c r="U130" s="880"/>
      <c r="V130" s="902"/>
      <c r="W130" s="793"/>
      <c r="X130" s="793"/>
      <c r="Y130" s="905"/>
      <c r="Z130" s="1"/>
      <c r="AA130" s="1"/>
      <c r="AB130" s="1"/>
      <c r="AC130" s="1"/>
      <c r="AD130" s="1"/>
      <c r="AE130" s="1"/>
      <c r="AF130" s="1"/>
      <c r="AG130" s="1"/>
      <c r="AH130" s="1"/>
      <c r="AI130" s="1"/>
      <c r="AJ130" s="1"/>
      <c r="AK130" s="1"/>
      <c r="AL130" s="1"/>
      <c r="AM130" s="1"/>
      <c r="AN130" s="1"/>
    </row>
    <row r="131" spans="1:40" ht="15.6" hidden="1" customHeight="1" outlineLevel="1" thickBot="1">
      <c r="A131" s="127"/>
      <c r="B131" s="773"/>
      <c r="C131" s="878"/>
      <c r="D131" s="881"/>
      <c r="E131" s="866"/>
      <c r="F131" s="867"/>
      <c r="G131" s="782"/>
      <c r="H131" s="782"/>
      <c r="I131" s="217" t="s">
        <v>190</v>
      </c>
      <c r="J131" s="218"/>
      <c r="K131" s="874"/>
      <c r="L131" s="875"/>
      <c r="M131" s="794"/>
      <c r="N131" s="863"/>
      <c r="O131" s="864"/>
      <c r="P131" s="863"/>
      <c r="Q131" s="864"/>
      <c r="R131" s="794"/>
      <c r="S131" s="900"/>
      <c r="T131" s="794"/>
      <c r="U131" s="881"/>
      <c r="V131" s="903"/>
      <c r="W131" s="794"/>
      <c r="X131" s="794"/>
      <c r="Y131" s="906"/>
      <c r="Z131" s="1"/>
      <c r="AA131" s="1"/>
      <c r="AB131" s="1"/>
      <c r="AC131" s="1"/>
      <c r="AD131" s="1"/>
      <c r="AE131" s="1"/>
      <c r="AF131" s="1"/>
      <c r="AG131" s="1"/>
      <c r="AH131" s="1"/>
      <c r="AI131" s="1"/>
      <c r="AJ131" s="1"/>
      <c r="AK131" s="1"/>
      <c r="AL131" s="1"/>
      <c r="AM131" s="1"/>
      <c r="AN131" s="1"/>
    </row>
    <row r="132" spans="1:40" ht="15" hidden="1" outlineLevel="1" thickTop="1">
      <c r="A132" s="127"/>
      <c r="B132" s="773"/>
      <c r="C132" s="876"/>
      <c r="D132" s="879"/>
      <c r="E132" s="868"/>
      <c r="F132" s="869"/>
      <c r="G132" s="772"/>
      <c r="H132" s="772"/>
      <c r="I132" s="213" t="s">
        <v>188</v>
      </c>
      <c r="J132" s="214"/>
      <c r="K132" s="870"/>
      <c r="L132" s="871"/>
      <c r="M132" s="792"/>
      <c r="N132" s="835"/>
      <c r="O132" s="836"/>
      <c r="P132" s="835"/>
      <c r="Q132" s="836"/>
      <c r="R132" s="792"/>
      <c r="S132" s="898"/>
      <c r="T132" s="792"/>
      <c r="U132" s="879"/>
      <c r="V132" s="901"/>
      <c r="W132" s="792"/>
      <c r="X132" s="792"/>
      <c r="Y132" s="904"/>
      <c r="Z132" s="1"/>
      <c r="AA132" s="1"/>
      <c r="AB132" s="1"/>
      <c r="AC132" s="1"/>
      <c r="AD132" s="1"/>
      <c r="AE132" s="1"/>
      <c r="AF132" s="1"/>
      <c r="AG132" s="1"/>
      <c r="AH132" s="1"/>
      <c r="AI132" s="1"/>
      <c r="AJ132" s="1"/>
      <c r="AK132" s="1"/>
      <c r="AL132" s="1"/>
      <c r="AM132" s="1"/>
      <c r="AN132" s="1"/>
    </row>
    <row r="133" spans="1:40" hidden="1" outlineLevel="1">
      <c r="A133" s="127"/>
      <c r="B133" s="773"/>
      <c r="C133" s="877"/>
      <c r="D133" s="880"/>
      <c r="E133" s="801"/>
      <c r="F133" s="802"/>
      <c r="G133" s="781"/>
      <c r="H133" s="781"/>
      <c r="I133" s="215" t="s">
        <v>189</v>
      </c>
      <c r="J133" s="216"/>
      <c r="K133" s="872"/>
      <c r="L133" s="873"/>
      <c r="M133" s="793"/>
      <c r="N133" s="837"/>
      <c r="O133" s="838"/>
      <c r="P133" s="837"/>
      <c r="Q133" s="838"/>
      <c r="R133" s="793"/>
      <c r="S133" s="899"/>
      <c r="T133" s="793"/>
      <c r="U133" s="880"/>
      <c r="V133" s="902"/>
      <c r="W133" s="793"/>
      <c r="X133" s="793"/>
      <c r="Y133" s="905"/>
      <c r="Z133" s="1"/>
      <c r="AA133" s="1"/>
      <c r="AB133" s="1"/>
      <c r="AC133" s="1"/>
      <c r="AD133" s="1"/>
      <c r="AE133" s="1"/>
      <c r="AF133" s="1"/>
      <c r="AG133" s="1"/>
      <c r="AH133" s="1"/>
      <c r="AI133" s="1"/>
      <c r="AJ133" s="1"/>
      <c r="AK133" s="1"/>
      <c r="AL133" s="1"/>
      <c r="AM133" s="1"/>
      <c r="AN133" s="1"/>
    </row>
    <row r="134" spans="1:40" ht="15.6" hidden="1" customHeight="1" outlineLevel="1" thickBot="1">
      <c r="A134" s="127"/>
      <c r="B134" s="773"/>
      <c r="C134" s="878"/>
      <c r="D134" s="881"/>
      <c r="E134" s="866"/>
      <c r="F134" s="867"/>
      <c r="G134" s="782"/>
      <c r="H134" s="782"/>
      <c r="I134" s="217" t="s">
        <v>190</v>
      </c>
      <c r="J134" s="218"/>
      <c r="K134" s="874"/>
      <c r="L134" s="875"/>
      <c r="M134" s="794"/>
      <c r="N134" s="863"/>
      <c r="O134" s="864"/>
      <c r="P134" s="863"/>
      <c r="Q134" s="864"/>
      <c r="R134" s="794"/>
      <c r="S134" s="900"/>
      <c r="T134" s="794"/>
      <c r="U134" s="881"/>
      <c r="V134" s="903"/>
      <c r="W134" s="794"/>
      <c r="X134" s="794"/>
      <c r="Y134" s="906"/>
      <c r="Z134" s="1"/>
      <c r="AA134" s="1"/>
      <c r="AB134" s="1"/>
      <c r="AC134" s="1"/>
      <c r="AD134" s="1"/>
      <c r="AE134" s="1"/>
      <c r="AF134" s="1"/>
      <c r="AG134" s="1"/>
      <c r="AH134" s="1"/>
      <c r="AI134" s="1"/>
      <c r="AJ134" s="1"/>
      <c r="AK134" s="1"/>
      <c r="AL134" s="1"/>
      <c r="AM134" s="1"/>
      <c r="AN134" s="1"/>
    </row>
    <row r="135" spans="1:40" ht="15" hidden="1" outlineLevel="1" thickTop="1">
      <c r="A135" s="127"/>
      <c r="B135" s="773"/>
      <c r="C135" s="876"/>
      <c r="D135" s="879"/>
      <c r="E135" s="868"/>
      <c r="F135" s="869"/>
      <c r="G135" s="772"/>
      <c r="H135" s="772"/>
      <c r="I135" s="213" t="s">
        <v>188</v>
      </c>
      <c r="J135" s="214"/>
      <c r="K135" s="870"/>
      <c r="L135" s="871"/>
      <c r="M135" s="792"/>
      <c r="N135" s="835"/>
      <c r="O135" s="836"/>
      <c r="P135" s="835"/>
      <c r="Q135" s="836"/>
      <c r="R135" s="792"/>
      <c r="S135" s="898"/>
      <c r="T135" s="792"/>
      <c r="U135" s="879"/>
      <c r="V135" s="901"/>
      <c r="W135" s="792"/>
      <c r="X135" s="792"/>
      <c r="Y135" s="904"/>
      <c r="Z135" s="1"/>
      <c r="AA135" s="1"/>
      <c r="AB135" s="1"/>
      <c r="AC135" s="1"/>
      <c r="AD135" s="1"/>
      <c r="AE135" s="1"/>
      <c r="AF135" s="1"/>
      <c r="AG135" s="1"/>
      <c r="AH135" s="1"/>
      <c r="AI135" s="1"/>
      <c r="AJ135" s="1"/>
      <c r="AK135" s="1"/>
      <c r="AL135" s="1"/>
      <c r="AM135" s="1"/>
      <c r="AN135" s="1"/>
    </row>
    <row r="136" spans="1:40" hidden="1" outlineLevel="1">
      <c r="A136" s="127"/>
      <c r="B136" s="773"/>
      <c r="C136" s="877"/>
      <c r="D136" s="880"/>
      <c r="E136" s="801"/>
      <c r="F136" s="802"/>
      <c r="G136" s="781"/>
      <c r="H136" s="781"/>
      <c r="I136" s="215" t="s">
        <v>189</v>
      </c>
      <c r="J136" s="216"/>
      <c r="K136" s="872"/>
      <c r="L136" s="873"/>
      <c r="M136" s="793"/>
      <c r="N136" s="837"/>
      <c r="O136" s="838"/>
      <c r="P136" s="837"/>
      <c r="Q136" s="838"/>
      <c r="R136" s="793"/>
      <c r="S136" s="899"/>
      <c r="T136" s="793"/>
      <c r="U136" s="880"/>
      <c r="V136" s="902"/>
      <c r="W136" s="793"/>
      <c r="X136" s="793"/>
      <c r="Y136" s="905"/>
      <c r="Z136" s="1"/>
      <c r="AA136" s="1"/>
      <c r="AB136" s="1"/>
      <c r="AC136" s="1"/>
      <c r="AD136" s="1"/>
      <c r="AE136" s="1"/>
      <c r="AF136" s="1"/>
      <c r="AG136" s="1"/>
      <c r="AH136" s="1"/>
      <c r="AI136" s="1"/>
      <c r="AJ136" s="1"/>
      <c r="AK136" s="1"/>
      <c r="AL136" s="1"/>
      <c r="AM136" s="1"/>
      <c r="AN136" s="1"/>
    </row>
    <row r="137" spans="1:40" ht="15.6" hidden="1" customHeight="1" outlineLevel="1" thickBot="1">
      <c r="A137" s="127"/>
      <c r="B137" s="773"/>
      <c r="C137" s="878"/>
      <c r="D137" s="881"/>
      <c r="E137" s="866"/>
      <c r="F137" s="867"/>
      <c r="G137" s="782"/>
      <c r="H137" s="782"/>
      <c r="I137" s="217" t="s">
        <v>190</v>
      </c>
      <c r="J137" s="218"/>
      <c r="K137" s="874"/>
      <c r="L137" s="875"/>
      <c r="M137" s="794"/>
      <c r="N137" s="863"/>
      <c r="O137" s="864"/>
      <c r="P137" s="863"/>
      <c r="Q137" s="864"/>
      <c r="R137" s="794"/>
      <c r="S137" s="900"/>
      <c r="T137" s="794"/>
      <c r="U137" s="881"/>
      <c r="V137" s="903"/>
      <c r="W137" s="794"/>
      <c r="X137" s="794"/>
      <c r="Y137" s="906"/>
      <c r="Z137" s="1"/>
      <c r="AA137" s="1"/>
      <c r="AB137" s="1"/>
      <c r="AC137" s="1"/>
      <c r="AD137" s="1"/>
      <c r="AE137" s="1"/>
      <c r="AF137" s="1"/>
      <c r="AG137" s="1"/>
      <c r="AH137" s="1"/>
      <c r="AI137" s="1"/>
      <c r="AJ137" s="1"/>
      <c r="AK137" s="1"/>
      <c r="AL137" s="1"/>
      <c r="AM137" s="1"/>
      <c r="AN137" s="1"/>
    </row>
    <row r="138" spans="1:40" ht="15" hidden="1" outlineLevel="1" thickTop="1">
      <c r="A138" s="127"/>
      <c r="B138" s="773"/>
      <c r="C138" s="876"/>
      <c r="D138" s="879"/>
      <c r="E138" s="868"/>
      <c r="F138" s="869"/>
      <c r="G138" s="772"/>
      <c r="H138" s="772"/>
      <c r="I138" s="213" t="s">
        <v>188</v>
      </c>
      <c r="J138" s="214"/>
      <c r="K138" s="870"/>
      <c r="L138" s="871"/>
      <c r="M138" s="792"/>
      <c r="N138" s="835"/>
      <c r="O138" s="836"/>
      <c r="P138" s="835"/>
      <c r="Q138" s="836"/>
      <c r="R138" s="792"/>
      <c r="S138" s="898"/>
      <c r="T138" s="792"/>
      <c r="U138" s="879"/>
      <c r="V138" s="901"/>
      <c r="W138" s="792"/>
      <c r="X138" s="792"/>
      <c r="Y138" s="904"/>
      <c r="Z138" s="1"/>
      <c r="AA138" s="1"/>
      <c r="AB138" s="1"/>
      <c r="AC138" s="1"/>
      <c r="AD138" s="1"/>
      <c r="AE138" s="1"/>
      <c r="AF138" s="1"/>
      <c r="AG138" s="1"/>
      <c r="AH138" s="1"/>
      <c r="AI138" s="1"/>
      <c r="AJ138" s="1"/>
      <c r="AK138" s="1"/>
      <c r="AL138" s="1"/>
      <c r="AM138" s="1"/>
      <c r="AN138" s="1"/>
    </row>
    <row r="139" spans="1:40" hidden="1" outlineLevel="1">
      <c r="A139" s="127"/>
      <c r="B139" s="773"/>
      <c r="C139" s="877"/>
      <c r="D139" s="880"/>
      <c r="E139" s="801"/>
      <c r="F139" s="802"/>
      <c r="G139" s="781"/>
      <c r="H139" s="781"/>
      <c r="I139" s="215" t="s">
        <v>189</v>
      </c>
      <c r="J139" s="216"/>
      <c r="K139" s="872"/>
      <c r="L139" s="873"/>
      <c r="M139" s="793"/>
      <c r="N139" s="837"/>
      <c r="O139" s="838"/>
      <c r="P139" s="837"/>
      <c r="Q139" s="838"/>
      <c r="R139" s="793"/>
      <c r="S139" s="899"/>
      <c r="T139" s="793"/>
      <c r="U139" s="880"/>
      <c r="V139" s="902"/>
      <c r="W139" s="793"/>
      <c r="X139" s="793"/>
      <c r="Y139" s="905"/>
      <c r="Z139" s="1"/>
      <c r="AA139" s="1"/>
      <c r="AB139" s="1"/>
      <c r="AC139" s="1"/>
      <c r="AD139" s="1"/>
      <c r="AE139" s="1"/>
      <c r="AF139" s="1"/>
      <c r="AG139" s="1"/>
      <c r="AH139" s="1"/>
      <c r="AI139" s="1"/>
      <c r="AJ139" s="1"/>
      <c r="AK139" s="1"/>
      <c r="AL139" s="1"/>
      <c r="AM139" s="1"/>
      <c r="AN139" s="1"/>
    </row>
    <row r="140" spans="1:40" ht="15.6" hidden="1" customHeight="1" outlineLevel="1" thickBot="1">
      <c r="A140" s="127"/>
      <c r="B140" s="773"/>
      <c r="C140" s="878"/>
      <c r="D140" s="881"/>
      <c r="E140" s="866"/>
      <c r="F140" s="867"/>
      <c r="G140" s="782"/>
      <c r="H140" s="782"/>
      <c r="I140" s="217" t="s">
        <v>190</v>
      </c>
      <c r="J140" s="218"/>
      <c r="K140" s="874"/>
      <c r="L140" s="875"/>
      <c r="M140" s="794"/>
      <c r="N140" s="863"/>
      <c r="O140" s="864"/>
      <c r="P140" s="863"/>
      <c r="Q140" s="864"/>
      <c r="R140" s="794"/>
      <c r="S140" s="900"/>
      <c r="T140" s="794"/>
      <c r="U140" s="881"/>
      <c r="V140" s="903"/>
      <c r="W140" s="794"/>
      <c r="X140" s="794"/>
      <c r="Y140" s="906"/>
      <c r="Z140" s="1"/>
      <c r="AA140" s="1"/>
      <c r="AB140" s="1"/>
      <c r="AC140" s="1"/>
      <c r="AD140" s="1"/>
      <c r="AE140" s="1"/>
      <c r="AF140" s="1"/>
      <c r="AG140" s="1"/>
      <c r="AH140" s="1"/>
      <c r="AI140" s="1"/>
      <c r="AJ140" s="1"/>
      <c r="AK140" s="1"/>
      <c r="AL140" s="1"/>
      <c r="AM140" s="1"/>
      <c r="AN140" s="1"/>
    </row>
    <row r="141" spans="1:40" ht="15" hidden="1" outlineLevel="1" thickTop="1">
      <c r="A141" s="127"/>
      <c r="B141" s="773"/>
      <c r="C141" s="876"/>
      <c r="D141" s="879"/>
      <c r="E141" s="868"/>
      <c r="F141" s="869"/>
      <c r="G141" s="772"/>
      <c r="H141" s="772"/>
      <c r="I141" s="213" t="s">
        <v>188</v>
      </c>
      <c r="J141" s="214"/>
      <c r="K141" s="870"/>
      <c r="L141" s="871"/>
      <c r="M141" s="792"/>
      <c r="N141" s="835"/>
      <c r="O141" s="836"/>
      <c r="P141" s="835"/>
      <c r="Q141" s="836"/>
      <c r="R141" s="792"/>
      <c r="S141" s="898"/>
      <c r="T141" s="792"/>
      <c r="U141" s="879"/>
      <c r="V141" s="901"/>
      <c r="W141" s="792"/>
      <c r="X141" s="792"/>
      <c r="Y141" s="904"/>
      <c r="Z141" s="1"/>
      <c r="AA141" s="1"/>
      <c r="AB141" s="1"/>
      <c r="AC141" s="1"/>
      <c r="AD141" s="1"/>
      <c r="AE141" s="1"/>
      <c r="AF141" s="1"/>
      <c r="AG141" s="1"/>
      <c r="AH141" s="1"/>
      <c r="AI141" s="1"/>
      <c r="AJ141" s="1"/>
      <c r="AK141" s="1"/>
      <c r="AL141" s="1"/>
      <c r="AM141" s="1"/>
      <c r="AN141" s="1"/>
    </row>
    <row r="142" spans="1:40" hidden="1" outlineLevel="1">
      <c r="A142" s="127"/>
      <c r="B142" s="773"/>
      <c r="C142" s="877"/>
      <c r="D142" s="880"/>
      <c r="E142" s="801"/>
      <c r="F142" s="802"/>
      <c r="G142" s="781"/>
      <c r="H142" s="781"/>
      <c r="I142" s="215" t="s">
        <v>189</v>
      </c>
      <c r="J142" s="216"/>
      <c r="K142" s="872"/>
      <c r="L142" s="873"/>
      <c r="M142" s="793"/>
      <c r="N142" s="837"/>
      <c r="O142" s="838"/>
      <c r="P142" s="837"/>
      <c r="Q142" s="838"/>
      <c r="R142" s="793"/>
      <c r="S142" s="899"/>
      <c r="T142" s="793"/>
      <c r="U142" s="880"/>
      <c r="V142" s="902"/>
      <c r="W142" s="793"/>
      <c r="X142" s="793"/>
      <c r="Y142" s="905"/>
      <c r="Z142" s="1"/>
      <c r="AA142" s="1"/>
      <c r="AB142" s="1"/>
      <c r="AC142" s="1"/>
      <c r="AD142" s="1"/>
      <c r="AE142" s="1"/>
      <c r="AF142" s="1"/>
      <c r="AG142" s="1"/>
      <c r="AH142" s="1"/>
      <c r="AI142" s="1"/>
      <c r="AJ142" s="1"/>
      <c r="AK142" s="1"/>
      <c r="AL142" s="1"/>
      <c r="AM142" s="1"/>
      <c r="AN142" s="1"/>
    </row>
    <row r="143" spans="1:40" ht="15.6" hidden="1" customHeight="1" outlineLevel="1" thickBot="1">
      <c r="A143" s="127"/>
      <c r="B143" s="773"/>
      <c r="C143" s="878"/>
      <c r="D143" s="881"/>
      <c r="E143" s="866"/>
      <c r="F143" s="867"/>
      <c r="G143" s="782"/>
      <c r="H143" s="782"/>
      <c r="I143" s="217" t="s">
        <v>190</v>
      </c>
      <c r="J143" s="218"/>
      <c r="K143" s="874"/>
      <c r="L143" s="875"/>
      <c r="M143" s="794"/>
      <c r="N143" s="863"/>
      <c r="O143" s="864"/>
      <c r="P143" s="863"/>
      <c r="Q143" s="864"/>
      <c r="R143" s="794"/>
      <c r="S143" s="900"/>
      <c r="T143" s="794"/>
      <c r="U143" s="881"/>
      <c r="V143" s="903"/>
      <c r="W143" s="794"/>
      <c r="X143" s="794"/>
      <c r="Y143" s="906"/>
      <c r="Z143" s="1"/>
      <c r="AA143" s="1"/>
      <c r="AB143" s="1"/>
      <c r="AC143" s="1"/>
      <c r="AD143" s="1"/>
      <c r="AE143" s="1"/>
      <c r="AF143" s="1"/>
      <c r="AG143" s="1"/>
      <c r="AH143" s="1"/>
      <c r="AI143" s="1"/>
      <c r="AJ143" s="1"/>
      <c r="AK143" s="1"/>
      <c r="AL143" s="1"/>
      <c r="AM143" s="1"/>
      <c r="AN143" s="1"/>
    </row>
    <row r="144" spans="1:40" ht="15" hidden="1" outlineLevel="1" thickTop="1">
      <c r="A144" s="127"/>
      <c r="B144" s="773"/>
      <c r="C144" s="876"/>
      <c r="D144" s="879"/>
      <c r="E144" s="868"/>
      <c r="F144" s="869"/>
      <c r="G144" s="772"/>
      <c r="H144" s="772"/>
      <c r="I144" s="213" t="s">
        <v>188</v>
      </c>
      <c r="J144" s="214"/>
      <c r="K144" s="870"/>
      <c r="L144" s="871"/>
      <c r="M144" s="792"/>
      <c r="N144" s="835"/>
      <c r="O144" s="836"/>
      <c r="P144" s="835"/>
      <c r="Q144" s="836"/>
      <c r="R144" s="792"/>
      <c r="S144" s="898"/>
      <c r="T144" s="792"/>
      <c r="U144" s="879"/>
      <c r="V144" s="901"/>
      <c r="W144" s="792"/>
      <c r="X144" s="792"/>
      <c r="Y144" s="904"/>
      <c r="Z144" s="1"/>
      <c r="AA144" s="1"/>
      <c r="AB144" s="1"/>
      <c r="AC144" s="1"/>
      <c r="AD144" s="1"/>
      <c r="AE144" s="1"/>
      <c r="AF144" s="1"/>
      <c r="AG144" s="1"/>
      <c r="AH144" s="1"/>
      <c r="AI144" s="1"/>
      <c r="AJ144" s="1"/>
      <c r="AK144" s="1"/>
      <c r="AL144" s="1"/>
      <c r="AM144" s="1"/>
      <c r="AN144" s="1"/>
    </row>
    <row r="145" spans="1:40" hidden="1" outlineLevel="1">
      <c r="A145" s="127"/>
      <c r="B145" s="773"/>
      <c r="C145" s="877"/>
      <c r="D145" s="880"/>
      <c r="E145" s="801"/>
      <c r="F145" s="802"/>
      <c r="G145" s="781"/>
      <c r="H145" s="781"/>
      <c r="I145" s="215" t="s">
        <v>189</v>
      </c>
      <c r="J145" s="216"/>
      <c r="K145" s="872"/>
      <c r="L145" s="873"/>
      <c r="M145" s="793"/>
      <c r="N145" s="837"/>
      <c r="O145" s="838"/>
      <c r="P145" s="837"/>
      <c r="Q145" s="838"/>
      <c r="R145" s="793"/>
      <c r="S145" s="899"/>
      <c r="T145" s="793"/>
      <c r="U145" s="880"/>
      <c r="V145" s="902"/>
      <c r="W145" s="793"/>
      <c r="X145" s="793"/>
      <c r="Y145" s="905"/>
      <c r="Z145" s="1"/>
      <c r="AA145" s="1"/>
      <c r="AB145" s="1"/>
      <c r="AC145" s="1"/>
      <c r="AD145" s="1"/>
      <c r="AE145" s="1"/>
      <c r="AF145" s="1"/>
      <c r="AG145" s="1"/>
      <c r="AH145" s="1"/>
      <c r="AI145" s="1"/>
      <c r="AJ145" s="1"/>
      <c r="AK145" s="1"/>
      <c r="AL145" s="1"/>
      <c r="AM145" s="1"/>
      <c r="AN145" s="1"/>
    </row>
    <row r="146" spans="1:40" ht="15.6" hidden="1" customHeight="1" outlineLevel="1" thickBot="1">
      <c r="A146" s="127"/>
      <c r="B146" s="773"/>
      <c r="C146" s="878"/>
      <c r="D146" s="881"/>
      <c r="E146" s="866"/>
      <c r="F146" s="867"/>
      <c r="G146" s="782"/>
      <c r="H146" s="782"/>
      <c r="I146" s="217" t="s">
        <v>190</v>
      </c>
      <c r="J146" s="218"/>
      <c r="K146" s="874"/>
      <c r="L146" s="875"/>
      <c r="M146" s="794"/>
      <c r="N146" s="863"/>
      <c r="O146" s="864"/>
      <c r="P146" s="863"/>
      <c r="Q146" s="864"/>
      <c r="R146" s="794"/>
      <c r="S146" s="900"/>
      <c r="T146" s="794"/>
      <c r="U146" s="881"/>
      <c r="V146" s="903"/>
      <c r="W146" s="794"/>
      <c r="X146" s="794"/>
      <c r="Y146" s="906"/>
      <c r="Z146" s="1"/>
      <c r="AA146" s="1"/>
      <c r="AB146" s="1"/>
      <c r="AC146" s="1"/>
      <c r="AD146" s="1"/>
      <c r="AE146" s="1"/>
      <c r="AF146" s="1"/>
      <c r="AG146" s="1"/>
      <c r="AH146" s="1"/>
      <c r="AI146" s="1"/>
      <c r="AJ146" s="1"/>
      <c r="AK146" s="1"/>
      <c r="AL146" s="1"/>
      <c r="AM146" s="1"/>
      <c r="AN146" s="1"/>
    </row>
    <row r="147" spans="1:40" ht="15" hidden="1" outlineLevel="1" thickTop="1">
      <c r="A147" s="127"/>
      <c r="B147" s="773"/>
      <c r="C147" s="876"/>
      <c r="D147" s="879"/>
      <c r="E147" s="868"/>
      <c r="F147" s="869"/>
      <c r="G147" s="772"/>
      <c r="H147" s="772"/>
      <c r="I147" s="213" t="s">
        <v>188</v>
      </c>
      <c r="J147" s="214"/>
      <c r="K147" s="870"/>
      <c r="L147" s="871"/>
      <c r="M147" s="792"/>
      <c r="N147" s="835"/>
      <c r="O147" s="836"/>
      <c r="P147" s="835"/>
      <c r="Q147" s="836"/>
      <c r="R147" s="792"/>
      <c r="S147" s="898"/>
      <c r="T147" s="792"/>
      <c r="U147" s="879"/>
      <c r="V147" s="901"/>
      <c r="W147" s="792"/>
      <c r="X147" s="792"/>
      <c r="Y147" s="904"/>
      <c r="Z147" s="1"/>
      <c r="AA147" s="1"/>
      <c r="AB147" s="1"/>
      <c r="AC147" s="1"/>
      <c r="AD147" s="1"/>
      <c r="AE147" s="1"/>
      <c r="AF147" s="1"/>
      <c r="AG147" s="1"/>
      <c r="AH147" s="1"/>
      <c r="AI147" s="1"/>
      <c r="AJ147" s="1"/>
      <c r="AK147" s="1"/>
      <c r="AL147" s="1"/>
      <c r="AM147" s="1"/>
      <c r="AN147" s="1"/>
    </row>
    <row r="148" spans="1:40" hidden="1" outlineLevel="1">
      <c r="A148" s="127"/>
      <c r="B148" s="773"/>
      <c r="C148" s="877"/>
      <c r="D148" s="880"/>
      <c r="E148" s="801"/>
      <c r="F148" s="802"/>
      <c r="G148" s="781"/>
      <c r="H148" s="781"/>
      <c r="I148" s="215" t="s">
        <v>189</v>
      </c>
      <c r="J148" s="216"/>
      <c r="K148" s="872"/>
      <c r="L148" s="873"/>
      <c r="M148" s="793"/>
      <c r="N148" s="837"/>
      <c r="O148" s="838"/>
      <c r="P148" s="837"/>
      <c r="Q148" s="838"/>
      <c r="R148" s="793"/>
      <c r="S148" s="899"/>
      <c r="T148" s="793"/>
      <c r="U148" s="880"/>
      <c r="V148" s="902"/>
      <c r="W148" s="793"/>
      <c r="X148" s="793"/>
      <c r="Y148" s="905"/>
      <c r="Z148" s="1"/>
      <c r="AA148" s="1"/>
      <c r="AB148" s="1"/>
      <c r="AC148" s="1"/>
      <c r="AD148" s="1"/>
      <c r="AE148" s="1"/>
      <c r="AF148" s="1"/>
      <c r="AG148" s="1"/>
      <c r="AH148" s="1"/>
      <c r="AI148" s="1"/>
      <c r="AJ148" s="1"/>
      <c r="AK148" s="1"/>
      <c r="AL148" s="1"/>
      <c r="AM148" s="1"/>
      <c r="AN148" s="1"/>
    </row>
    <row r="149" spans="1:40" ht="15.6" hidden="1" customHeight="1" outlineLevel="1" thickBot="1">
      <c r="A149" s="127"/>
      <c r="B149" s="773"/>
      <c r="C149" s="878"/>
      <c r="D149" s="881"/>
      <c r="E149" s="866"/>
      <c r="F149" s="867"/>
      <c r="G149" s="782"/>
      <c r="H149" s="782"/>
      <c r="I149" s="217" t="s">
        <v>190</v>
      </c>
      <c r="J149" s="218"/>
      <c r="K149" s="874"/>
      <c r="L149" s="875"/>
      <c r="M149" s="794"/>
      <c r="N149" s="863"/>
      <c r="O149" s="864"/>
      <c r="P149" s="863"/>
      <c r="Q149" s="864"/>
      <c r="R149" s="794"/>
      <c r="S149" s="900"/>
      <c r="T149" s="794"/>
      <c r="U149" s="881"/>
      <c r="V149" s="903"/>
      <c r="W149" s="794"/>
      <c r="X149" s="794"/>
      <c r="Y149" s="906"/>
      <c r="Z149" s="1"/>
      <c r="AA149" s="1"/>
      <c r="AB149" s="1"/>
      <c r="AC149" s="1"/>
      <c r="AD149" s="1"/>
      <c r="AE149" s="1"/>
      <c r="AF149" s="1"/>
      <c r="AG149" s="1"/>
      <c r="AH149" s="1"/>
      <c r="AI149" s="1"/>
      <c r="AJ149" s="1"/>
      <c r="AK149" s="1"/>
      <c r="AL149" s="1"/>
      <c r="AM149" s="1"/>
      <c r="AN149" s="1"/>
    </row>
    <row r="150" spans="1:40" ht="15" hidden="1" outlineLevel="1" thickTop="1">
      <c r="A150" s="127"/>
      <c r="B150" s="773"/>
      <c r="C150" s="876"/>
      <c r="D150" s="879"/>
      <c r="E150" s="868"/>
      <c r="F150" s="869"/>
      <c r="G150" s="772"/>
      <c r="H150" s="772"/>
      <c r="I150" s="213" t="s">
        <v>188</v>
      </c>
      <c r="J150" s="214"/>
      <c r="K150" s="870"/>
      <c r="L150" s="871"/>
      <c r="M150" s="792"/>
      <c r="N150" s="835"/>
      <c r="O150" s="836"/>
      <c r="P150" s="835"/>
      <c r="Q150" s="836"/>
      <c r="R150" s="792"/>
      <c r="S150" s="898"/>
      <c r="T150" s="792"/>
      <c r="U150" s="879"/>
      <c r="V150" s="901"/>
      <c r="W150" s="792"/>
      <c r="X150" s="792"/>
      <c r="Y150" s="904"/>
      <c r="Z150" s="1"/>
      <c r="AA150" s="1"/>
      <c r="AB150" s="1"/>
      <c r="AC150" s="1"/>
      <c r="AD150" s="1"/>
      <c r="AE150" s="1"/>
      <c r="AF150" s="1"/>
      <c r="AG150" s="1"/>
      <c r="AH150" s="1"/>
      <c r="AI150" s="1"/>
      <c r="AJ150" s="1"/>
      <c r="AK150" s="1"/>
      <c r="AL150" s="1"/>
      <c r="AM150" s="1"/>
      <c r="AN150" s="1"/>
    </row>
    <row r="151" spans="1:40" hidden="1" outlineLevel="1">
      <c r="A151" s="127"/>
      <c r="B151" s="773"/>
      <c r="C151" s="877"/>
      <c r="D151" s="880"/>
      <c r="E151" s="801"/>
      <c r="F151" s="802"/>
      <c r="G151" s="781"/>
      <c r="H151" s="781"/>
      <c r="I151" s="215" t="s">
        <v>189</v>
      </c>
      <c r="J151" s="216"/>
      <c r="K151" s="872"/>
      <c r="L151" s="873"/>
      <c r="M151" s="793"/>
      <c r="N151" s="837"/>
      <c r="O151" s="838"/>
      <c r="P151" s="837"/>
      <c r="Q151" s="838"/>
      <c r="R151" s="793"/>
      <c r="S151" s="899"/>
      <c r="T151" s="793"/>
      <c r="U151" s="880"/>
      <c r="V151" s="902"/>
      <c r="W151" s="793"/>
      <c r="X151" s="793"/>
      <c r="Y151" s="905"/>
      <c r="Z151" s="1"/>
      <c r="AA151" s="1"/>
      <c r="AB151" s="1"/>
      <c r="AC151" s="1"/>
      <c r="AD151" s="1"/>
      <c r="AE151" s="1"/>
      <c r="AF151" s="1"/>
      <c r="AG151" s="1"/>
      <c r="AH151" s="1"/>
      <c r="AI151" s="1"/>
      <c r="AJ151" s="1"/>
      <c r="AK151" s="1"/>
      <c r="AL151" s="1"/>
      <c r="AM151" s="1"/>
      <c r="AN151" s="1"/>
    </row>
    <row r="152" spans="1:40" ht="15.6" hidden="1" customHeight="1" outlineLevel="1" thickBot="1">
      <c r="A152" s="127"/>
      <c r="B152" s="773"/>
      <c r="C152" s="878"/>
      <c r="D152" s="881"/>
      <c r="E152" s="866"/>
      <c r="F152" s="867"/>
      <c r="G152" s="782"/>
      <c r="H152" s="782"/>
      <c r="I152" s="217" t="s">
        <v>190</v>
      </c>
      <c r="J152" s="218"/>
      <c r="K152" s="874"/>
      <c r="L152" s="875"/>
      <c r="M152" s="794"/>
      <c r="N152" s="863"/>
      <c r="O152" s="864"/>
      <c r="P152" s="863"/>
      <c r="Q152" s="864"/>
      <c r="R152" s="794"/>
      <c r="S152" s="900"/>
      <c r="T152" s="794"/>
      <c r="U152" s="881"/>
      <c r="V152" s="903"/>
      <c r="W152" s="794"/>
      <c r="X152" s="794"/>
      <c r="Y152" s="906"/>
      <c r="Z152" s="1"/>
      <c r="AA152" s="1"/>
      <c r="AB152" s="1"/>
      <c r="AC152" s="1"/>
      <c r="AD152" s="1"/>
      <c r="AE152" s="1"/>
      <c r="AF152" s="1"/>
      <c r="AG152" s="1"/>
      <c r="AH152" s="1"/>
      <c r="AI152" s="1"/>
      <c r="AJ152" s="1"/>
      <c r="AK152" s="1"/>
      <c r="AL152" s="1"/>
      <c r="AM152" s="1"/>
      <c r="AN152" s="1"/>
    </row>
    <row r="153" spans="1:40" ht="15" hidden="1" outlineLevel="1" thickTop="1">
      <c r="A153" s="127"/>
      <c r="B153" s="773"/>
      <c r="C153" s="876"/>
      <c r="D153" s="879"/>
      <c r="E153" s="868"/>
      <c r="F153" s="869"/>
      <c r="G153" s="772"/>
      <c r="H153" s="772"/>
      <c r="I153" s="213" t="s">
        <v>188</v>
      </c>
      <c r="J153" s="214"/>
      <c r="K153" s="870"/>
      <c r="L153" s="871"/>
      <c r="M153" s="792"/>
      <c r="N153" s="835"/>
      <c r="O153" s="836"/>
      <c r="P153" s="835"/>
      <c r="Q153" s="836"/>
      <c r="R153" s="792"/>
      <c r="S153" s="898"/>
      <c r="T153" s="792"/>
      <c r="U153" s="879"/>
      <c r="V153" s="901"/>
      <c r="W153" s="792"/>
      <c r="X153" s="792"/>
      <c r="Y153" s="904"/>
      <c r="Z153" s="1"/>
      <c r="AA153" s="1"/>
      <c r="AB153" s="1"/>
      <c r="AC153" s="1"/>
      <c r="AD153" s="1"/>
      <c r="AE153" s="1"/>
      <c r="AF153" s="1"/>
      <c r="AG153" s="1"/>
      <c r="AH153" s="1"/>
      <c r="AI153" s="1"/>
      <c r="AJ153" s="1"/>
      <c r="AK153" s="1"/>
      <c r="AL153" s="1"/>
      <c r="AM153" s="1"/>
      <c r="AN153" s="1"/>
    </row>
    <row r="154" spans="1:40" hidden="1" outlineLevel="1">
      <c r="A154" s="127"/>
      <c r="B154" s="773"/>
      <c r="C154" s="877"/>
      <c r="D154" s="880"/>
      <c r="E154" s="801"/>
      <c r="F154" s="802"/>
      <c r="G154" s="781"/>
      <c r="H154" s="781"/>
      <c r="I154" s="215" t="s">
        <v>189</v>
      </c>
      <c r="J154" s="216"/>
      <c r="K154" s="872"/>
      <c r="L154" s="873"/>
      <c r="M154" s="793"/>
      <c r="N154" s="837"/>
      <c r="O154" s="838"/>
      <c r="P154" s="837"/>
      <c r="Q154" s="838"/>
      <c r="R154" s="793"/>
      <c r="S154" s="899"/>
      <c r="T154" s="793"/>
      <c r="U154" s="880"/>
      <c r="V154" s="902"/>
      <c r="W154" s="793"/>
      <c r="X154" s="793"/>
      <c r="Y154" s="905"/>
      <c r="Z154" s="1"/>
      <c r="AA154" s="1"/>
      <c r="AB154" s="1"/>
      <c r="AC154" s="1"/>
      <c r="AD154" s="1"/>
      <c r="AE154" s="1"/>
      <c r="AF154" s="1"/>
      <c r="AG154" s="1"/>
      <c r="AH154" s="1"/>
      <c r="AI154" s="1"/>
      <c r="AJ154" s="1"/>
      <c r="AK154" s="1"/>
      <c r="AL154" s="1"/>
      <c r="AM154" s="1"/>
      <c r="AN154" s="1"/>
    </row>
    <row r="155" spans="1:40" ht="15.6" hidden="1" customHeight="1" outlineLevel="1" thickBot="1">
      <c r="A155" s="127"/>
      <c r="B155" s="773"/>
      <c r="C155" s="878"/>
      <c r="D155" s="881"/>
      <c r="E155" s="866"/>
      <c r="F155" s="867"/>
      <c r="G155" s="782"/>
      <c r="H155" s="782"/>
      <c r="I155" s="217" t="s">
        <v>190</v>
      </c>
      <c r="J155" s="218"/>
      <c r="K155" s="874"/>
      <c r="L155" s="875"/>
      <c r="M155" s="794"/>
      <c r="N155" s="863"/>
      <c r="O155" s="864"/>
      <c r="P155" s="863"/>
      <c r="Q155" s="864"/>
      <c r="R155" s="794"/>
      <c r="S155" s="900"/>
      <c r="T155" s="794"/>
      <c r="U155" s="881"/>
      <c r="V155" s="903"/>
      <c r="W155" s="794"/>
      <c r="X155" s="794"/>
      <c r="Y155" s="906"/>
      <c r="Z155" s="1"/>
      <c r="AA155" s="1"/>
      <c r="AB155" s="1"/>
      <c r="AC155" s="1"/>
      <c r="AD155" s="1"/>
      <c r="AE155" s="1"/>
      <c r="AF155" s="1"/>
      <c r="AG155" s="1"/>
      <c r="AH155" s="1"/>
      <c r="AI155" s="1"/>
      <c r="AJ155" s="1"/>
      <c r="AK155" s="1"/>
      <c r="AL155" s="1"/>
      <c r="AM155" s="1"/>
      <c r="AN155" s="1"/>
    </row>
    <row r="156" spans="1:40" ht="15" hidden="1" outlineLevel="1" thickTop="1">
      <c r="A156" s="127"/>
      <c r="B156" s="773"/>
      <c r="C156" s="876"/>
      <c r="D156" s="879"/>
      <c r="E156" s="868"/>
      <c r="F156" s="869"/>
      <c r="G156" s="772"/>
      <c r="H156" s="772"/>
      <c r="I156" s="213" t="s">
        <v>188</v>
      </c>
      <c r="J156" s="214"/>
      <c r="K156" s="870"/>
      <c r="L156" s="871"/>
      <c r="M156" s="792"/>
      <c r="N156" s="835"/>
      <c r="O156" s="836"/>
      <c r="P156" s="835"/>
      <c r="Q156" s="836"/>
      <c r="R156" s="792"/>
      <c r="S156" s="898"/>
      <c r="T156" s="792"/>
      <c r="U156" s="879"/>
      <c r="V156" s="901"/>
      <c r="W156" s="792"/>
      <c r="X156" s="792"/>
      <c r="Y156" s="904"/>
      <c r="Z156" s="1"/>
      <c r="AA156" s="1"/>
      <c r="AB156" s="1"/>
      <c r="AC156" s="1"/>
      <c r="AD156" s="1"/>
      <c r="AE156" s="1"/>
      <c r="AF156" s="1"/>
      <c r="AG156" s="1"/>
      <c r="AH156" s="1"/>
      <c r="AI156" s="1"/>
      <c r="AJ156" s="1"/>
      <c r="AK156" s="1"/>
      <c r="AL156" s="1"/>
      <c r="AM156" s="1"/>
      <c r="AN156" s="1"/>
    </row>
    <row r="157" spans="1:40" hidden="1" outlineLevel="1">
      <c r="A157" s="127"/>
      <c r="B157" s="773"/>
      <c r="C157" s="877"/>
      <c r="D157" s="880"/>
      <c r="E157" s="801"/>
      <c r="F157" s="802"/>
      <c r="G157" s="781"/>
      <c r="H157" s="781"/>
      <c r="I157" s="215" t="s">
        <v>189</v>
      </c>
      <c r="J157" s="216"/>
      <c r="K157" s="872"/>
      <c r="L157" s="873"/>
      <c r="M157" s="793"/>
      <c r="N157" s="837"/>
      <c r="O157" s="838"/>
      <c r="P157" s="837"/>
      <c r="Q157" s="838"/>
      <c r="R157" s="793"/>
      <c r="S157" s="899"/>
      <c r="T157" s="793"/>
      <c r="U157" s="880"/>
      <c r="V157" s="902"/>
      <c r="W157" s="793"/>
      <c r="X157" s="793"/>
      <c r="Y157" s="905"/>
      <c r="Z157" s="1"/>
      <c r="AA157" s="1"/>
      <c r="AB157" s="1"/>
      <c r="AC157" s="1"/>
      <c r="AD157" s="1"/>
      <c r="AE157" s="1"/>
      <c r="AF157" s="1"/>
      <c r="AG157" s="1"/>
      <c r="AH157" s="1"/>
      <c r="AI157" s="1"/>
      <c r="AJ157" s="1"/>
      <c r="AK157" s="1"/>
      <c r="AL157" s="1"/>
      <c r="AM157" s="1"/>
      <c r="AN157" s="1"/>
    </row>
    <row r="158" spans="1:40" ht="15.6" hidden="1" customHeight="1" outlineLevel="1" thickBot="1">
      <c r="A158" s="127"/>
      <c r="B158" s="773"/>
      <c r="C158" s="878"/>
      <c r="D158" s="881"/>
      <c r="E158" s="866"/>
      <c r="F158" s="867"/>
      <c r="G158" s="782"/>
      <c r="H158" s="782"/>
      <c r="I158" s="217" t="s">
        <v>190</v>
      </c>
      <c r="J158" s="218"/>
      <c r="K158" s="874"/>
      <c r="L158" s="875"/>
      <c r="M158" s="794"/>
      <c r="N158" s="863"/>
      <c r="O158" s="864"/>
      <c r="P158" s="863"/>
      <c r="Q158" s="864"/>
      <c r="R158" s="794"/>
      <c r="S158" s="900"/>
      <c r="T158" s="794"/>
      <c r="U158" s="881"/>
      <c r="V158" s="903"/>
      <c r="W158" s="794"/>
      <c r="X158" s="794"/>
      <c r="Y158" s="906"/>
      <c r="Z158" s="1"/>
      <c r="AA158" s="1"/>
      <c r="AB158" s="1"/>
      <c r="AC158" s="1"/>
      <c r="AD158" s="1"/>
      <c r="AE158" s="1"/>
      <c r="AF158" s="1"/>
      <c r="AG158" s="1"/>
      <c r="AH158" s="1"/>
      <c r="AI158" s="1"/>
      <c r="AJ158" s="1"/>
      <c r="AK158" s="1"/>
      <c r="AL158" s="1"/>
      <c r="AM158" s="1"/>
      <c r="AN158" s="1"/>
    </row>
    <row r="159" spans="1:40" ht="15" hidden="1" outlineLevel="1" thickTop="1">
      <c r="A159" s="127"/>
      <c r="B159" s="773"/>
      <c r="C159" s="876"/>
      <c r="D159" s="879"/>
      <c r="E159" s="868"/>
      <c r="F159" s="869"/>
      <c r="G159" s="772"/>
      <c r="H159" s="772"/>
      <c r="I159" s="213" t="s">
        <v>188</v>
      </c>
      <c r="J159" s="214"/>
      <c r="K159" s="870"/>
      <c r="L159" s="871"/>
      <c r="M159" s="792"/>
      <c r="N159" s="835"/>
      <c r="O159" s="836"/>
      <c r="P159" s="835"/>
      <c r="Q159" s="836"/>
      <c r="R159" s="792"/>
      <c r="S159" s="898"/>
      <c r="T159" s="792"/>
      <c r="U159" s="879"/>
      <c r="V159" s="901"/>
      <c r="W159" s="792"/>
      <c r="X159" s="792"/>
      <c r="Y159" s="904"/>
      <c r="Z159" s="1"/>
      <c r="AA159" s="1"/>
      <c r="AB159" s="1"/>
      <c r="AC159" s="1"/>
      <c r="AD159" s="1"/>
      <c r="AE159" s="1"/>
      <c r="AF159" s="1"/>
      <c r="AG159" s="1"/>
      <c r="AH159" s="1"/>
      <c r="AI159" s="1"/>
      <c r="AJ159" s="1"/>
      <c r="AK159" s="1"/>
      <c r="AL159" s="1"/>
      <c r="AM159" s="1"/>
      <c r="AN159" s="1"/>
    </row>
    <row r="160" spans="1:40" hidden="1" outlineLevel="1">
      <c r="A160" s="127"/>
      <c r="B160" s="773"/>
      <c r="C160" s="877"/>
      <c r="D160" s="880"/>
      <c r="E160" s="801"/>
      <c r="F160" s="802"/>
      <c r="G160" s="781"/>
      <c r="H160" s="781"/>
      <c r="I160" s="215" t="s">
        <v>189</v>
      </c>
      <c r="J160" s="216"/>
      <c r="K160" s="872"/>
      <c r="L160" s="873"/>
      <c r="M160" s="793"/>
      <c r="N160" s="837"/>
      <c r="O160" s="838"/>
      <c r="P160" s="837"/>
      <c r="Q160" s="838"/>
      <c r="R160" s="793"/>
      <c r="S160" s="899"/>
      <c r="T160" s="793"/>
      <c r="U160" s="880"/>
      <c r="V160" s="902"/>
      <c r="W160" s="793"/>
      <c r="X160" s="793"/>
      <c r="Y160" s="905"/>
      <c r="Z160" s="1"/>
      <c r="AA160" s="1"/>
      <c r="AB160" s="1"/>
      <c r="AC160" s="1"/>
      <c r="AD160" s="1"/>
      <c r="AE160" s="1"/>
      <c r="AF160" s="1"/>
      <c r="AG160" s="1"/>
      <c r="AH160" s="1"/>
      <c r="AI160" s="1"/>
      <c r="AJ160" s="1"/>
      <c r="AK160" s="1"/>
      <c r="AL160" s="1"/>
      <c r="AM160" s="1"/>
      <c r="AN160" s="1"/>
    </row>
    <row r="161" spans="1:40" ht="15.6" hidden="1" customHeight="1" outlineLevel="1" thickBot="1">
      <c r="A161" s="127"/>
      <c r="B161" s="773"/>
      <c r="C161" s="878"/>
      <c r="D161" s="881"/>
      <c r="E161" s="866"/>
      <c r="F161" s="867"/>
      <c r="G161" s="782"/>
      <c r="H161" s="782"/>
      <c r="I161" s="217" t="s">
        <v>190</v>
      </c>
      <c r="J161" s="218"/>
      <c r="K161" s="874"/>
      <c r="L161" s="875"/>
      <c r="M161" s="794"/>
      <c r="N161" s="863"/>
      <c r="O161" s="864"/>
      <c r="P161" s="863"/>
      <c r="Q161" s="864"/>
      <c r="R161" s="794"/>
      <c r="S161" s="900"/>
      <c r="T161" s="794"/>
      <c r="U161" s="881"/>
      <c r="V161" s="903"/>
      <c r="W161" s="794"/>
      <c r="X161" s="794"/>
      <c r="Y161" s="906"/>
      <c r="Z161" s="1"/>
      <c r="AA161" s="1"/>
      <c r="AB161" s="1"/>
      <c r="AC161" s="1"/>
      <c r="AD161" s="1"/>
      <c r="AE161" s="1"/>
      <c r="AF161" s="1"/>
      <c r="AG161" s="1"/>
      <c r="AH161" s="1"/>
      <c r="AI161" s="1"/>
      <c r="AJ161" s="1"/>
      <c r="AK161" s="1"/>
      <c r="AL161" s="1"/>
      <c r="AM161" s="1"/>
      <c r="AN161" s="1"/>
    </row>
    <row r="162" spans="1:40" ht="15" hidden="1" outlineLevel="1" thickTop="1">
      <c r="A162" s="127"/>
      <c r="B162" s="773"/>
      <c r="C162" s="876"/>
      <c r="D162" s="879"/>
      <c r="E162" s="868"/>
      <c r="F162" s="869"/>
      <c r="G162" s="772"/>
      <c r="H162" s="772"/>
      <c r="I162" s="213" t="s">
        <v>188</v>
      </c>
      <c r="J162" s="214"/>
      <c r="K162" s="870"/>
      <c r="L162" s="871"/>
      <c r="M162" s="792"/>
      <c r="N162" s="835"/>
      <c r="O162" s="836"/>
      <c r="P162" s="835"/>
      <c r="Q162" s="836"/>
      <c r="R162" s="792"/>
      <c r="S162" s="898"/>
      <c r="T162" s="792"/>
      <c r="U162" s="879"/>
      <c r="V162" s="901"/>
      <c r="W162" s="792"/>
      <c r="X162" s="792"/>
      <c r="Y162" s="904"/>
      <c r="Z162" s="1"/>
      <c r="AA162" s="1"/>
      <c r="AB162" s="1"/>
      <c r="AC162" s="1"/>
      <c r="AD162" s="1"/>
      <c r="AE162" s="1"/>
      <c r="AF162" s="1"/>
      <c r="AG162" s="1"/>
      <c r="AH162" s="1"/>
      <c r="AI162" s="1"/>
      <c r="AJ162" s="1"/>
      <c r="AK162" s="1"/>
      <c r="AL162" s="1"/>
      <c r="AM162" s="1"/>
      <c r="AN162" s="1"/>
    </row>
    <row r="163" spans="1:40" hidden="1" outlineLevel="1">
      <c r="A163" s="127"/>
      <c r="B163" s="773"/>
      <c r="C163" s="877"/>
      <c r="D163" s="880"/>
      <c r="E163" s="801"/>
      <c r="F163" s="802"/>
      <c r="G163" s="781"/>
      <c r="H163" s="781"/>
      <c r="I163" s="215" t="s">
        <v>189</v>
      </c>
      <c r="J163" s="216"/>
      <c r="K163" s="872"/>
      <c r="L163" s="873"/>
      <c r="M163" s="793"/>
      <c r="N163" s="837"/>
      <c r="O163" s="838"/>
      <c r="P163" s="837"/>
      <c r="Q163" s="838"/>
      <c r="R163" s="793"/>
      <c r="S163" s="899"/>
      <c r="T163" s="793"/>
      <c r="U163" s="880"/>
      <c r="V163" s="902"/>
      <c r="W163" s="793"/>
      <c r="X163" s="793"/>
      <c r="Y163" s="905"/>
      <c r="Z163" s="1"/>
      <c r="AA163" s="1"/>
      <c r="AB163" s="1"/>
      <c r="AC163" s="1"/>
      <c r="AD163" s="1"/>
      <c r="AE163" s="1"/>
      <c r="AF163" s="1"/>
      <c r="AG163" s="1"/>
      <c r="AH163" s="1"/>
      <c r="AI163" s="1"/>
      <c r="AJ163" s="1"/>
      <c r="AK163" s="1"/>
      <c r="AL163" s="1"/>
      <c r="AM163" s="1"/>
      <c r="AN163" s="1"/>
    </row>
    <row r="164" spans="1:40" ht="15.6" hidden="1" customHeight="1" outlineLevel="1" thickBot="1">
      <c r="A164" s="127"/>
      <c r="B164" s="773"/>
      <c r="C164" s="878"/>
      <c r="D164" s="881"/>
      <c r="E164" s="866"/>
      <c r="F164" s="867"/>
      <c r="G164" s="782"/>
      <c r="H164" s="782"/>
      <c r="I164" s="217" t="s">
        <v>190</v>
      </c>
      <c r="J164" s="218"/>
      <c r="K164" s="874"/>
      <c r="L164" s="875"/>
      <c r="M164" s="794"/>
      <c r="N164" s="863"/>
      <c r="O164" s="864"/>
      <c r="P164" s="863"/>
      <c r="Q164" s="864"/>
      <c r="R164" s="794"/>
      <c r="S164" s="900"/>
      <c r="T164" s="794"/>
      <c r="U164" s="881"/>
      <c r="V164" s="903"/>
      <c r="W164" s="794"/>
      <c r="X164" s="794"/>
      <c r="Y164" s="906"/>
      <c r="Z164" s="1"/>
      <c r="AA164" s="1"/>
      <c r="AB164" s="1"/>
      <c r="AC164" s="1"/>
      <c r="AD164" s="1"/>
      <c r="AE164" s="1"/>
      <c r="AF164" s="1"/>
      <c r="AG164" s="1"/>
      <c r="AH164" s="1"/>
      <c r="AI164" s="1"/>
      <c r="AJ164" s="1"/>
      <c r="AK164" s="1"/>
      <c r="AL164" s="1"/>
      <c r="AM164" s="1"/>
      <c r="AN164" s="1"/>
    </row>
    <row r="165" spans="1:40" ht="15" hidden="1" outlineLevel="1" thickTop="1">
      <c r="A165" s="127"/>
      <c r="B165" s="773"/>
      <c r="C165" s="876"/>
      <c r="D165" s="879"/>
      <c r="E165" s="868"/>
      <c r="F165" s="869"/>
      <c r="G165" s="772"/>
      <c r="H165" s="772"/>
      <c r="I165" s="213" t="s">
        <v>188</v>
      </c>
      <c r="J165" s="214"/>
      <c r="K165" s="870"/>
      <c r="L165" s="871"/>
      <c r="M165" s="792"/>
      <c r="N165" s="835"/>
      <c r="O165" s="836"/>
      <c r="P165" s="835"/>
      <c r="Q165" s="836"/>
      <c r="R165" s="792"/>
      <c r="S165" s="898"/>
      <c r="T165" s="792"/>
      <c r="U165" s="879"/>
      <c r="V165" s="901"/>
      <c r="W165" s="792"/>
      <c r="X165" s="792"/>
      <c r="Y165" s="904"/>
      <c r="Z165" s="1"/>
      <c r="AA165" s="1"/>
      <c r="AB165" s="1"/>
      <c r="AC165" s="1"/>
      <c r="AD165" s="1"/>
      <c r="AE165" s="1"/>
      <c r="AF165" s="1"/>
      <c r="AG165" s="1"/>
      <c r="AH165" s="1"/>
      <c r="AI165" s="1"/>
      <c r="AJ165" s="1"/>
      <c r="AK165" s="1"/>
      <c r="AL165" s="1"/>
      <c r="AM165" s="1"/>
      <c r="AN165" s="1"/>
    </row>
    <row r="166" spans="1:40" hidden="1" outlineLevel="1">
      <c r="A166" s="127"/>
      <c r="B166" s="773"/>
      <c r="C166" s="877"/>
      <c r="D166" s="880"/>
      <c r="E166" s="801"/>
      <c r="F166" s="802"/>
      <c r="G166" s="781"/>
      <c r="H166" s="781"/>
      <c r="I166" s="215" t="s">
        <v>189</v>
      </c>
      <c r="J166" s="216"/>
      <c r="K166" s="872"/>
      <c r="L166" s="873"/>
      <c r="M166" s="793"/>
      <c r="N166" s="837"/>
      <c r="O166" s="838"/>
      <c r="P166" s="837"/>
      <c r="Q166" s="838"/>
      <c r="R166" s="793"/>
      <c r="S166" s="899"/>
      <c r="T166" s="793"/>
      <c r="U166" s="880"/>
      <c r="V166" s="902"/>
      <c r="W166" s="793"/>
      <c r="X166" s="793"/>
      <c r="Y166" s="905"/>
      <c r="Z166" s="1"/>
      <c r="AA166" s="1"/>
      <c r="AB166" s="1"/>
      <c r="AC166" s="1"/>
      <c r="AD166" s="1"/>
      <c r="AE166" s="1"/>
      <c r="AF166" s="1"/>
      <c r="AG166" s="1"/>
      <c r="AH166" s="1"/>
      <c r="AI166" s="1"/>
      <c r="AJ166" s="1"/>
      <c r="AK166" s="1"/>
      <c r="AL166" s="1"/>
      <c r="AM166" s="1"/>
      <c r="AN166" s="1"/>
    </row>
    <row r="167" spans="1:40" ht="15.6" hidden="1" customHeight="1" outlineLevel="1" thickBot="1">
      <c r="A167" s="127"/>
      <c r="B167" s="773"/>
      <c r="C167" s="878"/>
      <c r="D167" s="881"/>
      <c r="E167" s="866"/>
      <c r="F167" s="867"/>
      <c r="G167" s="782"/>
      <c r="H167" s="782"/>
      <c r="I167" s="217" t="s">
        <v>190</v>
      </c>
      <c r="J167" s="218"/>
      <c r="K167" s="874"/>
      <c r="L167" s="875"/>
      <c r="M167" s="794"/>
      <c r="N167" s="863"/>
      <c r="O167" s="864"/>
      <c r="P167" s="863"/>
      <c r="Q167" s="864"/>
      <c r="R167" s="794"/>
      <c r="S167" s="900"/>
      <c r="T167" s="794"/>
      <c r="U167" s="881"/>
      <c r="V167" s="903"/>
      <c r="W167" s="794"/>
      <c r="X167" s="794"/>
      <c r="Y167" s="906"/>
      <c r="Z167" s="1"/>
      <c r="AA167" s="1"/>
      <c r="AB167" s="1"/>
      <c r="AC167" s="1"/>
      <c r="AD167" s="1"/>
      <c r="AE167" s="1"/>
      <c r="AF167" s="1"/>
      <c r="AG167" s="1"/>
      <c r="AH167" s="1"/>
      <c r="AI167" s="1"/>
      <c r="AJ167" s="1"/>
      <c r="AK167" s="1"/>
      <c r="AL167" s="1"/>
      <c r="AM167" s="1"/>
      <c r="AN167" s="1"/>
    </row>
    <row r="168" spans="1:40" ht="15" hidden="1" outlineLevel="1" thickTop="1">
      <c r="A168" s="127"/>
      <c r="B168" s="773"/>
      <c r="C168" s="876"/>
      <c r="D168" s="879"/>
      <c r="E168" s="868"/>
      <c r="F168" s="869"/>
      <c r="G168" s="772"/>
      <c r="H168" s="772"/>
      <c r="I168" s="213" t="s">
        <v>188</v>
      </c>
      <c r="J168" s="214"/>
      <c r="K168" s="870"/>
      <c r="L168" s="871"/>
      <c r="M168" s="792"/>
      <c r="N168" s="835"/>
      <c r="O168" s="836"/>
      <c r="P168" s="835"/>
      <c r="Q168" s="836"/>
      <c r="R168" s="792"/>
      <c r="S168" s="898"/>
      <c r="T168" s="792"/>
      <c r="U168" s="879"/>
      <c r="V168" s="901"/>
      <c r="W168" s="792"/>
      <c r="X168" s="792"/>
      <c r="Y168" s="904"/>
      <c r="Z168" s="1"/>
      <c r="AA168" s="1"/>
      <c r="AB168" s="1"/>
      <c r="AC168" s="1"/>
      <c r="AD168" s="1"/>
      <c r="AE168" s="1"/>
      <c r="AF168" s="1"/>
      <c r="AG168" s="1"/>
      <c r="AH168" s="1"/>
      <c r="AI168" s="1"/>
      <c r="AJ168" s="1"/>
      <c r="AK168" s="1"/>
      <c r="AL168" s="1"/>
      <c r="AM168" s="1"/>
      <c r="AN168" s="1"/>
    </row>
    <row r="169" spans="1:40" hidden="1" outlineLevel="1">
      <c r="A169" s="127"/>
      <c r="B169" s="773"/>
      <c r="C169" s="877"/>
      <c r="D169" s="880"/>
      <c r="E169" s="801"/>
      <c r="F169" s="802"/>
      <c r="G169" s="781"/>
      <c r="H169" s="781"/>
      <c r="I169" s="215" t="s">
        <v>189</v>
      </c>
      <c r="J169" s="216"/>
      <c r="K169" s="872"/>
      <c r="L169" s="873"/>
      <c r="M169" s="793"/>
      <c r="N169" s="837"/>
      <c r="O169" s="838"/>
      <c r="P169" s="837"/>
      <c r="Q169" s="838"/>
      <c r="R169" s="793"/>
      <c r="S169" s="899"/>
      <c r="T169" s="793"/>
      <c r="U169" s="880"/>
      <c r="V169" s="902"/>
      <c r="W169" s="793"/>
      <c r="X169" s="793"/>
      <c r="Y169" s="905"/>
      <c r="Z169" s="1"/>
      <c r="AA169" s="1"/>
      <c r="AB169" s="1"/>
      <c r="AC169" s="1"/>
      <c r="AD169" s="1"/>
      <c r="AE169" s="1"/>
      <c r="AF169" s="1"/>
      <c r="AG169" s="1"/>
      <c r="AH169" s="1"/>
      <c r="AI169" s="1"/>
      <c r="AJ169" s="1"/>
      <c r="AK169" s="1"/>
      <c r="AL169" s="1"/>
      <c r="AM169" s="1"/>
      <c r="AN169" s="1"/>
    </row>
    <row r="170" spans="1:40" ht="15.6" hidden="1" customHeight="1" outlineLevel="1" thickBot="1">
      <c r="A170" s="127"/>
      <c r="B170" s="773"/>
      <c r="C170" s="878"/>
      <c r="D170" s="881"/>
      <c r="E170" s="866"/>
      <c r="F170" s="867"/>
      <c r="G170" s="782"/>
      <c r="H170" s="782"/>
      <c r="I170" s="217" t="s">
        <v>190</v>
      </c>
      <c r="J170" s="218"/>
      <c r="K170" s="874"/>
      <c r="L170" s="875"/>
      <c r="M170" s="794"/>
      <c r="N170" s="863"/>
      <c r="O170" s="864"/>
      <c r="P170" s="863"/>
      <c r="Q170" s="864"/>
      <c r="R170" s="794"/>
      <c r="S170" s="900"/>
      <c r="T170" s="794"/>
      <c r="U170" s="881"/>
      <c r="V170" s="903"/>
      <c r="W170" s="794"/>
      <c r="X170" s="794"/>
      <c r="Y170" s="906"/>
      <c r="Z170" s="1"/>
      <c r="AA170" s="1"/>
      <c r="AB170" s="1"/>
      <c r="AC170" s="1"/>
      <c r="AD170" s="1"/>
      <c r="AE170" s="1"/>
      <c r="AF170" s="1"/>
      <c r="AG170" s="1"/>
      <c r="AH170" s="1"/>
      <c r="AI170" s="1"/>
      <c r="AJ170" s="1"/>
      <c r="AK170" s="1"/>
      <c r="AL170" s="1"/>
      <c r="AM170" s="1"/>
      <c r="AN170" s="1"/>
    </row>
    <row r="171" spans="1:40" ht="15" hidden="1" outlineLevel="1" thickTop="1">
      <c r="A171" s="127"/>
      <c r="B171" s="773"/>
      <c r="C171" s="876"/>
      <c r="D171" s="879"/>
      <c r="E171" s="868"/>
      <c r="F171" s="869"/>
      <c r="G171" s="772"/>
      <c r="H171" s="772"/>
      <c r="I171" s="213" t="s">
        <v>188</v>
      </c>
      <c r="J171" s="214"/>
      <c r="K171" s="870"/>
      <c r="L171" s="871"/>
      <c r="M171" s="792"/>
      <c r="N171" s="835"/>
      <c r="O171" s="836"/>
      <c r="P171" s="835"/>
      <c r="Q171" s="836"/>
      <c r="R171" s="792"/>
      <c r="S171" s="898"/>
      <c r="T171" s="792"/>
      <c r="U171" s="879"/>
      <c r="V171" s="901"/>
      <c r="W171" s="792"/>
      <c r="X171" s="792"/>
      <c r="Y171" s="904"/>
      <c r="Z171" s="1"/>
      <c r="AA171" s="1"/>
      <c r="AB171" s="1"/>
      <c r="AC171" s="1"/>
      <c r="AD171" s="1"/>
      <c r="AE171" s="1"/>
      <c r="AF171" s="1"/>
      <c r="AG171" s="1"/>
      <c r="AH171" s="1"/>
      <c r="AI171" s="1"/>
      <c r="AJ171" s="1"/>
      <c r="AK171" s="1"/>
      <c r="AL171" s="1"/>
      <c r="AM171" s="1"/>
      <c r="AN171" s="1"/>
    </row>
    <row r="172" spans="1:40" hidden="1" outlineLevel="1">
      <c r="A172" s="127"/>
      <c r="B172" s="773"/>
      <c r="C172" s="877"/>
      <c r="D172" s="880"/>
      <c r="E172" s="801"/>
      <c r="F172" s="802"/>
      <c r="G172" s="781"/>
      <c r="H172" s="781"/>
      <c r="I172" s="215" t="s">
        <v>189</v>
      </c>
      <c r="J172" s="216"/>
      <c r="K172" s="872"/>
      <c r="L172" s="873"/>
      <c r="M172" s="793"/>
      <c r="N172" s="837"/>
      <c r="O172" s="838"/>
      <c r="P172" s="837"/>
      <c r="Q172" s="838"/>
      <c r="R172" s="793"/>
      <c r="S172" s="899"/>
      <c r="T172" s="793"/>
      <c r="U172" s="880"/>
      <c r="V172" s="902"/>
      <c r="W172" s="793"/>
      <c r="X172" s="793"/>
      <c r="Y172" s="905"/>
      <c r="Z172" s="1"/>
      <c r="AA172" s="1"/>
      <c r="AB172" s="1"/>
      <c r="AC172" s="1"/>
      <c r="AD172" s="1"/>
      <c r="AE172" s="1"/>
      <c r="AF172" s="1"/>
      <c r="AG172" s="1"/>
      <c r="AH172" s="1"/>
      <c r="AI172" s="1"/>
      <c r="AJ172" s="1"/>
      <c r="AK172" s="1"/>
      <c r="AL172" s="1"/>
      <c r="AM172" s="1"/>
      <c r="AN172" s="1"/>
    </row>
    <row r="173" spans="1:40" ht="15.6" hidden="1" customHeight="1" outlineLevel="1" thickBot="1">
      <c r="A173" s="127"/>
      <c r="B173" s="773"/>
      <c r="C173" s="878"/>
      <c r="D173" s="881"/>
      <c r="E173" s="866"/>
      <c r="F173" s="867"/>
      <c r="G173" s="782"/>
      <c r="H173" s="782"/>
      <c r="I173" s="217" t="s">
        <v>190</v>
      </c>
      <c r="J173" s="218"/>
      <c r="K173" s="874"/>
      <c r="L173" s="875"/>
      <c r="M173" s="794"/>
      <c r="N173" s="863"/>
      <c r="O173" s="864"/>
      <c r="P173" s="863"/>
      <c r="Q173" s="864"/>
      <c r="R173" s="794"/>
      <c r="S173" s="900"/>
      <c r="T173" s="794"/>
      <c r="U173" s="881"/>
      <c r="V173" s="903"/>
      <c r="W173" s="794"/>
      <c r="X173" s="794"/>
      <c r="Y173" s="906"/>
      <c r="Z173" s="1"/>
      <c r="AA173" s="1"/>
      <c r="AB173" s="1"/>
      <c r="AC173" s="1"/>
      <c r="AD173" s="1"/>
      <c r="AE173" s="1"/>
      <c r="AF173" s="1"/>
      <c r="AG173" s="1"/>
      <c r="AH173" s="1"/>
      <c r="AI173" s="1"/>
      <c r="AJ173" s="1"/>
      <c r="AK173" s="1"/>
      <c r="AL173" s="1"/>
      <c r="AM173" s="1"/>
      <c r="AN173" s="1"/>
    </row>
    <row r="174" spans="1:40" ht="15" hidden="1" outlineLevel="1" thickTop="1">
      <c r="A174" s="127"/>
      <c r="B174" s="773"/>
      <c r="C174" s="876"/>
      <c r="D174" s="879"/>
      <c r="E174" s="868"/>
      <c r="F174" s="869"/>
      <c r="G174" s="772"/>
      <c r="H174" s="772"/>
      <c r="I174" s="213" t="s">
        <v>188</v>
      </c>
      <c r="J174" s="214"/>
      <c r="K174" s="870"/>
      <c r="L174" s="871"/>
      <c r="M174" s="792"/>
      <c r="N174" s="835"/>
      <c r="O174" s="836"/>
      <c r="P174" s="835"/>
      <c r="Q174" s="836"/>
      <c r="R174" s="792"/>
      <c r="S174" s="898"/>
      <c r="T174" s="792"/>
      <c r="U174" s="879"/>
      <c r="V174" s="901"/>
      <c r="W174" s="792"/>
      <c r="X174" s="792"/>
      <c r="Y174" s="904"/>
      <c r="Z174" s="1"/>
      <c r="AA174" s="1"/>
      <c r="AB174" s="1"/>
      <c r="AC174" s="1"/>
      <c r="AD174" s="1"/>
      <c r="AE174" s="1"/>
      <c r="AF174" s="1"/>
      <c r="AG174" s="1"/>
      <c r="AH174" s="1"/>
      <c r="AI174" s="1"/>
      <c r="AJ174" s="1"/>
      <c r="AK174" s="1"/>
      <c r="AL174" s="1"/>
      <c r="AM174" s="1"/>
      <c r="AN174" s="1"/>
    </row>
    <row r="175" spans="1:40" hidden="1" outlineLevel="1">
      <c r="A175" s="127"/>
      <c r="B175" s="773"/>
      <c r="C175" s="877"/>
      <c r="D175" s="880"/>
      <c r="E175" s="801"/>
      <c r="F175" s="802"/>
      <c r="G175" s="781"/>
      <c r="H175" s="781"/>
      <c r="I175" s="215" t="s">
        <v>189</v>
      </c>
      <c r="J175" s="216"/>
      <c r="K175" s="872"/>
      <c r="L175" s="873"/>
      <c r="M175" s="793"/>
      <c r="N175" s="837"/>
      <c r="O175" s="838"/>
      <c r="P175" s="837"/>
      <c r="Q175" s="838"/>
      <c r="R175" s="793"/>
      <c r="S175" s="899"/>
      <c r="T175" s="793"/>
      <c r="U175" s="880"/>
      <c r="V175" s="902"/>
      <c r="W175" s="793"/>
      <c r="X175" s="793"/>
      <c r="Y175" s="905"/>
      <c r="Z175" s="1"/>
      <c r="AA175" s="1"/>
      <c r="AB175" s="1"/>
      <c r="AC175" s="1"/>
      <c r="AD175" s="1"/>
      <c r="AE175" s="1"/>
      <c r="AF175" s="1"/>
      <c r="AG175" s="1"/>
      <c r="AH175" s="1"/>
      <c r="AI175" s="1"/>
      <c r="AJ175" s="1"/>
      <c r="AK175" s="1"/>
      <c r="AL175" s="1"/>
      <c r="AM175" s="1"/>
      <c r="AN175" s="1"/>
    </row>
    <row r="176" spans="1:40" ht="15.6" hidden="1" customHeight="1" outlineLevel="1" thickBot="1">
      <c r="A176" s="127"/>
      <c r="B176" s="773"/>
      <c r="C176" s="878"/>
      <c r="D176" s="881"/>
      <c r="E176" s="866"/>
      <c r="F176" s="867"/>
      <c r="G176" s="782"/>
      <c r="H176" s="782"/>
      <c r="I176" s="217" t="s">
        <v>190</v>
      </c>
      <c r="J176" s="218"/>
      <c r="K176" s="874"/>
      <c r="L176" s="875"/>
      <c r="M176" s="794"/>
      <c r="N176" s="863"/>
      <c r="O176" s="864"/>
      <c r="P176" s="863"/>
      <c r="Q176" s="864"/>
      <c r="R176" s="794"/>
      <c r="S176" s="900"/>
      <c r="T176" s="794"/>
      <c r="U176" s="881"/>
      <c r="V176" s="903"/>
      <c r="W176" s="794"/>
      <c r="X176" s="794"/>
      <c r="Y176" s="906"/>
      <c r="Z176" s="1"/>
      <c r="AA176" s="1"/>
      <c r="AB176" s="1"/>
      <c r="AC176" s="1"/>
      <c r="AD176" s="1"/>
      <c r="AE176" s="1"/>
      <c r="AF176" s="1"/>
      <c r="AG176" s="1"/>
      <c r="AH176" s="1"/>
      <c r="AI176" s="1"/>
      <c r="AJ176" s="1"/>
      <c r="AK176" s="1"/>
      <c r="AL176" s="1"/>
      <c r="AM176" s="1"/>
      <c r="AN176" s="1"/>
    </row>
    <row r="177" spans="1:40" ht="15" hidden="1" outlineLevel="1" thickTop="1">
      <c r="A177" s="127"/>
      <c r="B177" s="773"/>
      <c r="C177" s="876"/>
      <c r="D177" s="879"/>
      <c r="E177" s="868"/>
      <c r="F177" s="869"/>
      <c r="G177" s="772"/>
      <c r="H177" s="772"/>
      <c r="I177" s="213" t="s">
        <v>188</v>
      </c>
      <c r="J177" s="214"/>
      <c r="K177" s="870"/>
      <c r="L177" s="871"/>
      <c r="M177" s="792"/>
      <c r="N177" s="835"/>
      <c r="O177" s="836"/>
      <c r="P177" s="835"/>
      <c r="Q177" s="836"/>
      <c r="R177" s="792"/>
      <c r="S177" s="898"/>
      <c r="T177" s="792"/>
      <c r="U177" s="879"/>
      <c r="V177" s="901"/>
      <c r="W177" s="792"/>
      <c r="X177" s="792"/>
      <c r="Y177" s="904"/>
      <c r="Z177" s="1"/>
      <c r="AA177" s="1"/>
      <c r="AB177" s="1"/>
      <c r="AC177" s="1"/>
      <c r="AD177" s="1"/>
      <c r="AE177" s="1"/>
      <c r="AF177" s="1"/>
      <c r="AG177" s="1"/>
      <c r="AH177" s="1"/>
      <c r="AI177" s="1"/>
      <c r="AJ177" s="1"/>
      <c r="AK177" s="1"/>
      <c r="AL177" s="1"/>
      <c r="AM177" s="1"/>
      <c r="AN177" s="1"/>
    </row>
    <row r="178" spans="1:40" hidden="1" outlineLevel="1">
      <c r="A178" s="127"/>
      <c r="B178" s="773"/>
      <c r="C178" s="877"/>
      <c r="D178" s="880"/>
      <c r="E178" s="801"/>
      <c r="F178" s="802"/>
      <c r="G178" s="781"/>
      <c r="H178" s="781"/>
      <c r="I178" s="215" t="s">
        <v>189</v>
      </c>
      <c r="J178" s="216"/>
      <c r="K178" s="872"/>
      <c r="L178" s="873"/>
      <c r="M178" s="793"/>
      <c r="N178" s="837"/>
      <c r="O178" s="838"/>
      <c r="P178" s="837"/>
      <c r="Q178" s="838"/>
      <c r="R178" s="793"/>
      <c r="S178" s="899"/>
      <c r="T178" s="793"/>
      <c r="U178" s="880"/>
      <c r="V178" s="902"/>
      <c r="W178" s="793"/>
      <c r="X178" s="793"/>
      <c r="Y178" s="905"/>
      <c r="Z178" s="1"/>
      <c r="AA178" s="1"/>
      <c r="AB178" s="1"/>
      <c r="AC178" s="1"/>
      <c r="AD178" s="1"/>
      <c r="AE178" s="1"/>
      <c r="AF178" s="1"/>
      <c r="AG178" s="1"/>
      <c r="AH178" s="1"/>
      <c r="AI178" s="1"/>
      <c r="AJ178" s="1"/>
      <c r="AK178" s="1"/>
      <c r="AL178" s="1"/>
      <c r="AM178" s="1"/>
      <c r="AN178" s="1"/>
    </row>
    <row r="179" spans="1:40" ht="15.6" hidden="1" customHeight="1" outlineLevel="1" thickBot="1">
      <c r="A179" s="127"/>
      <c r="B179" s="773"/>
      <c r="C179" s="878"/>
      <c r="D179" s="881"/>
      <c r="E179" s="866"/>
      <c r="F179" s="867"/>
      <c r="G179" s="782"/>
      <c r="H179" s="782"/>
      <c r="I179" s="217" t="s">
        <v>190</v>
      </c>
      <c r="J179" s="218"/>
      <c r="K179" s="874"/>
      <c r="L179" s="875"/>
      <c r="M179" s="794"/>
      <c r="N179" s="863"/>
      <c r="O179" s="864"/>
      <c r="P179" s="863"/>
      <c r="Q179" s="864"/>
      <c r="R179" s="794"/>
      <c r="S179" s="900"/>
      <c r="T179" s="794"/>
      <c r="U179" s="881"/>
      <c r="V179" s="903"/>
      <c r="W179" s="794"/>
      <c r="X179" s="794"/>
      <c r="Y179" s="906"/>
      <c r="Z179" s="1"/>
      <c r="AA179" s="1"/>
      <c r="AB179" s="1"/>
      <c r="AC179" s="1"/>
      <c r="AD179" s="1"/>
      <c r="AE179" s="1"/>
      <c r="AF179" s="1"/>
      <c r="AG179" s="1"/>
      <c r="AH179" s="1"/>
      <c r="AI179" s="1"/>
      <c r="AJ179" s="1"/>
      <c r="AK179" s="1"/>
      <c r="AL179" s="1"/>
      <c r="AM179" s="1"/>
      <c r="AN179" s="1"/>
    </row>
    <row r="180" spans="1:40" ht="15" hidden="1" outlineLevel="1" thickTop="1">
      <c r="A180" s="127"/>
      <c r="B180" s="773"/>
      <c r="C180" s="876"/>
      <c r="D180" s="879"/>
      <c r="E180" s="868"/>
      <c r="F180" s="869"/>
      <c r="G180" s="772"/>
      <c r="H180" s="772"/>
      <c r="I180" s="213" t="s">
        <v>188</v>
      </c>
      <c r="J180" s="214"/>
      <c r="K180" s="870"/>
      <c r="L180" s="871"/>
      <c r="M180" s="792"/>
      <c r="N180" s="835"/>
      <c r="O180" s="836"/>
      <c r="P180" s="835"/>
      <c r="Q180" s="836"/>
      <c r="R180" s="792"/>
      <c r="S180" s="898"/>
      <c r="T180" s="792"/>
      <c r="U180" s="879"/>
      <c r="V180" s="901"/>
      <c r="W180" s="792"/>
      <c r="X180" s="792"/>
      <c r="Y180" s="904"/>
      <c r="Z180" s="1"/>
      <c r="AA180" s="1"/>
      <c r="AB180" s="1"/>
      <c r="AC180" s="1"/>
      <c r="AD180" s="1"/>
      <c r="AE180" s="1"/>
      <c r="AF180" s="1"/>
      <c r="AG180" s="1"/>
      <c r="AH180" s="1"/>
      <c r="AI180" s="1"/>
      <c r="AJ180" s="1"/>
      <c r="AK180" s="1"/>
      <c r="AL180" s="1"/>
      <c r="AM180" s="1"/>
      <c r="AN180" s="1"/>
    </row>
    <row r="181" spans="1:40" hidden="1" outlineLevel="1">
      <c r="A181" s="127"/>
      <c r="B181" s="773"/>
      <c r="C181" s="877"/>
      <c r="D181" s="880"/>
      <c r="E181" s="801"/>
      <c r="F181" s="802"/>
      <c r="G181" s="781"/>
      <c r="H181" s="781"/>
      <c r="I181" s="215" t="s">
        <v>189</v>
      </c>
      <c r="J181" s="216"/>
      <c r="K181" s="872"/>
      <c r="L181" s="873"/>
      <c r="M181" s="793"/>
      <c r="N181" s="837"/>
      <c r="O181" s="838"/>
      <c r="P181" s="837"/>
      <c r="Q181" s="838"/>
      <c r="R181" s="793"/>
      <c r="S181" s="899"/>
      <c r="T181" s="793"/>
      <c r="U181" s="880"/>
      <c r="V181" s="902"/>
      <c r="W181" s="793"/>
      <c r="X181" s="793"/>
      <c r="Y181" s="905"/>
      <c r="Z181" s="1"/>
      <c r="AA181" s="1"/>
      <c r="AB181" s="1"/>
      <c r="AC181" s="1"/>
      <c r="AD181" s="1"/>
      <c r="AE181" s="1"/>
      <c r="AF181" s="1"/>
      <c r="AG181" s="1"/>
      <c r="AH181" s="1"/>
      <c r="AI181" s="1"/>
      <c r="AJ181" s="1"/>
      <c r="AK181" s="1"/>
      <c r="AL181" s="1"/>
      <c r="AM181" s="1"/>
      <c r="AN181" s="1"/>
    </row>
    <row r="182" spans="1:40" ht="15.6" hidden="1" customHeight="1" outlineLevel="1" thickBot="1">
      <c r="A182" s="127"/>
      <c r="B182" s="773"/>
      <c r="C182" s="878"/>
      <c r="D182" s="881"/>
      <c r="E182" s="866"/>
      <c r="F182" s="867"/>
      <c r="G182" s="782"/>
      <c r="H182" s="782"/>
      <c r="I182" s="217" t="s">
        <v>190</v>
      </c>
      <c r="J182" s="218"/>
      <c r="K182" s="874"/>
      <c r="L182" s="875"/>
      <c r="M182" s="794"/>
      <c r="N182" s="863"/>
      <c r="O182" s="864"/>
      <c r="P182" s="863"/>
      <c r="Q182" s="864"/>
      <c r="R182" s="794"/>
      <c r="S182" s="900"/>
      <c r="T182" s="794"/>
      <c r="U182" s="881"/>
      <c r="V182" s="903"/>
      <c r="W182" s="794"/>
      <c r="X182" s="794"/>
      <c r="Y182" s="906"/>
      <c r="Z182" s="1"/>
      <c r="AA182" s="1"/>
      <c r="AB182" s="1"/>
      <c r="AC182" s="1"/>
      <c r="AD182" s="1"/>
      <c r="AE182" s="1"/>
      <c r="AF182" s="1"/>
      <c r="AG182" s="1"/>
      <c r="AH182" s="1"/>
      <c r="AI182" s="1"/>
      <c r="AJ182" s="1"/>
      <c r="AK182" s="1"/>
      <c r="AL182" s="1"/>
      <c r="AM182" s="1"/>
      <c r="AN182" s="1"/>
    </row>
    <row r="183" spans="1:40" ht="15" hidden="1" outlineLevel="1" thickTop="1">
      <c r="A183" s="127"/>
      <c r="B183" s="773"/>
      <c r="C183" s="876"/>
      <c r="D183" s="879"/>
      <c r="E183" s="868"/>
      <c r="F183" s="869"/>
      <c r="G183" s="772"/>
      <c r="H183" s="772"/>
      <c r="I183" s="213" t="s">
        <v>188</v>
      </c>
      <c r="J183" s="214"/>
      <c r="K183" s="870"/>
      <c r="L183" s="871"/>
      <c r="M183" s="792"/>
      <c r="N183" s="835"/>
      <c r="O183" s="836"/>
      <c r="P183" s="835"/>
      <c r="Q183" s="836"/>
      <c r="R183" s="792"/>
      <c r="S183" s="898"/>
      <c r="T183" s="792"/>
      <c r="U183" s="879"/>
      <c r="V183" s="901"/>
      <c r="W183" s="792"/>
      <c r="X183" s="792"/>
      <c r="Y183" s="904"/>
      <c r="Z183" s="1"/>
      <c r="AA183" s="1"/>
      <c r="AB183" s="1"/>
      <c r="AC183" s="1"/>
      <c r="AD183" s="1"/>
      <c r="AE183" s="1"/>
      <c r="AF183" s="1"/>
      <c r="AG183" s="1"/>
      <c r="AH183" s="1"/>
      <c r="AI183" s="1"/>
      <c r="AJ183" s="1"/>
      <c r="AK183" s="1"/>
      <c r="AL183" s="1"/>
      <c r="AM183" s="1"/>
      <c r="AN183" s="1"/>
    </row>
    <row r="184" spans="1:40" hidden="1" outlineLevel="1">
      <c r="A184" s="127"/>
      <c r="B184" s="773"/>
      <c r="C184" s="877"/>
      <c r="D184" s="880"/>
      <c r="E184" s="801"/>
      <c r="F184" s="802"/>
      <c r="G184" s="781"/>
      <c r="H184" s="781"/>
      <c r="I184" s="215" t="s">
        <v>189</v>
      </c>
      <c r="J184" s="216"/>
      <c r="K184" s="872"/>
      <c r="L184" s="873"/>
      <c r="M184" s="793"/>
      <c r="N184" s="837"/>
      <c r="O184" s="838"/>
      <c r="P184" s="837"/>
      <c r="Q184" s="838"/>
      <c r="R184" s="793"/>
      <c r="S184" s="899"/>
      <c r="T184" s="793"/>
      <c r="U184" s="880"/>
      <c r="V184" s="902"/>
      <c r="W184" s="793"/>
      <c r="X184" s="793"/>
      <c r="Y184" s="905"/>
      <c r="Z184" s="1"/>
      <c r="AA184" s="1"/>
      <c r="AB184" s="1"/>
      <c r="AC184" s="1"/>
      <c r="AD184" s="1"/>
      <c r="AE184" s="1"/>
      <c r="AF184" s="1"/>
      <c r="AG184" s="1"/>
      <c r="AH184" s="1"/>
      <c r="AI184" s="1"/>
      <c r="AJ184" s="1"/>
      <c r="AK184" s="1"/>
      <c r="AL184" s="1"/>
      <c r="AM184" s="1"/>
      <c r="AN184" s="1"/>
    </row>
    <row r="185" spans="1:40" ht="15.6" hidden="1" customHeight="1" outlineLevel="1" thickBot="1">
      <c r="A185" s="127"/>
      <c r="B185" s="773"/>
      <c r="C185" s="878"/>
      <c r="D185" s="881"/>
      <c r="E185" s="866"/>
      <c r="F185" s="867"/>
      <c r="G185" s="782"/>
      <c r="H185" s="782"/>
      <c r="I185" s="217" t="s">
        <v>190</v>
      </c>
      <c r="J185" s="218"/>
      <c r="K185" s="874"/>
      <c r="L185" s="875"/>
      <c r="M185" s="794"/>
      <c r="N185" s="863"/>
      <c r="O185" s="864"/>
      <c r="P185" s="863"/>
      <c r="Q185" s="864"/>
      <c r="R185" s="794"/>
      <c r="S185" s="900"/>
      <c r="T185" s="794"/>
      <c r="U185" s="881"/>
      <c r="V185" s="903"/>
      <c r="W185" s="794"/>
      <c r="X185" s="794"/>
      <c r="Y185" s="906"/>
      <c r="Z185" s="1"/>
      <c r="AA185" s="1"/>
      <c r="AB185" s="1"/>
      <c r="AC185" s="1"/>
      <c r="AD185" s="1"/>
      <c r="AE185" s="1"/>
      <c r="AF185" s="1"/>
      <c r="AG185" s="1"/>
      <c r="AH185" s="1"/>
      <c r="AI185" s="1"/>
      <c r="AJ185" s="1"/>
      <c r="AK185" s="1"/>
      <c r="AL185" s="1"/>
      <c r="AM185" s="1"/>
      <c r="AN185" s="1"/>
    </row>
    <row r="186" spans="1:40" ht="15" hidden="1" outlineLevel="1" thickTop="1">
      <c r="A186" s="127"/>
      <c r="B186" s="773"/>
      <c r="C186" s="876"/>
      <c r="D186" s="879"/>
      <c r="E186" s="868"/>
      <c r="F186" s="869"/>
      <c r="G186" s="772"/>
      <c r="H186" s="772"/>
      <c r="I186" s="213" t="s">
        <v>188</v>
      </c>
      <c r="J186" s="214"/>
      <c r="K186" s="870"/>
      <c r="L186" s="871"/>
      <c r="M186" s="792"/>
      <c r="N186" s="835"/>
      <c r="O186" s="836"/>
      <c r="P186" s="835"/>
      <c r="Q186" s="836"/>
      <c r="R186" s="792"/>
      <c r="S186" s="898"/>
      <c r="T186" s="792"/>
      <c r="U186" s="879"/>
      <c r="V186" s="901"/>
      <c r="W186" s="792"/>
      <c r="X186" s="792"/>
      <c r="Y186" s="904"/>
      <c r="Z186" s="1"/>
      <c r="AA186" s="1"/>
      <c r="AB186" s="1"/>
      <c r="AC186" s="1"/>
      <c r="AD186" s="1"/>
      <c r="AE186" s="1"/>
      <c r="AF186" s="1"/>
      <c r="AG186" s="1"/>
      <c r="AH186" s="1"/>
      <c r="AI186" s="1"/>
      <c r="AJ186" s="1"/>
      <c r="AK186" s="1"/>
      <c r="AL186" s="1"/>
      <c r="AM186" s="1"/>
      <c r="AN186" s="1"/>
    </row>
    <row r="187" spans="1:40" hidden="1" outlineLevel="1">
      <c r="A187" s="127"/>
      <c r="B187" s="773"/>
      <c r="C187" s="877"/>
      <c r="D187" s="880"/>
      <c r="E187" s="801"/>
      <c r="F187" s="802"/>
      <c r="G187" s="781"/>
      <c r="H187" s="781"/>
      <c r="I187" s="215" t="s">
        <v>189</v>
      </c>
      <c r="J187" s="216"/>
      <c r="K187" s="872"/>
      <c r="L187" s="873"/>
      <c r="M187" s="793"/>
      <c r="N187" s="837"/>
      <c r="O187" s="838"/>
      <c r="P187" s="837"/>
      <c r="Q187" s="838"/>
      <c r="R187" s="793"/>
      <c r="S187" s="899"/>
      <c r="T187" s="793"/>
      <c r="U187" s="880"/>
      <c r="V187" s="902"/>
      <c r="W187" s="793"/>
      <c r="X187" s="793"/>
      <c r="Y187" s="905"/>
      <c r="Z187" s="1"/>
      <c r="AA187" s="1"/>
      <c r="AB187" s="1"/>
      <c r="AC187" s="1"/>
      <c r="AD187" s="1"/>
      <c r="AE187" s="1"/>
      <c r="AF187" s="1"/>
      <c r="AG187" s="1"/>
      <c r="AH187" s="1"/>
      <c r="AI187" s="1"/>
      <c r="AJ187" s="1"/>
      <c r="AK187" s="1"/>
      <c r="AL187" s="1"/>
      <c r="AM187" s="1"/>
      <c r="AN187" s="1"/>
    </row>
    <row r="188" spans="1:40" ht="15.6" hidden="1" customHeight="1" outlineLevel="1" thickBot="1">
      <c r="A188" s="127"/>
      <c r="B188" s="773"/>
      <c r="C188" s="878"/>
      <c r="D188" s="881"/>
      <c r="E188" s="866"/>
      <c r="F188" s="867"/>
      <c r="G188" s="782"/>
      <c r="H188" s="782"/>
      <c r="I188" s="217" t="s">
        <v>190</v>
      </c>
      <c r="J188" s="218"/>
      <c r="K188" s="874"/>
      <c r="L188" s="875"/>
      <c r="M188" s="794"/>
      <c r="N188" s="863"/>
      <c r="O188" s="864"/>
      <c r="P188" s="863"/>
      <c r="Q188" s="864"/>
      <c r="R188" s="794"/>
      <c r="S188" s="900"/>
      <c r="T188" s="794"/>
      <c r="U188" s="881"/>
      <c r="V188" s="903"/>
      <c r="W188" s="794"/>
      <c r="X188" s="794"/>
      <c r="Y188" s="906"/>
      <c r="Z188" s="1"/>
      <c r="AA188" s="1"/>
      <c r="AB188" s="1"/>
      <c r="AC188" s="1"/>
      <c r="AD188" s="1"/>
      <c r="AE188" s="1"/>
      <c r="AF188" s="1"/>
      <c r="AG188" s="1"/>
      <c r="AH188" s="1"/>
      <c r="AI188" s="1"/>
      <c r="AJ188" s="1"/>
      <c r="AK188" s="1"/>
      <c r="AL188" s="1"/>
      <c r="AM188" s="1"/>
      <c r="AN188" s="1"/>
    </row>
    <row r="189" spans="1:40" ht="15" hidden="1" outlineLevel="1" thickTop="1">
      <c r="A189" s="127"/>
      <c r="B189" s="773"/>
      <c r="C189" s="876"/>
      <c r="D189" s="879"/>
      <c r="E189" s="868"/>
      <c r="F189" s="869"/>
      <c r="G189" s="772"/>
      <c r="H189" s="772"/>
      <c r="I189" s="213" t="s">
        <v>188</v>
      </c>
      <c r="J189" s="214"/>
      <c r="K189" s="870"/>
      <c r="L189" s="871"/>
      <c r="M189" s="792"/>
      <c r="N189" s="835"/>
      <c r="O189" s="836"/>
      <c r="P189" s="835"/>
      <c r="Q189" s="836"/>
      <c r="R189" s="792"/>
      <c r="S189" s="898"/>
      <c r="T189" s="792"/>
      <c r="U189" s="879"/>
      <c r="V189" s="901"/>
      <c r="W189" s="792"/>
      <c r="X189" s="792"/>
      <c r="Y189" s="904"/>
      <c r="Z189" s="1"/>
      <c r="AA189" s="1"/>
      <c r="AB189" s="1"/>
      <c r="AC189" s="1"/>
      <c r="AD189" s="1"/>
      <c r="AE189" s="1"/>
      <c r="AF189" s="1"/>
      <c r="AG189" s="1"/>
      <c r="AH189" s="1"/>
      <c r="AI189" s="1"/>
      <c r="AJ189" s="1"/>
      <c r="AK189" s="1"/>
      <c r="AL189" s="1"/>
      <c r="AM189" s="1"/>
      <c r="AN189" s="1"/>
    </row>
    <row r="190" spans="1:40" hidden="1" outlineLevel="1">
      <c r="A190" s="127"/>
      <c r="B190" s="773"/>
      <c r="C190" s="877"/>
      <c r="D190" s="880"/>
      <c r="E190" s="801"/>
      <c r="F190" s="802"/>
      <c r="G190" s="781"/>
      <c r="H190" s="781"/>
      <c r="I190" s="215" t="s">
        <v>189</v>
      </c>
      <c r="J190" s="216"/>
      <c r="K190" s="872"/>
      <c r="L190" s="873"/>
      <c r="M190" s="793"/>
      <c r="N190" s="837"/>
      <c r="O190" s="838"/>
      <c r="P190" s="837"/>
      <c r="Q190" s="838"/>
      <c r="R190" s="793"/>
      <c r="S190" s="899"/>
      <c r="T190" s="793"/>
      <c r="U190" s="880"/>
      <c r="V190" s="902"/>
      <c r="W190" s="793"/>
      <c r="X190" s="793"/>
      <c r="Y190" s="905"/>
      <c r="Z190" s="1"/>
      <c r="AA190" s="1"/>
      <c r="AB190" s="1"/>
      <c r="AC190" s="1"/>
      <c r="AD190" s="1"/>
      <c r="AE190" s="1"/>
      <c r="AF190" s="1"/>
      <c r="AG190" s="1"/>
      <c r="AH190" s="1"/>
      <c r="AI190" s="1"/>
      <c r="AJ190" s="1"/>
      <c r="AK190" s="1"/>
      <c r="AL190" s="1"/>
      <c r="AM190" s="1"/>
      <c r="AN190" s="1"/>
    </row>
    <row r="191" spans="1:40" ht="15.6" hidden="1" customHeight="1" outlineLevel="1" thickBot="1">
      <c r="A191" s="127"/>
      <c r="B191" s="773"/>
      <c r="C191" s="878"/>
      <c r="D191" s="881"/>
      <c r="E191" s="866"/>
      <c r="F191" s="867"/>
      <c r="G191" s="782"/>
      <c r="H191" s="782"/>
      <c r="I191" s="217" t="s">
        <v>190</v>
      </c>
      <c r="J191" s="218"/>
      <c r="K191" s="874"/>
      <c r="L191" s="875"/>
      <c r="M191" s="794"/>
      <c r="N191" s="863"/>
      <c r="O191" s="864"/>
      <c r="P191" s="863"/>
      <c r="Q191" s="864"/>
      <c r="R191" s="794"/>
      <c r="S191" s="900"/>
      <c r="T191" s="794"/>
      <c r="U191" s="881"/>
      <c r="V191" s="903"/>
      <c r="W191" s="794"/>
      <c r="X191" s="794"/>
      <c r="Y191" s="906"/>
      <c r="Z191" s="1"/>
      <c r="AA191" s="1"/>
      <c r="AB191" s="1"/>
      <c r="AC191" s="1"/>
      <c r="AD191" s="1"/>
      <c r="AE191" s="1"/>
      <c r="AF191" s="1"/>
      <c r="AG191" s="1"/>
      <c r="AH191" s="1"/>
      <c r="AI191" s="1"/>
      <c r="AJ191" s="1"/>
      <c r="AK191" s="1"/>
      <c r="AL191" s="1"/>
      <c r="AM191" s="1"/>
      <c r="AN191" s="1"/>
    </row>
    <row r="192" spans="1:40" ht="15" hidden="1" outlineLevel="1" thickTop="1">
      <c r="A192" s="127"/>
      <c r="B192" s="773"/>
      <c r="C192" s="876"/>
      <c r="D192" s="879"/>
      <c r="E192" s="868"/>
      <c r="F192" s="869"/>
      <c r="G192" s="772"/>
      <c r="H192" s="772"/>
      <c r="I192" s="213" t="s">
        <v>188</v>
      </c>
      <c r="J192" s="214"/>
      <c r="K192" s="870"/>
      <c r="L192" s="871"/>
      <c r="M192" s="792"/>
      <c r="N192" s="835"/>
      <c r="O192" s="836"/>
      <c r="P192" s="835"/>
      <c r="Q192" s="836"/>
      <c r="R192" s="792"/>
      <c r="S192" s="898"/>
      <c r="T192" s="792"/>
      <c r="U192" s="879"/>
      <c r="V192" s="901"/>
      <c r="W192" s="792"/>
      <c r="X192" s="792"/>
      <c r="Y192" s="904"/>
      <c r="Z192" s="1"/>
      <c r="AA192" s="1"/>
      <c r="AB192" s="1"/>
      <c r="AC192" s="1"/>
      <c r="AD192" s="1"/>
      <c r="AE192" s="1"/>
      <c r="AF192" s="1"/>
      <c r="AG192" s="1"/>
      <c r="AH192" s="1"/>
      <c r="AI192" s="1"/>
      <c r="AJ192" s="1"/>
      <c r="AK192" s="1"/>
      <c r="AL192" s="1"/>
      <c r="AM192" s="1"/>
      <c r="AN192" s="1"/>
    </row>
    <row r="193" spans="1:40" hidden="1" outlineLevel="1">
      <c r="A193" s="127"/>
      <c r="B193" s="773"/>
      <c r="C193" s="877"/>
      <c r="D193" s="880"/>
      <c r="E193" s="801"/>
      <c r="F193" s="802"/>
      <c r="G193" s="781"/>
      <c r="H193" s="781"/>
      <c r="I193" s="215" t="s">
        <v>189</v>
      </c>
      <c r="J193" s="216"/>
      <c r="K193" s="872"/>
      <c r="L193" s="873"/>
      <c r="M193" s="793"/>
      <c r="N193" s="837"/>
      <c r="O193" s="838"/>
      <c r="P193" s="837"/>
      <c r="Q193" s="838"/>
      <c r="R193" s="793"/>
      <c r="S193" s="899"/>
      <c r="T193" s="793"/>
      <c r="U193" s="880"/>
      <c r="V193" s="902"/>
      <c r="W193" s="793"/>
      <c r="X193" s="793"/>
      <c r="Y193" s="905"/>
      <c r="Z193" s="1"/>
      <c r="AA193" s="1"/>
      <c r="AB193" s="1"/>
      <c r="AC193" s="1"/>
      <c r="AD193" s="1"/>
      <c r="AE193" s="1"/>
      <c r="AF193" s="1"/>
      <c r="AG193" s="1"/>
      <c r="AH193" s="1"/>
      <c r="AI193" s="1"/>
      <c r="AJ193" s="1"/>
      <c r="AK193" s="1"/>
      <c r="AL193" s="1"/>
      <c r="AM193" s="1"/>
      <c r="AN193" s="1"/>
    </row>
    <row r="194" spans="1:40" ht="15.6" hidden="1" customHeight="1" outlineLevel="1" thickBot="1">
      <c r="A194" s="127"/>
      <c r="B194" s="773"/>
      <c r="C194" s="878"/>
      <c r="D194" s="881"/>
      <c r="E194" s="866"/>
      <c r="F194" s="867"/>
      <c r="G194" s="782"/>
      <c r="H194" s="782"/>
      <c r="I194" s="217" t="s">
        <v>190</v>
      </c>
      <c r="J194" s="218"/>
      <c r="K194" s="874"/>
      <c r="L194" s="875"/>
      <c r="M194" s="794"/>
      <c r="N194" s="863"/>
      <c r="O194" s="864"/>
      <c r="P194" s="863"/>
      <c r="Q194" s="864"/>
      <c r="R194" s="794"/>
      <c r="S194" s="900"/>
      <c r="T194" s="794"/>
      <c r="U194" s="881"/>
      <c r="V194" s="903"/>
      <c r="W194" s="794"/>
      <c r="X194" s="794"/>
      <c r="Y194" s="906"/>
      <c r="Z194" s="1"/>
      <c r="AA194" s="1"/>
      <c r="AB194" s="1"/>
      <c r="AC194" s="1"/>
      <c r="AD194" s="1"/>
      <c r="AE194" s="1"/>
      <c r="AF194" s="1"/>
      <c r="AG194" s="1"/>
      <c r="AH194" s="1"/>
      <c r="AI194" s="1"/>
      <c r="AJ194" s="1"/>
      <c r="AK194" s="1"/>
      <c r="AL194" s="1"/>
      <c r="AM194" s="1"/>
      <c r="AN194" s="1"/>
    </row>
    <row r="195" spans="1:40" ht="15" hidden="1" outlineLevel="1" thickTop="1">
      <c r="A195" s="127"/>
      <c r="B195" s="773"/>
      <c r="C195" s="876"/>
      <c r="D195" s="879"/>
      <c r="E195" s="868"/>
      <c r="F195" s="869"/>
      <c r="G195" s="772"/>
      <c r="H195" s="772"/>
      <c r="I195" s="213" t="s">
        <v>188</v>
      </c>
      <c r="J195" s="214"/>
      <c r="K195" s="870"/>
      <c r="L195" s="871"/>
      <c r="M195" s="792"/>
      <c r="N195" s="835"/>
      <c r="O195" s="836"/>
      <c r="P195" s="835"/>
      <c r="Q195" s="836"/>
      <c r="R195" s="792"/>
      <c r="S195" s="898"/>
      <c r="T195" s="792"/>
      <c r="U195" s="879"/>
      <c r="V195" s="901"/>
      <c r="W195" s="792"/>
      <c r="X195" s="792"/>
      <c r="Y195" s="904"/>
      <c r="Z195" s="1"/>
      <c r="AA195" s="1"/>
      <c r="AB195" s="1"/>
      <c r="AC195" s="1"/>
      <c r="AD195" s="1"/>
      <c r="AE195" s="1"/>
      <c r="AF195" s="1"/>
      <c r="AG195" s="1"/>
      <c r="AH195" s="1"/>
      <c r="AI195" s="1"/>
      <c r="AJ195" s="1"/>
      <c r="AK195" s="1"/>
      <c r="AL195" s="1"/>
      <c r="AM195" s="1"/>
      <c r="AN195" s="1"/>
    </row>
    <row r="196" spans="1:40" hidden="1" outlineLevel="1">
      <c r="A196" s="127"/>
      <c r="B196" s="773"/>
      <c r="C196" s="877"/>
      <c r="D196" s="880"/>
      <c r="E196" s="801"/>
      <c r="F196" s="802"/>
      <c r="G196" s="781"/>
      <c r="H196" s="781"/>
      <c r="I196" s="215" t="s">
        <v>189</v>
      </c>
      <c r="J196" s="216"/>
      <c r="K196" s="872"/>
      <c r="L196" s="873"/>
      <c r="M196" s="793"/>
      <c r="N196" s="837"/>
      <c r="O196" s="838"/>
      <c r="P196" s="837"/>
      <c r="Q196" s="838"/>
      <c r="R196" s="793"/>
      <c r="S196" s="899"/>
      <c r="T196" s="793"/>
      <c r="U196" s="880"/>
      <c r="V196" s="902"/>
      <c r="W196" s="793"/>
      <c r="X196" s="793"/>
      <c r="Y196" s="905"/>
      <c r="Z196" s="1"/>
      <c r="AA196" s="1"/>
      <c r="AB196" s="1"/>
      <c r="AC196" s="1"/>
      <c r="AD196" s="1"/>
      <c r="AE196" s="1"/>
      <c r="AF196" s="1"/>
      <c r="AG196" s="1"/>
      <c r="AH196" s="1"/>
      <c r="AI196" s="1"/>
      <c r="AJ196" s="1"/>
      <c r="AK196" s="1"/>
      <c r="AL196" s="1"/>
      <c r="AM196" s="1"/>
      <c r="AN196" s="1"/>
    </row>
    <row r="197" spans="1:40" ht="15.6" hidden="1" customHeight="1" outlineLevel="1" thickBot="1">
      <c r="A197" s="127"/>
      <c r="B197" s="773"/>
      <c r="C197" s="878"/>
      <c r="D197" s="881"/>
      <c r="E197" s="866"/>
      <c r="F197" s="867"/>
      <c r="G197" s="782"/>
      <c r="H197" s="782"/>
      <c r="I197" s="217" t="s">
        <v>190</v>
      </c>
      <c r="J197" s="218"/>
      <c r="K197" s="874"/>
      <c r="L197" s="875"/>
      <c r="M197" s="794"/>
      <c r="N197" s="863"/>
      <c r="O197" s="864"/>
      <c r="P197" s="863"/>
      <c r="Q197" s="864"/>
      <c r="R197" s="794"/>
      <c r="S197" s="900"/>
      <c r="T197" s="794"/>
      <c r="U197" s="881"/>
      <c r="V197" s="903"/>
      <c r="W197" s="794"/>
      <c r="X197" s="794"/>
      <c r="Y197" s="906"/>
      <c r="Z197" s="1"/>
      <c r="AA197" s="1"/>
      <c r="AB197" s="1"/>
      <c r="AC197" s="1"/>
      <c r="AD197" s="1"/>
      <c r="AE197" s="1"/>
      <c r="AF197" s="1"/>
      <c r="AG197" s="1"/>
      <c r="AH197" s="1"/>
      <c r="AI197" s="1"/>
      <c r="AJ197" s="1"/>
      <c r="AK197" s="1"/>
      <c r="AL197" s="1"/>
      <c r="AM197" s="1"/>
      <c r="AN197" s="1"/>
    </row>
    <row r="198" spans="1:40" ht="15" hidden="1" outlineLevel="1" thickTop="1">
      <c r="A198" s="127"/>
      <c r="B198" s="773"/>
      <c r="C198" s="876"/>
      <c r="D198" s="879"/>
      <c r="E198" s="868"/>
      <c r="F198" s="869"/>
      <c r="G198" s="772"/>
      <c r="H198" s="772"/>
      <c r="I198" s="213" t="s">
        <v>188</v>
      </c>
      <c r="J198" s="214"/>
      <c r="K198" s="870"/>
      <c r="L198" s="871"/>
      <c r="M198" s="792"/>
      <c r="N198" s="835"/>
      <c r="O198" s="836"/>
      <c r="P198" s="835"/>
      <c r="Q198" s="836"/>
      <c r="R198" s="792"/>
      <c r="S198" s="898"/>
      <c r="T198" s="792"/>
      <c r="U198" s="879"/>
      <c r="V198" s="901"/>
      <c r="W198" s="792"/>
      <c r="X198" s="792"/>
      <c r="Y198" s="904"/>
      <c r="Z198" s="1"/>
      <c r="AA198" s="1"/>
      <c r="AB198" s="1"/>
      <c r="AC198" s="1"/>
      <c r="AD198" s="1"/>
      <c r="AE198" s="1"/>
      <c r="AF198" s="1"/>
      <c r="AG198" s="1"/>
      <c r="AH198" s="1"/>
      <c r="AI198" s="1"/>
      <c r="AJ198" s="1"/>
      <c r="AK198" s="1"/>
      <c r="AL198" s="1"/>
      <c r="AM198" s="1"/>
      <c r="AN198" s="1"/>
    </row>
    <row r="199" spans="1:40" hidden="1" outlineLevel="1">
      <c r="A199" s="127"/>
      <c r="B199" s="773"/>
      <c r="C199" s="877"/>
      <c r="D199" s="880"/>
      <c r="E199" s="801"/>
      <c r="F199" s="802"/>
      <c r="G199" s="781"/>
      <c r="H199" s="781"/>
      <c r="I199" s="215" t="s">
        <v>189</v>
      </c>
      <c r="J199" s="216"/>
      <c r="K199" s="872"/>
      <c r="L199" s="873"/>
      <c r="M199" s="793"/>
      <c r="N199" s="837"/>
      <c r="O199" s="838"/>
      <c r="P199" s="837"/>
      <c r="Q199" s="838"/>
      <c r="R199" s="793"/>
      <c r="S199" s="899"/>
      <c r="T199" s="793"/>
      <c r="U199" s="880"/>
      <c r="V199" s="902"/>
      <c r="W199" s="793"/>
      <c r="X199" s="793"/>
      <c r="Y199" s="905"/>
      <c r="Z199" s="1"/>
      <c r="AA199" s="1"/>
      <c r="AB199" s="1"/>
      <c r="AC199" s="1"/>
      <c r="AD199" s="1"/>
      <c r="AE199" s="1"/>
      <c r="AF199" s="1"/>
      <c r="AG199" s="1"/>
      <c r="AH199" s="1"/>
      <c r="AI199" s="1"/>
      <c r="AJ199" s="1"/>
      <c r="AK199" s="1"/>
      <c r="AL199" s="1"/>
      <c r="AM199" s="1"/>
      <c r="AN199" s="1"/>
    </row>
    <row r="200" spans="1:40" ht="15.6" hidden="1" customHeight="1" outlineLevel="1" thickBot="1">
      <c r="A200" s="127"/>
      <c r="B200" s="773"/>
      <c r="C200" s="878"/>
      <c r="D200" s="881"/>
      <c r="E200" s="866"/>
      <c r="F200" s="867"/>
      <c r="G200" s="782"/>
      <c r="H200" s="782"/>
      <c r="I200" s="217" t="s">
        <v>190</v>
      </c>
      <c r="J200" s="218"/>
      <c r="K200" s="874"/>
      <c r="L200" s="875"/>
      <c r="M200" s="794"/>
      <c r="N200" s="863"/>
      <c r="O200" s="864"/>
      <c r="P200" s="863"/>
      <c r="Q200" s="864"/>
      <c r="R200" s="794"/>
      <c r="S200" s="900"/>
      <c r="T200" s="794"/>
      <c r="U200" s="881"/>
      <c r="V200" s="903"/>
      <c r="W200" s="794"/>
      <c r="X200" s="794"/>
      <c r="Y200" s="906"/>
      <c r="Z200" s="1"/>
      <c r="AA200" s="1"/>
      <c r="AB200" s="1"/>
      <c r="AC200" s="1"/>
      <c r="AD200" s="1"/>
      <c r="AE200" s="1"/>
      <c r="AF200" s="1"/>
      <c r="AG200" s="1"/>
      <c r="AH200" s="1"/>
      <c r="AI200" s="1"/>
      <c r="AJ200" s="1"/>
      <c r="AK200" s="1"/>
      <c r="AL200" s="1"/>
      <c r="AM200" s="1"/>
      <c r="AN200" s="1"/>
    </row>
    <row r="201" spans="1:40" ht="15" hidden="1" outlineLevel="1" thickTop="1">
      <c r="A201" s="127"/>
      <c r="B201" s="773"/>
      <c r="C201" s="876"/>
      <c r="D201" s="879"/>
      <c r="E201" s="868"/>
      <c r="F201" s="869"/>
      <c r="G201" s="772"/>
      <c r="H201" s="772"/>
      <c r="I201" s="213" t="s">
        <v>188</v>
      </c>
      <c r="J201" s="214"/>
      <c r="K201" s="870"/>
      <c r="L201" s="871"/>
      <c r="M201" s="792"/>
      <c r="N201" s="835"/>
      <c r="O201" s="836"/>
      <c r="P201" s="835"/>
      <c r="Q201" s="836"/>
      <c r="R201" s="792"/>
      <c r="S201" s="898"/>
      <c r="T201" s="792"/>
      <c r="U201" s="879"/>
      <c r="V201" s="901"/>
      <c r="W201" s="792"/>
      <c r="X201" s="792"/>
      <c r="Y201" s="904"/>
      <c r="Z201" s="1"/>
      <c r="AA201" s="1"/>
      <c r="AB201" s="1"/>
      <c r="AC201" s="1"/>
      <c r="AD201" s="1"/>
      <c r="AE201" s="1"/>
      <c r="AF201" s="1"/>
      <c r="AG201" s="1"/>
      <c r="AH201" s="1"/>
      <c r="AI201" s="1"/>
      <c r="AJ201" s="1"/>
      <c r="AK201" s="1"/>
      <c r="AL201" s="1"/>
      <c r="AM201" s="1"/>
      <c r="AN201" s="1"/>
    </row>
    <row r="202" spans="1:40" hidden="1" outlineLevel="1">
      <c r="A202" s="127"/>
      <c r="B202" s="773"/>
      <c r="C202" s="877"/>
      <c r="D202" s="880"/>
      <c r="E202" s="801"/>
      <c r="F202" s="802"/>
      <c r="G202" s="781"/>
      <c r="H202" s="781"/>
      <c r="I202" s="215" t="s">
        <v>189</v>
      </c>
      <c r="J202" s="216"/>
      <c r="K202" s="872"/>
      <c r="L202" s="873"/>
      <c r="M202" s="793"/>
      <c r="N202" s="837"/>
      <c r="O202" s="838"/>
      <c r="P202" s="837"/>
      <c r="Q202" s="838"/>
      <c r="R202" s="793"/>
      <c r="S202" s="899"/>
      <c r="T202" s="793"/>
      <c r="U202" s="880"/>
      <c r="V202" s="902"/>
      <c r="W202" s="793"/>
      <c r="X202" s="793"/>
      <c r="Y202" s="905"/>
      <c r="Z202" s="1"/>
      <c r="AA202" s="1"/>
      <c r="AB202" s="1"/>
      <c r="AC202" s="1"/>
      <c r="AD202" s="1"/>
      <c r="AE202" s="1"/>
      <c r="AF202" s="1"/>
      <c r="AG202" s="1"/>
      <c r="AH202" s="1"/>
      <c r="AI202" s="1"/>
      <c r="AJ202" s="1"/>
      <c r="AK202" s="1"/>
      <c r="AL202" s="1"/>
      <c r="AM202" s="1"/>
      <c r="AN202" s="1"/>
    </row>
    <row r="203" spans="1:40" ht="15.6" hidden="1" customHeight="1" outlineLevel="1" thickBot="1">
      <c r="A203" s="127"/>
      <c r="B203" s="773"/>
      <c r="C203" s="878"/>
      <c r="D203" s="881"/>
      <c r="E203" s="866"/>
      <c r="F203" s="867"/>
      <c r="G203" s="782"/>
      <c r="H203" s="782"/>
      <c r="I203" s="217" t="s">
        <v>190</v>
      </c>
      <c r="J203" s="218"/>
      <c r="K203" s="874"/>
      <c r="L203" s="875"/>
      <c r="M203" s="794"/>
      <c r="N203" s="863"/>
      <c r="O203" s="864"/>
      <c r="P203" s="863"/>
      <c r="Q203" s="864"/>
      <c r="R203" s="794"/>
      <c r="S203" s="900"/>
      <c r="T203" s="794"/>
      <c r="U203" s="881"/>
      <c r="V203" s="903"/>
      <c r="W203" s="794"/>
      <c r="X203" s="794"/>
      <c r="Y203" s="906"/>
      <c r="Z203" s="1"/>
      <c r="AA203" s="1"/>
      <c r="AB203" s="1"/>
      <c r="AC203" s="1"/>
      <c r="AD203" s="1"/>
      <c r="AE203" s="1"/>
      <c r="AF203" s="1"/>
      <c r="AG203" s="1"/>
      <c r="AH203" s="1"/>
      <c r="AI203" s="1"/>
      <c r="AJ203" s="1"/>
      <c r="AK203" s="1"/>
      <c r="AL203" s="1"/>
      <c r="AM203" s="1"/>
      <c r="AN203" s="1"/>
    </row>
    <row r="204" spans="1:40" ht="15" hidden="1" outlineLevel="1" thickTop="1">
      <c r="A204" s="127"/>
      <c r="B204" s="773"/>
      <c r="C204" s="876"/>
      <c r="D204" s="879"/>
      <c r="E204" s="868"/>
      <c r="F204" s="869"/>
      <c r="G204" s="772"/>
      <c r="H204" s="772"/>
      <c r="I204" s="213" t="s">
        <v>188</v>
      </c>
      <c r="J204" s="214"/>
      <c r="K204" s="870"/>
      <c r="L204" s="871"/>
      <c r="M204" s="792"/>
      <c r="N204" s="835"/>
      <c r="O204" s="836"/>
      <c r="P204" s="835"/>
      <c r="Q204" s="836"/>
      <c r="R204" s="792"/>
      <c r="S204" s="898"/>
      <c r="T204" s="792"/>
      <c r="U204" s="879"/>
      <c r="V204" s="901"/>
      <c r="W204" s="792"/>
      <c r="X204" s="792"/>
      <c r="Y204" s="904"/>
      <c r="Z204" s="1"/>
      <c r="AA204" s="1"/>
      <c r="AB204" s="1"/>
      <c r="AC204" s="1"/>
      <c r="AD204" s="1"/>
      <c r="AE204" s="1"/>
      <c r="AF204" s="1"/>
      <c r="AG204" s="1"/>
      <c r="AH204" s="1"/>
      <c r="AI204" s="1"/>
      <c r="AJ204" s="1"/>
      <c r="AK204" s="1"/>
      <c r="AL204" s="1"/>
      <c r="AM204" s="1"/>
      <c r="AN204" s="1"/>
    </row>
    <row r="205" spans="1:40" hidden="1" outlineLevel="1">
      <c r="A205" s="127"/>
      <c r="B205" s="773"/>
      <c r="C205" s="877"/>
      <c r="D205" s="880"/>
      <c r="E205" s="801"/>
      <c r="F205" s="802"/>
      <c r="G205" s="781"/>
      <c r="H205" s="781"/>
      <c r="I205" s="215" t="s">
        <v>189</v>
      </c>
      <c r="J205" s="216"/>
      <c r="K205" s="872"/>
      <c r="L205" s="873"/>
      <c r="M205" s="793"/>
      <c r="N205" s="837"/>
      <c r="O205" s="838"/>
      <c r="P205" s="837"/>
      <c r="Q205" s="838"/>
      <c r="R205" s="793"/>
      <c r="S205" s="899"/>
      <c r="T205" s="793"/>
      <c r="U205" s="880"/>
      <c r="V205" s="902"/>
      <c r="W205" s="793"/>
      <c r="X205" s="793"/>
      <c r="Y205" s="905"/>
      <c r="Z205" s="1"/>
      <c r="AA205" s="1"/>
      <c r="AB205" s="1"/>
      <c r="AC205" s="1"/>
      <c r="AD205" s="1"/>
      <c r="AE205" s="1"/>
      <c r="AF205" s="1"/>
      <c r="AG205" s="1"/>
      <c r="AH205" s="1"/>
      <c r="AI205" s="1"/>
      <c r="AJ205" s="1"/>
      <c r="AK205" s="1"/>
      <c r="AL205" s="1"/>
      <c r="AM205" s="1"/>
      <c r="AN205" s="1"/>
    </row>
    <row r="206" spans="1:40" ht="15.6" hidden="1" customHeight="1" outlineLevel="1" thickBot="1">
      <c r="A206" s="127"/>
      <c r="B206" s="773"/>
      <c r="C206" s="878"/>
      <c r="D206" s="881"/>
      <c r="E206" s="866"/>
      <c r="F206" s="867"/>
      <c r="G206" s="782"/>
      <c r="H206" s="782"/>
      <c r="I206" s="217" t="s">
        <v>190</v>
      </c>
      <c r="J206" s="218"/>
      <c r="K206" s="874"/>
      <c r="L206" s="875"/>
      <c r="M206" s="794"/>
      <c r="N206" s="863"/>
      <c r="O206" s="864"/>
      <c r="P206" s="863"/>
      <c r="Q206" s="864"/>
      <c r="R206" s="794"/>
      <c r="S206" s="900"/>
      <c r="T206" s="794"/>
      <c r="U206" s="881"/>
      <c r="V206" s="903"/>
      <c r="W206" s="794"/>
      <c r="X206" s="794"/>
      <c r="Y206" s="906"/>
      <c r="Z206" s="1"/>
      <c r="AA206" s="1"/>
      <c r="AB206" s="1"/>
      <c r="AC206" s="1"/>
      <c r="AD206" s="1"/>
      <c r="AE206" s="1"/>
      <c r="AF206" s="1"/>
      <c r="AG206" s="1"/>
      <c r="AH206" s="1"/>
      <c r="AI206" s="1"/>
      <c r="AJ206" s="1"/>
      <c r="AK206" s="1"/>
      <c r="AL206" s="1"/>
      <c r="AM206" s="1"/>
      <c r="AN206" s="1"/>
    </row>
    <row r="207" spans="1:40" ht="15" hidden="1" outlineLevel="1" thickTop="1">
      <c r="A207" s="127"/>
      <c r="B207" s="773"/>
      <c r="C207" s="876"/>
      <c r="D207" s="879"/>
      <c r="E207" s="868"/>
      <c r="F207" s="869"/>
      <c r="G207" s="772"/>
      <c r="H207" s="772"/>
      <c r="I207" s="213" t="s">
        <v>188</v>
      </c>
      <c r="J207" s="214"/>
      <c r="K207" s="870"/>
      <c r="L207" s="871"/>
      <c r="M207" s="792"/>
      <c r="N207" s="835"/>
      <c r="O207" s="836"/>
      <c r="P207" s="835"/>
      <c r="Q207" s="836"/>
      <c r="R207" s="792"/>
      <c r="S207" s="898"/>
      <c r="T207" s="792"/>
      <c r="U207" s="879"/>
      <c r="V207" s="901"/>
      <c r="W207" s="792"/>
      <c r="X207" s="792"/>
      <c r="Y207" s="904"/>
      <c r="Z207" s="1"/>
      <c r="AA207" s="1"/>
      <c r="AB207" s="1"/>
      <c r="AC207" s="1"/>
      <c r="AD207" s="1"/>
      <c r="AE207" s="1"/>
      <c r="AF207" s="1"/>
      <c r="AG207" s="1"/>
      <c r="AH207" s="1"/>
      <c r="AI207" s="1"/>
      <c r="AJ207" s="1"/>
      <c r="AK207" s="1"/>
      <c r="AL207" s="1"/>
      <c r="AM207" s="1"/>
      <c r="AN207" s="1"/>
    </row>
    <row r="208" spans="1:40" hidden="1" outlineLevel="1">
      <c r="A208" s="127"/>
      <c r="B208" s="773"/>
      <c r="C208" s="877"/>
      <c r="D208" s="880"/>
      <c r="E208" s="801"/>
      <c r="F208" s="802"/>
      <c r="G208" s="781"/>
      <c r="H208" s="781"/>
      <c r="I208" s="215" t="s">
        <v>189</v>
      </c>
      <c r="J208" s="216"/>
      <c r="K208" s="872"/>
      <c r="L208" s="873"/>
      <c r="M208" s="793"/>
      <c r="N208" s="837"/>
      <c r="O208" s="838"/>
      <c r="P208" s="837"/>
      <c r="Q208" s="838"/>
      <c r="R208" s="793"/>
      <c r="S208" s="899"/>
      <c r="T208" s="793"/>
      <c r="U208" s="880"/>
      <c r="V208" s="902"/>
      <c r="W208" s="793"/>
      <c r="X208" s="793"/>
      <c r="Y208" s="905"/>
      <c r="Z208" s="1"/>
      <c r="AA208" s="1"/>
      <c r="AB208" s="1"/>
      <c r="AC208" s="1"/>
      <c r="AD208" s="1"/>
      <c r="AE208" s="1"/>
      <c r="AF208" s="1"/>
      <c r="AG208" s="1"/>
      <c r="AH208" s="1"/>
      <c r="AI208" s="1"/>
      <c r="AJ208" s="1"/>
      <c r="AK208" s="1"/>
      <c r="AL208" s="1"/>
      <c r="AM208" s="1"/>
      <c r="AN208" s="1"/>
    </row>
    <row r="209" spans="1:40" ht="15.6" hidden="1" customHeight="1" outlineLevel="1" thickBot="1">
      <c r="A209" s="127"/>
      <c r="B209" s="773"/>
      <c r="C209" s="878"/>
      <c r="D209" s="881"/>
      <c r="E209" s="866"/>
      <c r="F209" s="867"/>
      <c r="G209" s="782"/>
      <c r="H209" s="782"/>
      <c r="I209" s="217" t="s">
        <v>190</v>
      </c>
      <c r="J209" s="218"/>
      <c r="K209" s="874"/>
      <c r="L209" s="875"/>
      <c r="M209" s="794"/>
      <c r="N209" s="863"/>
      <c r="O209" s="864"/>
      <c r="P209" s="863"/>
      <c r="Q209" s="864"/>
      <c r="R209" s="794"/>
      <c r="S209" s="900"/>
      <c r="T209" s="794"/>
      <c r="U209" s="881"/>
      <c r="V209" s="903"/>
      <c r="W209" s="794"/>
      <c r="X209" s="794"/>
      <c r="Y209" s="906"/>
      <c r="Z209" s="1"/>
      <c r="AA209" s="1"/>
      <c r="AB209" s="1"/>
      <c r="AC209" s="1"/>
      <c r="AD209" s="1"/>
      <c r="AE209" s="1"/>
      <c r="AF209" s="1"/>
      <c r="AG209" s="1"/>
      <c r="AH209" s="1"/>
      <c r="AI209" s="1"/>
      <c r="AJ209" s="1"/>
      <c r="AK209" s="1"/>
      <c r="AL209" s="1"/>
      <c r="AM209" s="1"/>
      <c r="AN209" s="1"/>
    </row>
    <row r="210" spans="1:40" ht="15" hidden="1" outlineLevel="1" thickTop="1">
      <c r="A210" s="127"/>
      <c r="B210" s="773"/>
      <c r="C210" s="876"/>
      <c r="D210" s="879"/>
      <c r="E210" s="868"/>
      <c r="F210" s="869"/>
      <c r="G210" s="772"/>
      <c r="H210" s="772"/>
      <c r="I210" s="213" t="s">
        <v>188</v>
      </c>
      <c r="J210" s="214"/>
      <c r="K210" s="870"/>
      <c r="L210" s="871"/>
      <c r="M210" s="792"/>
      <c r="N210" s="835"/>
      <c r="O210" s="836"/>
      <c r="P210" s="835"/>
      <c r="Q210" s="836"/>
      <c r="R210" s="792"/>
      <c r="S210" s="898"/>
      <c r="T210" s="792"/>
      <c r="U210" s="879"/>
      <c r="V210" s="901"/>
      <c r="W210" s="792"/>
      <c r="X210" s="792"/>
      <c r="Y210" s="904"/>
      <c r="Z210" s="1"/>
      <c r="AA210" s="1"/>
      <c r="AB210" s="1"/>
      <c r="AC210" s="1"/>
      <c r="AD210" s="1"/>
      <c r="AE210" s="1"/>
      <c r="AF210" s="1"/>
      <c r="AG210" s="1"/>
      <c r="AH210" s="1"/>
      <c r="AI210" s="1"/>
      <c r="AJ210" s="1"/>
      <c r="AK210" s="1"/>
      <c r="AL210" s="1"/>
      <c r="AM210" s="1"/>
      <c r="AN210" s="1"/>
    </row>
    <row r="211" spans="1:40" hidden="1" outlineLevel="1">
      <c r="A211" s="127"/>
      <c r="B211" s="773"/>
      <c r="C211" s="877"/>
      <c r="D211" s="880"/>
      <c r="E211" s="801"/>
      <c r="F211" s="802"/>
      <c r="G211" s="781"/>
      <c r="H211" s="781"/>
      <c r="I211" s="215" t="s">
        <v>189</v>
      </c>
      <c r="J211" s="216"/>
      <c r="K211" s="872"/>
      <c r="L211" s="873"/>
      <c r="M211" s="793"/>
      <c r="N211" s="837"/>
      <c r="O211" s="838"/>
      <c r="P211" s="837"/>
      <c r="Q211" s="838"/>
      <c r="R211" s="793"/>
      <c r="S211" s="899"/>
      <c r="T211" s="793"/>
      <c r="U211" s="880"/>
      <c r="V211" s="902"/>
      <c r="W211" s="793"/>
      <c r="X211" s="793"/>
      <c r="Y211" s="905"/>
      <c r="Z211" s="1"/>
      <c r="AA211" s="1"/>
      <c r="AB211" s="1"/>
      <c r="AC211" s="1"/>
      <c r="AD211" s="1"/>
      <c r="AE211" s="1"/>
      <c r="AF211" s="1"/>
      <c r="AG211" s="1"/>
      <c r="AH211" s="1"/>
      <c r="AI211" s="1"/>
      <c r="AJ211" s="1"/>
      <c r="AK211" s="1"/>
      <c r="AL211" s="1"/>
      <c r="AM211" s="1"/>
      <c r="AN211" s="1"/>
    </row>
    <row r="212" spans="1:40" ht="15.6" hidden="1" customHeight="1" outlineLevel="1" thickBot="1">
      <c r="A212" s="127"/>
      <c r="B212" s="773"/>
      <c r="C212" s="878"/>
      <c r="D212" s="881"/>
      <c r="E212" s="866"/>
      <c r="F212" s="867"/>
      <c r="G212" s="782"/>
      <c r="H212" s="782"/>
      <c r="I212" s="217" t="s">
        <v>190</v>
      </c>
      <c r="J212" s="218"/>
      <c r="K212" s="874"/>
      <c r="L212" s="875"/>
      <c r="M212" s="794"/>
      <c r="N212" s="863"/>
      <c r="O212" s="864"/>
      <c r="P212" s="863"/>
      <c r="Q212" s="864"/>
      <c r="R212" s="794"/>
      <c r="S212" s="900"/>
      <c r="T212" s="794"/>
      <c r="U212" s="881"/>
      <c r="V212" s="903"/>
      <c r="W212" s="794"/>
      <c r="X212" s="794"/>
      <c r="Y212" s="906"/>
      <c r="Z212" s="1"/>
      <c r="AA212" s="1"/>
      <c r="AB212" s="1"/>
      <c r="AC212" s="1"/>
      <c r="AD212" s="1"/>
      <c r="AE212" s="1"/>
      <c r="AF212" s="1"/>
      <c r="AG212" s="1"/>
      <c r="AH212" s="1"/>
      <c r="AI212" s="1"/>
      <c r="AJ212" s="1"/>
      <c r="AK212" s="1"/>
      <c r="AL212" s="1"/>
      <c r="AM212" s="1"/>
      <c r="AN212" s="1"/>
    </row>
    <row r="213" spans="1:40" ht="15" hidden="1" outlineLevel="1" thickTop="1">
      <c r="A213" s="127"/>
      <c r="B213" s="773"/>
      <c r="C213" s="876"/>
      <c r="D213" s="879"/>
      <c r="E213" s="868"/>
      <c r="F213" s="869"/>
      <c r="G213" s="772"/>
      <c r="H213" s="772"/>
      <c r="I213" s="213" t="s">
        <v>188</v>
      </c>
      <c r="J213" s="214"/>
      <c r="K213" s="870"/>
      <c r="L213" s="871"/>
      <c r="M213" s="792"/>
      <c r="N213" s="835"/>
      <c r="O213" s="836"/>
      <c r="P213" s="835"/>
      <c r="Q213" s="836"/>
      <c r="R213" s="792"/>
      <c r="S213" s="898"/>
      <c r="T213" s="792"/>
      <c r="U213" s="879"/>
      <c r="V213" s="901"/>
      <c r="W213" s="792"/>
      <c r="X213" s="792"/>
      <c r="Y213" s="904"/>
      <c r="Z213" s="1"/>
      <c r="AA213" s="1"/>
      <c r="AB213" s="1"/>
      <c r="AC213" s="1"/>
      <c r="AD213" s="1"/>
      <c r="AE213" s="1"/>
      <c r="AF213" s="1"/>
      <c r="AG213" s="1"/>
      <c r="AH213" s="1"/>
      <c r="AI213" s="1"/>
      <c r="AJ213" s="1"/>
      <c r="AK213" s="1"/>
      <c r="AL213" s="1"/>
      <c r="AM213" s="1"/>
      <c r="AN213" s="1"/>
    </row>
    <row r="214" spans="1:40" hidden="1" outlineLevel="1">
      <c r="A214" s="127"/>
      <c r="B214" s="773"/>
      <c r="C214" s="877"/>
      <c r="D214" s="880"/>
      <c r="E214" s="801"/>
      <c r="F214" s="802"/>
      <c r="G214" s="781"/>
      <c r="H214" s="781"/>
      <c r="I214" s="215" t="s">
        <v>189</v>
      </c>
      <c r="J214" s="216"/>
      <c r="K214" s="872"/>
      <c r="L214" s="873"/>
      <c r="M214" s="793"/>
      <c r="N214" s="837"/>
      <c r="O214" s="838"/>
      <c r="P214" s="837"/>
      <c r="Q214" s="838"/>
      <c r="R214" s="793"/>
      <c r="S214" s="899"/>
      <c r="T214" s="793"/>
      <c r="U214" s="880"/>
      <c r="V214" s="902"/>
      <c r="W214" s="793"/>
      <c r="X214" s="793"/>
      <c r="Y214" s="905"/>
      <c r="Z214" s="1"/>
      <c r="AA214" s="1"/>
      <c r="AB214" s="1"/>
      <c r="AC214" s="1"/>
      <c r="AD214" s="1"/>
      <c r="AE214" s="1"/>
      <c r="AF214" s="1"/>
      <c r="AG214" s="1"/>
      <c r="AH214" s="1"/>
      <c r="AI214" s="1"/>
      <c r="AJ214" s="1"/>
      <c r="AK214" s="1"/>
      <c r="AL214" s="1"/>
      <c r="AM214" s="1"/>
      <c r="AN214" s="1"/>
    </row>
    <row r="215" spans="1:40" ht="15.6" hidden="1" customHeight="1" outlineLevel="1" thickBot="1">
      <c r="A215" s="127"/>
      <c r="B215" s="773"/>
      <c r="C215" s="878"/>
      <c r="D215" s="881"/>
      <c r="E215" s="866"/>
      <c r="F215" s="867"/>
      <c r="G215" s="782"/>
      <c r="H215" s="782"/>
      <c r="I215" s="217" t="s">
        <v>190</v>
      </c>
      <c r="J215" s="218"/>
      <c r="K215" s="874"/>
      <c r="L215" s="875"/>
      <c r="M215" s="794"/>
      <c r="N215" s="863"/>
      <c r="O215" s="864"/>
      <c r="P215" s="863"/>
      <c r="Q215" s="864"/>
      <c r="R215" s="794"/>
      <c r="S215" s="900"/>
      <c r="T215" s="794"/>
      <c r="U215" s="881"/>
      <c r="V215" s="903"/>
      <c r="W215" s="794"/>
      <c r="X215" s="794"/>
      <c r="Y215" s="906"/>
      <c r="Z215" s="1"/>
      <c r="AA215" s="1"/>
      <c r="AB215" s="1"/>
      <c r="AC215" s="1"/>
      <c r="AD215" s="1"/>
      <c r="AE215" s="1"/>
      <c r="AF215" s="1"/>
      <c r="AG215" s="1"/>
      <c r="AH215" s="1"/>
      <c r="AI215" s="1"/>
      <c r="AJ215" s="1"/>
      <c r="AK215" s="1"/>
      <c r="AL215" s="1"/>
      <c r="AM215" s="1"/>
      <c r="AN215" s="1"/>
    </row>
    <row r="216" spans="1:40" ht="15" hidden="1" outlineLevel="1" thickTop="1">
      <c r="A216" s="127"/>
      <c r="B216" s="773"/>
      <c r="C216" s="876"/>
      <c r="D216" s="879"/>
      <c r="E216" s="868"/>
      <c r="F216" s="869"/>
      <c r="G216" s="772"/>
      <c r="H216" s="772"/>
      <c r="I216" s="213" t="s">
        <v>188</v>
      </c>
      <c r="J216" s="214"/>
      <c r="K216" s="870"/>
      <c r="L216" s="871"/>
      <c r="M216" s="792"/>
      <c r="N216" s="835"/>
      <c r="O216" s="836"/>
      <c r="P216" s="835"/>
      <c r="Q216" s="836"/>
      <c r="R216" s="792"/>
      <c r="S216" s="898"/>
      <c r="T216" s="792"/>
      <c r="U216" s="879"/>
      <c r="V216" s="901"/>
      <c r="W216" s="792"/>
      <c r="X216" s="792"/>
      <c r="Y216" s="904"/>
      <c r="Z216" s="1"/>
      <c r="AA216" s="1"/>
      <c r="AB216" s="1"/>
      <c r="AC216" s="1"/>
      <c r="AD216" s="1"/>
      <c r="AE216" s="1"/>
      <c r="AF216" s="1"/>
      <c r="AG216" s="1"/>
      <c r="AH216" s="1"/>
      <c r="AI216" s="1"/>
      <c r="AJ216" s="1"/>
      <c r="AK216" s="1"/>
      <c r="AL216" s="1"/>
      <c r="AM216" s="1"/>
      <c r="AN216" s="1"/>
    </row>
    <row r="217" spans="1:40" hidden="1" outlineLevel="1">
      <c r="A217" s="127"/>
      <c r="B217" s="773"/>
      <c r="C217" s="877"/>
      <c r="D217" s="880"/>
      <c r="E217" s="801"/>
      <c r="F217" s="802"/>
      <c r="G217" s="781"/>
      <c r="H217" s="781"/>
      <c r="I217" s="215" t="s">
        <v>189</v>
      </c>
      <c r="J217" s="216"/>
      <c r="K217" s="872"/>
      <c r="L217" s="873"/>
      <c r="M217" s="793"/>
      <c r="N217" s="837"/>
      <c r="O217" s="838"/>
      <c r="P217" s="837"/>
      <c r="Q217" s="838"/>
      <c r="R217" s="793"/>
      <c r="S217" s="899"/>
      <c r="T217" s="793"/>
      <c r="U217" s="880"/>
      <c r="V217" s="902"/>
      <c r="W217" s="793"/>
      <c r="X217" s="793"/>
      <c r="Y217" s="905"/>
      <c r="Z217" s="1"/>
      <c r="AA217" s="1"/>
      <c r="AB217" s="1"/>
      <c r="AC217" s="1"/>
      <c r="AD217" s="1"/>
      <c r="AE217" s="1"/>
      <c r="AF217" s="1"/>
      <c r="AG217" s="1"/>
      <c r="AH217" s="1"/>
      <c r="AI217" s="1"/>
      <c r="AJ217" s="1"/>
      <c r="AK217" s="1"/>
      <c r="AL217" s="1"/>
      <c r="AM217" s="1"/>
      <c r="AN217" s="1"/>
    </row>
    <row r="218" spans="1:40" ht="15.6" hidden="1" customHeight="1" outlineLevel="1" thickBot="1">
      <c r="A218" s="127"/>
      <c r="B218" s="773"/>
      <c r="C218" s="878"/>
      <c r="D218" s="881"/>
      <c r="E218" s="866"/>
      <c r="F218" s="867"/>
      <c r="G218" s="782"/>
      <c r="H218" s="782"/>
      <c r="I218" s="217" t="s">
        <v>190</v>
      </c>
      <c r="J218" s="218"/>
      <c r="K218" s="874"/>
      <c r="L218" s="875"/>
      <c r="M218" s="794"/>
      <c r="N218" s="863"/>
      <c r="O218" s="864"/>
      <c r="P218" s="863"/>
      <c r="Q218" s="864"/>
      <c r="R218" s="794"/>
      <c r="S218" s="900"/>
      <c r="T218" s="794"/>
      <c r="U218" s="881"/>
      <c r="V218" s="903"/>
      <c r="W218" s="794"/>
      <c r="X218" s="794"/>
      <c r="Y218" s="906"/>
      <c r="Z218" s="1"/>
      <c r="AA218" s="1"/>
      <c r="AB218" s="1"/>
      <c r="AC218" s="1"/>
      <c r="AD218" s="1"/>
      <c r="AE218" s="1"/>
      <c r="AF218" s="1"/>
      <c r="AG218" s="1"/>
      <c r="AH218" s="1"/>
      <c r="AI218" s="1"/>
      <c r="AJ218" s="1"/>
      <c r="AK218" s="1"/>
      <c r="AL218" s="1"/>
      <c r="AM218" s="1"/>
      <c r="AN218" s="1"/>
    </row>
    <row r="219" spans="1:40" ht="15" hidden="1" outlineLevel="1" thickTop="1">
      <c r="A219" s="127"/>
      <c r="B219" s="773"/>
      <c r="C219" s="876"/>
      <c r="D219" s="879"/>
      <c r="E219" s="868"/>
      <c r="F219" s="869"/>
      <c r="G219" s="772"/>
      <c r="H219" s="772"/>
      <c r="I219" s="213" t="s">
        <v>188</v>
      </c>
      <c r="J219" s="214"/>
      <c r="K219" s="870"/>
      <c r="L219" s="871"/>
      <c r="M219" s="792"/>
      <c r="N219" s="835"/>
      <c r="O219" s="836"/>
      <c r="P219" s="835"/>
      <c r="Q219" s="836"/>
      <c r="R219" s="792"/>
      <c r="S219" s="898"/>
      <c r="T219" s="792"/>
      <c r="U219" s="879"/>
      <c r="V219" s="901"/>
      <c r="W219" s="792"/>
      <c r="X219" s="792"/>
      <c r="Y219" s="904"/>
      <c r="Z219" s="1"/>
      <c r="AA219" s="1"/>
      <c r="AB219" s="1"/>
      <c r="AC219" s="1"/>
      <c r="AD219" s="1"/>
      <c r="AE219" s="1"/>
      <c r="AF219" s="1"/>
      <c r="AG219" s="1"/>
      <c r="AH219" s="1"/>
      <c r="AI219" s="1"/>
      <c r="AJ219" s="1"/>
      <c r="AK219" s="1"/>
      <c r="AL219" s="1"/>
      <c r="AM219" s="1"/>
      <c r="AN219" s="1"/>
    </row>
    <row r="220" spans="1:40" hidden="1" outlineLevel="1">
      <c r="A220" s="127"/>
      <c r="B220" s="773"/>
      <c r="C220" s="877"/>
      <c r="D220" s="880"/>
      <c r="E220" s="801"/>
      <c r="F220" s="802"/>
      <c r="G220" s="781"/>
      <c r="H220" s="781"/>
      <c r="I220" s="215" t="s">
        <v>189</v>
      </c>
      <c r="J220" s="216"/>
      <c r="K220" s="872"/>
      <c r="L220" s="873"/>
      <c r="M220" s="793"/>
      <c r="N220" s="837"/>
      <c r="O220" s="838"/>
      <c r="P220" s="837"/>
      <c r="Q220" s="838"/>
      <c r="R220" s="793"/>
      <c r="S220" s="899"/>
      <c r="T220" s="793"/>
      <c r="U220" s="880"/>
      <c r="V220" s="902"/>
      <c r="W220" s="793"/>
      <c r="X220" s="793"/>
      <c r="Y220" s="905"/>
      <c r="Z220" s="1"/>
      <c r="AA220" s="1"/>
      <c r="AB220" s="1"/>
      <c r="AC220" s="1"/>
      <c r="AD220" s="1"/>
      <c r="AE220" s="1"/>
      <c r="AF220" s="1"/>
      <c r="AG220" s="1"/>
      <c r="AH220" s="1"/>
      <c r="AI220" s="1"/>
      <c r="AJ220" s="1"/>
      <c r="AK220" s="1"/>
      <c r="AL220" s="1"/>
      <c r="AM220" s="1"/>
      <c r="AN220" s="1"/>
    </row>
    <row r="221" spans="1:40" ht="15.6" hidden="1" customHeight="1" outlineLevel="1" thickBot="1">
      <c r="A221" s="127"/>
      <c r="B221" s="773"/>
      <c r="C221" s="878"/>
      <c r="D221" s="881"/>
      <c r="E221" s="866"/>
      <c r="F221" s="867"/>
      <c r="G221" s="782"/>
      <c r="H221" s="782"/>
      <c r="I221" s="217" t="s">
        <v>190</v>
      </c>
      <c r="J221" s="218"/>
      <c r="K221" s="874"/>
      <c r="L221" s="875"/>
      <c r="M221" s="794"/>
      <c r="N221" s="863"/>
      <c r="O221" s="864"/>
      <c r="P221" s="863"/>
      <c r="Q221" s="864"/>
      <c r="R221" s="794"/>
      <c r="S221" s="900"/>
      <c r="T221" s="794"/>
      <c r="U221" s="881"/>
      <c r="V221" s="903"/>
      <c r="W221" s="794"/>
      <c r="X221" s="794"/>
      <c r="Y221" s="906"/>
      <c r="Z221" s="1"/>
      <c r="AA221" s="1"/>
      <c r="AB221" s="1"/>
      <c r="AC221" s="1"/>
      <c r="AD221" s="1"/>
      <c r="AE221" s="1"/>
      <c r="AF221" s="1"/>
      <c r="AG221" s="1"/>
      <c r="AH221" s="1"/>
      <c r="AI221" s="1"/>
      <c r="AJ221" s="1"/>
      <c r="AK221" s="1"/>
      <c r="AL221" s="1"/>
      <c r="AM221" s="1"/>
      <c r="AN221" s="1"/>
    </row>
    <row r="222" spans="1:40" ht="15" hidden="1" outlineLevel="1" thickTop="1">
      <c r="A222" s="127"/>
      <c r="B222" s="773"/>
      <c r="C222" s="876"/>
      <c r="D222" s="879"/>
      <c r="E222" s="868"/>
      <c r="F222" s="869"/>
      <c r="G222" s="772"/>
      <c r="H222" s="772"/>
      <c r="I222" s="213" t="s">
        <v>188</v>
      </c>
      <c r="J222" s="214"/>
      <c r="K222" s="870"/>
      <c r="L222" s="871"/>
      <c r="M222" s="792"/>
      <c r="N222" s="835"/>
      <c r="O222" s="836"/>
      <c r="P222" s="835"/>
      <c r="Q222" s="836"/>
      <c r="R222" s="792"/>
      <c r="S222" s="898"/>
      <c r="T222" s="792"/>
      <c r="U222" s="879"/>
      <c r="V222" s="901"/>
      <c r="W222" s="792"/>
      <c r="X222" s="792"/>
      <c r="Y222" s="904"/>
      <c r="Z222" s="1"/>
      <c r="AA222" s="1"/>
      <c r="AB222" s="1"/>
      <c r="AC222" s="1"/>
      <c r="AD222" s="1"/>
      <c r="AE222" s="1"/>
      <c r="AF222" s="1"/>
      <c r="AG222" s="1"/>
      <c r="AH222" s="1"/>
      <c r="AI222" s="1"/>
      <c r="AJ222" s="1"/>
      <c r="AK222" s="1"/>
      <c r="AL222" s="1"/>
      <c r="AM222" s="1"/>
      <c r="AN222" s="1"/>
    </row>
    <row r="223" spans="1:40" hidden="1" outlineLevel="1">
      <c r="A223" s="127"/>
      <c r="B223" s="773"/>
      <c r="C223" s="877"/>
      <c r="D223" s="880"/>
      <c r="E223" s="801"/>
      <c r="F223" s="802"/>
      <c r="G223" s="781"/>
      <c r="H223" s="781"/>
      <c r="I223" s="215" t="s">
        <v>189</v>
      </c>
      <c r="J223" s="216"/>
      <c r="K223" s="872"/>
      <c r="L223" s="873"/>
      <c r="M223" s="793"/>
      <c r="N223" s="837"/>
      <c r="O223" s="838"/>
      <c r="P223" s="837"/>
      <c r="Q223" s="838"/>
      <c r="R223" s="793"/>
      <c r="S223" s="899"/>
      <c r="T223" s="793"/>
      <c r="U223" s="880"/>
      <c r="V223" s="902"/>
      <c r="W223" s="793"/>
      <c r="X223" s="793"/>
      <c r="Y223" s="905"/>
      <c r="Z223" s="1"/>
      <c r="AA223" s="1"/>
      <c r="AB223" s="1"/>
      <c r="AC223" s="1"/>
      <c r="AD223" s="1"/>
      <c r="AE223" s="1"/>
      <c r="AF223" s="1"/>
      <c r="AG223" s="1"/>
      <c r="AH223" s="1"/>
      <c r="AI223" s="1"/>
      <c r="AJ223" s="1"/>
      <c r="AK223" s="1"/>
      <c r="AL223" s="1"/>
      <c r="AM223" s="1"/>
      <c r="AN223" s="1"/>
    </row>
    <row r="224" spans="1:40" ht="15.6" hidden="1" customHeight="1" outlineLevel="1" thickBot="1">
      <c r="A224" s="127"/>
      <c r="B224" s="773"/>
      <c r="C224" s="878"/>
      <c r="D224" s="881"/>
      <c r="E224" s="866"/>
      <c r="F224" s="867"/>
      <c r="G224" s="782"/>
      <c r="H224" s="782"/>
      <c r="I224" s="217" t="s">
        <v>190</v>
      </c>
      <c r="J224" s="218"/>
      <c r="K224" s="874"/>
      <c r="L224" s="875"/>
      <c r="M224" s="794"/>
      <c r="N224" s="863"/>
      <c r="O224" s="864"/>
      <c r="P224" s="863"/>
      <c r="Q224" s="864"/>
      <c r="R224" s="794"/>
      <c r="S224" s="900"/>
      <c r="T224" s="794"/>
      <c r="U224" s="881"/>
      <c r="V224" s="903"/>
      <c r="W224" s="794"/>
      <c r="X224" s="794"/>
      <c r="Y224" s="906"/>
      <c r="Z224" s="1"/>
      <c r="AA224" s="1"/>
      <c r="AB224" s="1"/>
      <c r="AC224" s="1"/>
      <c r="AD224" s="1"/>
      <c r="AE224" s="1"/>
      <c r="AF224" s="1"/>
      <c r="AG224" s="1"/>
      <c r="AH224" s="1"/>
      <c r="AI224" s="1"/>
      <c r="AJ224" s="1"/>
      <c r="AK224" s="1"/>
      <c r="AL224" s="1"/>
      <c r="AM224" s="1"/>
      <c r="AN224" s="1"/>
    </row>
    <row r="225" spans="1:40" ht="15" hidden="1" outlineLevel="1" thickTop="1">
      <c r="A225" s="127"/>
      <c r="B225" s="773"/>
      <c r="C225" s="876"/>
      <c r="D225" s="879"/>
      <c r="E225" s="868"/>
      <c r="F225" s="869"/>
      <c r="G225" s="772"/>
      <c r="H225" s="772"/>
      <c r="I225" s="213" t="s">
        <v>188</v>
      </c>
      <c r="J225" s="214"/>
      <c r="K225" s="870"/>
      <c r="L225" s="871"/>
      <c r="M225" s="792"/>
      <c r="N225" s="835"/>
      <c r="O225" s="836"/>
      <c r="P225" s="835"/>
      <c r="Q225" s="836"/>
      <c r="R225" s="792"/>
      <c r="S225" s="898"/>
      <c r="T225" s="792"/>
      <c r="U225" s="879"/>
      <c r="V225" s="901"/>
      <c r="W225" s="792"/>
      <c r="X225" s="792"/>
      <c r="Y225" s="904"/>
      <c r="Z225" s="1"/>
      <c r="AA225" s="1"/>
      <c r="AB225" s="1"/>
      <c r="AC225" s="1"/>
      <c r="AD225" s="1"/>
      <c r="AE225" s="1"/>
      <c r="AF225" s="1"/>
      <c r="AG225" s="1"/>
      <c r="AH225" s="1"/>
      <c r="AI225" s="1"/>
      <c r="AJ225" s="1"/>
      <c r="AK225" s="1"/>
      <c r="AL225" s="1"/>
      <c r="AM225" s="1"/>
      <c r="AN225" s="1"/>
    </row>
    <row r="226" spans="1:40" hidden="1" outlineLevel="1">
      <c r="A226" s="127"/>
      <c r="B226" s="773"/>
      <c r="C226" s="877"/>
      <c r="D226" s="880"/>
      <c r="E226" s="801"/>
      <c r="F226" s="802"/>
      <c r="G226" s="781"/>
      <c r="H226" s="781"/>
      <c r="I226" s="215" t="s">
        <v>189</v>
      </c>
      <c r="J226" s="216"/>
      <c r="K226" s="872"/>
      <c r="L226" s="873"/>
      <c r="M226" s="793"/>
      <c r="N226" s="837"/>
      <c r="O226" s="838"/>
      <c r="P226" s="837"/>
      <c r="Q226" s="838"/>
      <c r="R226" s="793"/>
      <c r="S226" s="899"/>
      <c r="T226" s="793"/>
      <c r="U226" s="880"/>
      <c r="V226" s="902"/>
      <c r="W226" s="793"/>
      <c r="X226" s="793"/>
      <c r="Y226" s="905"/>
      <c r="Z226" s="1"/>
      <c r="AA226" s="1"/>
      <c r="AB226" s="1"/>
      <c r="AC226" s="1"/>
      <c r="AD226" s="1"/>
      <c r="AE226" s="1"/>
      <c r="AF226" s="1"/>
      <c r="AG226" s="1"/>
      <c r="AH226" s="1"/>
      <c r="AI226" s="1"/>
      <c r="AJ226" s="1"/>
      <c r="AK226" s="1"/>
      <c r="AL226" s="1"/>
      <c r="AM226" s="1"/>
      <c r="AN226" s="1"/>
    </row>
    <row r="227" spans="1:40" ht="15.6" hidden="1" customHeight="1" outlineLevel="1" thickBot="1">
      <c r="A227" s="127"/>
      <c r="B227" s="773"/>
      <c r="C227" s="878"/>
      <c r="D227" s="881"/>
      <c r="E227" s="866"/>
      <c r="F227" s="867"/>
      <c r="G227" s="782"/>
      <c r="H227" s="782"/>
      <c r="I227" s="217" t="s">
        <v>190</v>
      </c>
      <c r="J227" s="218"/>
      <c r="K227" s="874"/>
      <c r="L227" s="875"/>
      <c r="M227" s="794"/>
      <c r="N227" s="863"/>
      <c r="O227" s="864"/>
      <c r="P227" s="863"/>
      <c r="Q227" s="864"/>
      <c r="R227" s="794"/>
      <c r="S227" s="900"/>
      <c r="T227" s="794"/>
      <c r="U227" s="881"/>
      <c r="V227" s="903"/>
      <c r="W227" s="794"/>
      <c r="X227" s="794"/>
      <c r="Y227" s="906"/>
      <c r="Z227" s="1"/>
      <c r="AA227" s="1"/>
      <c r="AB227" s="1"/>
      <c r="AC227" s="1"/>
      <c r="AD227" s="1"/>
      <c r="AE227" s="1"/>
      <c r="AF227" s="1"/>
      <c r="AG227" s="1"/>
      <c r="AH227" s="1"/>
      <c r="AI227" s="1"/>
      <c r="AJ227" s="1"/>
      <c r="AK227" s="1"/>
      <c r="AL227" s="1"/>
      <c r="AM227" s="1"/>
      <c r="AN227" s="1"/>
    </row>
    <row r="228" spans="1:40" ht="15" hidden="1" outlineLevel="1" thickTop="1">
      <c r="A228" s="127"/>
      <c r="B228" s="773"/>
      <c r="C228" s="876"/>
      <c r="D228" s="879"/>
      <c r="E228" s="868"/>
      <c r="F228" s="869"/>
      <c r="G228" s="772"/>
      <c r="H228" s="772"/>
      <c r="I228" s="213" t="s">
        <v>188</v>
      </c>
      <c r="J228" s="214"/>
      <c r="K228" s="870"/>
      <c r="L228" s="871"/>
      <c r="M228" s="792"/>
      <c r="N228" s="835"/>
      <c r="O228" s="836"/>
      <c r="P228" s="835"/>
      <c r="Q228" s="836"/>
      <c r="R228" s="792"/>
      <c r="S228" s="898"/>
      <c r="T228" s="792"/>
      <c r="U228" s="879"/>
      <c r="V228" s="901"/>
      <c r="W228" s="792"/>
      <c r="X228" s="792"/>
      <c r="Y228" s="904"/>
      <c r="Z228" s="1"/>
      <c r="AA228" s="1"/>
      <c r="AB228" s="1"/>
      <c r="AC228" s="1"/>
      <c r="AD228" s="1"/>
      <c r="AE228" s="1"/>
      <c r="AF228" s="1"/>
      <c r="AG228" s="1"/>
      <c r="AH228" s="1"/>
      <c r="AI228" s="1"/>
      <c r="AJ228" s="1"/>
      <c r="AK228" s="1"/>
      <c r="AL228" s="1"/>
      <c r="AM228" s="1"/>
      <c r="AN228" s="1"/>
    </row>
    <row r="229" spans="1:40" hidden="1" outlineLevel="1">
      <c r="A229" s="127"/>
      <c r="B229" s="773"/>
      <c r="C229" s="877"/>
      <c r="D229" s="880"/>
      <c r="E229" s="801"/>
      <c r="F229" s="802"/>
      <c r="G229" s="781"/>
      <c r="H229" s="781"/>
      <c r="I229" s="215" t="s">
        <v>189</v>
      </c>
      <c r="J229" s="216"/>
      <c r="K229" s="872"/>
      <c r="L229" s="873"/>
      <c r="M229" s="793"/>
      <c r="N229" s="837"/>
      <c r="O229" s="838"/>
      <c r="P229" s="837"/>
      <c r="Q229" s="838"/>
      <c r="R229" s="793"/>
      <c r="S229" s="899"/>
      <c r="T229" s="793"/>
      <c r="U229" s="880"/>
      <c r="V229" s="902"/>
      <c r="W229" s="793"/>
      <c r="X229" s="793"/>
      <c r="Y229" s="905"/>
      <c r="Z229" s="1"/>
      <c r="AA229" s="1"/>
      <c r="AB229" s="1"/>
      <c r="AC229" s="1"/>
      <c r="AD229" s="1"/>
      <c r="AE229" s="1"/>
      <c r="AF229" s="1"/>
      <c r="AG229" s="1"/>
      <c r="AH229" s="1"/>
      <c r="AI229" s="1"/>
      <c r="AJ229" s="1"/>
      <c r="AK229" s="1"/>
      <c r="AL229" s="1"/>
      <c r="AM229" s="1"/>
      <c r="AN229" s="1"/>
    </row>
    <row r="230" spans="1:40" ht="15.6" hidden="1" customHeight="1" outlineLevel="1" thickBot="1">
      <c r="A230" s="127"/>
      <c r="B230" s="773"/>
      <c r="C230" s="878"/>
      <c r="D230" s="881"/>
      <c r="E230" s="866"/>
      <c r="F230" s="867"/>
      <c r="G230" s="782"/>
      <c r="H230" s="782"/>
      <c r="I230" s="217" t="s">
        <v>190</v>
      </c>
      <c r="J230" s="218"/>
      <c r="K230" s="874"/>
      <c r="L230" s="875"/>
      <c r="M230" s="794"/>
      <c r="N230" s="863"/>
      <c r="O230" s="864"/>
      <c r="P230" s="863"/>
      <c r="Q230" s="864"/>
      <c r="R230" s="794"/>
      <c r="S230" s="900"/>
      <c r="T230" s="794"/>
      <c r="U230" s="881"/>
      <c r="V230" s="903"/>
      <c r="W230" s="794"/>
      <c r="X230" s="794"/>
      <c r="Y230" s="906"/>
      <c r="Z230" s="1"/>
      <c r="AA230" s="1"/>
      <c r="AB230" s="1"/>
      <c r="AC230" s="1"/>
      <c r="AD230" s="1"/>
      <c r="AE230" s="1"/>
      <c r="AF230" s="1"/>
      <c r="AG230" s="1"/>
      <c r="AH230" s="1"/>
      <c r="AI230" s="1"/>
      <c r="AJ230" s="1"/>
      <c r="AK230" s="1"/>
      <c r="AL230" s="1"/>
      <c r="AM230" s="1"/>
      <c r="AN230" s="1"/>
    </row>
    <row r="231" spans="1:40" ht="15" hidden="1" outlineLevel="1" thickTop="1">
      <c r="A231" s="127"/>
      <c r="B231" s="773"/>
      <c r="C231" s="876"/>
      <c r="D231" s="879"/>
      <c r="E231" s="868"/>
      <c r="F231" s="869"/>
      <c r="G231" s="772"/>
      <c r="H231" s="772"/>
      <c r="I231" s="213" t="s">
        <v>188</v>
      </c>
      <c r="J231" s="214"/>
      <c r="K231" s="870"/>
      <c r="L231" s="871"/>
      <c r="M231" s="792"/>
      <c r="N231" s="835"/>
      <c r="O231" s="836"/>
      <c r="P231" s="835"/>
      <c r="Q231" s="836"/>
      <c r="R231" s="792"/>
      <c r="S231" s="898"/>
      <c r="T231" s="792"/>
      <c r="U231" s="879"/>
      <c r="V231" s="901"/>
      <c r="W231" s="792"/>
      <c r="X231" s="792"/>
      <c r="Y231" s="904"/>
      <c r="Z231" s="1"/>
      <c r="AA231" s="1"/>
      <c r="AB231" s="1"/>
      <c r="AC231" s="1"/>
      <c r="AD231" s="1"/>
      <c r="AE231" s="1"/>
      <c r="AF231" s="1"/>
      <c r="AG231" s="1"/>
      <c r="AH231" s="1"/>
      <c r="AI231" s="1"/>
      <c r="AJ231" s="1"/>
      <c r="AK231" s="1"/>
      <c r="AL231" s="1"/>
      <c r="AM231" s="1"/>
      <c r="AN231" s="1"/>
    </row>
    <row r="232" spans="1:40" hidden="1" outlineLevel="1">
      <c r="A232" s="127"/>
      <c r="B232" s="773"/>
      <c r="C232" s="877"/>
      <c r="D232" s="880"/>
      <c r="E232" s="801"/>
      <c r="F232" s="802"/>
      <c r="G232" s="781"/>
      <c r="H232" s="781"/>
      <c r="I232" s="215" t="s">
        <v>189</v>
      </c>
      <c r="J232" s="216"/>
      <c r="K232" s="872"/>
      <c r="L232" s="873"/>
      <c r="M232" s="793"/>
      <c r="N232" s="837"/>
      <c r="O232" s="838"/>
      <c r="P232" s="837"/>
      <c r="Q232" s="838"/>
      <c r="R232" s="793"/>
      <c r="S232" s="899"/>
      <c r="T232" s="793"/>
      <c r="U232" s="880"/>
      <c r="V232" s="902"/>
      <c r="W232" s="793"/>
      <c r="X232" s="793"/>
      <c r="Y232" s="905"/>
      <c r="Z232" s="1"/>
      <c r="AA232" s="1"/>
      <c r="AB232" s="1"/>
      <c r="AC232" s="1"/>
      <c r="AD232" s="1"/>
      <c r="AE232" s="1"/>
      <c r="AF232" s="1"/>
      <c r="AG232" s="1"/>
      <c r="AH232" s="1"/>
      <c r="AI232" s="1"/>
      <c r="AJ232" s="1"/>
      <c r="AK232" s="1"/>
      <c r="AL232" s="1"/>
      <c r="AM232" s="1"/>
      <c r="AN232" s="1"/>
    </row>
    <row r="233" spans="1:40" ht="15.6" hidden="1" customHeight="1" outlineLevel="1" thickBot="1">
      <c r="A233" s="127"/>
      <c r="B233" s="773"/>
      <c r="C233" s="878"/>
      <c r="D233" s="881"/>
      <c r="E233" s="866"/>
      <c r="F233" s="867"/>
      <c r="G233" s="782"/>
      <c r="H233" s="782"/>
      <c r="I233" s="217" t="s">
        <v>190</v>
      </c>
      <c r="J233" s="218"/>
      <c r="K233" s="874"/>
      <c r="L233" s="875"/>
      <c r="M233" s="794"/>
      <c r="N233" s="863"/>
      <c r="O233" s="864"/>
      <c r="P233" s="863"/>
      <c r="Q233" s="864"/>
      <c r="R233" s="794"/>
      <c r="S233" s="900"/>
      <c r="T233" s="794"/>
      <c r="U233" s="881"/>
      <c r="V233" s="903"/>
      <c r="W233" s="794"/>
      <c r="X233" s="794"/>
      <c r="Y233" s="906"/>
      <c r="Z233" s="1"/>
      <c r="AA233" s="1"/>
      <c r="AB233" s="1"/>
      <c r="AC233" s="1"/>
      <c r="AD233" s="1"/>
      <c r="AE233" s="1"/>
      <c r="AF233" s="1"/>
      <c r="AG233" s="1"/>
      <c r="AH233" s="1"/>
      <c r="AI233" s="1"/>
      <c r="AJ233" s="1"/>
      <c r="AK233" s="1"/>
      <c r="AL233" s="1"/>
      <c r="AM233" s="1"/>
      <c r="AN233" s="1"/>
    </row>
    <row r="234" spans="1:40" ht="15" hidden="1" outlineLevel="1" thickTop="1">
      <c r="A234" s="127"/>
      <c r="B234" s="773"/>
      <c r="C234" s="876"/>
      <c r="D234" s="879"/>
      <c r="E234" s="868"/>
      <c r="F234" s="869"/>
      <c r="G234" s="772"/>
      <c r="H234" s="772"/>
      <c r="I234" s="213" t="s">
        <v>188</v>
      </c>
      <c r="J234" s="214"/>
      <c r="K234" s="870"/>
      <c r="L234" s="871"/>
      <c r="M234" s="792"/>
      <c r="N234" s="835"/>
      <c r="O234" s="836"/>
      <c r="P234" s="835"/>
      <c r="Q234" s="836"/>
      <c r="R234" s="792"/>
      <c r="S234" s="898"/>
      <c r="T234" s="792"/>
      <c r="U234" s="879"/>
      <c r="V234" s="901"/>
      <c r="W234" s="792"/>
      <c r="X234" s="792"/>
      <c r="Y234" s="904"/>
      <c r="Z234" s="1"/>
      <c r="AA234" s="1"/>
      <c r="AB234" s="1"/>
      <c r="AC234" s="1"/>
      <c r="AD234" s="1"/>
      <c r="AE234" s="1"/>
      <c r="AF234" s="1"/>
      <c r="AG234" s="1"/>
      <c r="AH234" s="1"/>
      <c r="AI234" s="1"/>
      <c r="AJ234" s="1"/>
      <c r="AK234" s="1"/>
      <c r="AL234" s="1"/>
      <c r="AM234" s="1"/>
      <c r="AN234" s="1"/>
    </row>
    <row r="235" spans="1:40" hidden="1" outlineLevel="1">
      <c r="A235" s="127"/>
      <c r="B235" s="773"/>
      <c r="C235" s="877"/>
      <c r="D235" s="880"/>
      <c r="E235" s="801"/>
      <c r="F235" s="802"/>
      <c r="G235" s="781"/>
      <c r="H235" s="781"/>
      <c r="I235" s="215" t="s">
        <v>189</v>
      </c>
      <c r="J235" s="216"/>
      <c r="K235" s="872"/>
      <c r="L235" s="873"/>
      <c r="M235" s="793"/>
      <c r="N235" s="837"/>
      <c r="O235" s="838"/>
      <c r="P235" s="837"/>
      <c r="Q235" s="838"/>
      <c r="R235" s="793"/>
      <c r="S235" s="899"/>
      <c r="T235" s="793"/>
      <c r="U235" s="880"/>
      <c r="V235" s="902"/>
      <c r="W235" s="793"/>
      <c r="X235" s="793"/>
      <c r="Y235" s="905"/>
      <c r="Z235" s="1"/>
      <c r="AA235" s="1"/>
      <c r="AB235" s="1"/>
      <c r="AC235" s="1"/>
      <c r="AD235" s="1"/>
      <c r="AE235" s="1"/>
      <c r="AF235" s="1"/>
      <c r="AG235" s="1"/>
      <c r="AH235" s="1"/>
      <c r="AI235" s="1"/>
      <c r="AJ235" s="1"/>
      <c r="AK235" s="1"/>
      <c r="AL235" s="1"/>
      <c r="AM235" s="1"/>
      <c r="AN235" s="1"/>
    </row>
    <row r="236" spans="1:40" ht="15.6" hidden="1" customHeight="1" outlineLevel="1" thickBot="1">
      <c r="A236" s="127"/>
      <c r="B236" s="773"/>
      <c r="C236" s="878"/>
      <c r="D236" s="881"/>
      <c r="E236" s="866"/>
      <c r="F236" s="867"/>
      <c r="G236" s="782"/>
      <c r="H236" s="782"/>
      <c r="I236" s="217" t="s">
        <v>190</v>
      </c>
      <c r="J236" s="218"/>
      <c r="K236" s="874"/>
      <c r="L236" s="875"/>
      <c r="M236" s="794"/>
      <c r="N236" s="863"/>
      <c r="O236" s="864"/>
      <c r="P236" s="863"/>
      <c r="Q236" s="864"/>
      <c r="R236" s="794"/>
      <c r="S236" s="900"/>
      <c r="T236" s="794"/>
      <c r="U236" s="881"/>
      <c r="V236" s="903"/>
      <c r="W236" s="794"/>
      <c r="X236" s="794"/>
      <c r="Y236" s="906"/>
      <c r="Z236" s="1"/>
      <c r="AA236" s="1"/>
      <c r="AB236" s="1"/>
      <c r="AC236" s="1"/>
      <c r="AD236" s="1"/>
      <c r="AE236" s="1"/>
      <c r="AF236" s="1"/>
      <c r="AG236" s="1"/>
      <c r="AH236" s="1"/>
      <c r="AI236" s="1"/>
      <c r="AJ236" s="1"/>
      <c r="AK236" s="1"/>
      <c r="AL236" s="1"/>
      <c r="AM236" s="1"/>
      <c r="AN236" s="1"/>
    </row>
    <row r="237" spans="1:40" ht="15" hidden="1" outlineLevel="1" thickTop="1">
      <c r="A237" s="127"/>
      <c r="B237" s="773"/>
      <c r="C237" s="876"/>
      <c r="D237" s="879"/>
      <c r="E237" s="868"/>
      <c r="F237" s="869"/>
      <c r="G237" s="772"/>
      <c r="H237" s="772"/>
      <c r="I237" s="213" t="s">
        <v>188</v>
      </c>
      <c r="J237" s="214"/>
      <c r="K237" s="870"/>
      <c r="L237" s="871"/>
      <c r="M237" s="792"/>
      <c r="N237" s="835"/>
      <c r="O237" s="836"/>
      <c r="P237" s="835"/>
      <c r="Q237" s="836"/>
      <c r="R237" s="792"/>
      <c r="S237" s="898"/>
      <c r="T237" s="792"/>
      <c r="U237" s="879"/>
      <c r="V237" s="901"/>
      <c r="W237" s="792"/>
      <c r="X237" s="792"/>
      <c r="Y237" s="904"/>
      <c r="Z237" s="1"/>
      <c r="AA237" s="1"/>
      <c r="AB237" s="1"/>
      <c r="AC237" s="1"/>
      <c r="AD237" s="1"/>
      <c r="AE237" s="1"/>
      <c r="AF237" s="1"/>
      <c r="AG237" s="1"/>
      <c r="AH237" s="1"/>
      <c r="AI237" s="1"/>
      <c r="AJ237" s="1"/>
      <c r="AK237" s="1"/>
      <c r="AL237" s="1"/>
      <c r="AM237" s="1"/>
      <c r="AN237" s="1"/>
    </row>
    <row r="238" spans="1:40" hidden="1" outlineLevel="1">
      <c r="A238" s="127"/>
      <c r="B238" s="773"/>
      <c r="C238" s="877"/>
      <c r="D238" s="880"/>
      <c r="E238" s="801"/>
      <c r="F238" s="802"/>
      <c r="G238" s="781"/>
      <c r="H238" s="781"/>
      <c r="I238" s="215" t="s">
        <v>189</v>
      </c>
      <c r="J238" s="216"/>
      <c r="K238" s="872"/>
      <c r="L238" s="873"/>
      <c r="M238" s="793"/>
      <c r="N238" s="837"/>
      <c r="O238" s="838"/>
      <c r="P238" s="837"/>
      <c r="Q238" s="838"/>
      <c r="R238" s="793"/>
      <c r="S238" s="899"/>
      <c r="T238" s="793"/>
      <c r="U238" s="880"/>
      <c r="V238" s="902"/>
      <c r="W238" s="793"/>
      <c r="X238" s="793"/>
      <c r="Y238" s="905"/>
      <c r="Z238" s="1"/>
      <c r="AA238" s="1"/>
      <c r="AB238" s="1"/>
      <c r="AC238" s="1"/>
      <c r="AD238" s="1"/>
      <c r="AE238" s="1"/>
      <c r="AF238" s="1"/>
      <c r="AG238" s="1"/>
      <c r="AH238" s="1"/>
      <c r="AI238" s="1"/>
      <c r="AJ238" s="1"/>
      <c r="AK238" s="1"/>
      <c r="AL238" s="1"/>
      <c r="AM238" s="1"/>
      <c r="AN238" s="1"/>
    </row>
    <row r="239" spans="1:40" ht="15.6" hidden="1" customHeight="1" outlineLevel="1" thickBot="1">
      <c r="A239" s="127"/>
      <c r="B239" s="773"/>
      <c r="C239" s="878"/>
      <c r="D239" s="881"/>
      <c r="E239" s="866"/>
      <c r="F239" s="867"/>
      <c r="G239" s="782"/>
      <c r="H239" s="782"/>
      <c r="I239" s="217" t="s">
        <v>190</v>
      </c>
      <c r="J239" s="218"/>
      <c r="K239" s="874"/>
      <c r="L239" s="875"/>
      <c r="M239" s="794"/>
      <c r="N239" s="863"/>
      <c r="O239" s="864"/>
      <c r="P239" s="863"/>
      <c r="Q239" s="864"/>
      <c r="R239" s="794"/>
      <c r="S239" s="900"/>
      <c r="T239" s="794"/>
      <c r="U239" s="881"/>
      <c r="V239" s="903"/>
      <c r="W239" s="794"/>
      <c r="X239" s="794"/>
      <c r="Y239" s="906"/>
      <c r="Z239" s="1"/>
      <c r="AA239" s="1"/>
      <c r="AB239" s="1"/>
      <c r="AC239" s="1"/>
      <c r="AD239" s="1"/>
      <c r="AE239" s="1"/>
      <c r="AF239" s="1"/>
      <c r="AG239" s="1"/>
      <c r="AH239" s="1"/>
      <c r="AI239" s="1"/>
      <c r="AJ239" s="1"/>
      <c r="AK239" s="1"/>
      <c r="AL239" s="1"/>
      <c r="AM239" s="1"/>
      <c r="AN239" s="1"/>
    </row>
    <row r="240" spans="1:40" ht="15" hidden="1" outlineLevel="1" thickTop="1">
      <c r="A240" s="127"/>
      <c r="B240" s="773"/>
      <c r="C240" s="876"/>
      <c r="D240" s="879"/>
      <c r="E240" s="868"/>
      <c r="F240" s="869"/>
      <c r="G240" s="772"/>
      <c r="H240" s="772"/>
      <c r="I240" s="213" t="s">
        <v>188</v>
      </c>
      <c r="J240" s="214"/>
      <c r="K240" s="870"/>
      <c r="L240" s="871"/>
      <c r="M240" s="792"/>
      <c r="N240" s="835"/>
      <c r="O240" s="836"/>
      <c r="P240" s="835"/>
      <c r="Q240" s="836"/>
      <c r="R240" s="792"/>
      <c r="S240" s="898"/>
      <c r="T240" s="792"/>
      <c r="U240" s="879"/>
      <c r="V240" s="901"/>
      <c r="W240" s="792"/>
      <c r="X240" s="792"/>
      <c r="Y240" s="904"/>
      <c r="Z240" s="1"/>
      <c r="AA240" s="1"/>
      <c r="AB240" s="1"/>
      <c r="AC240" s="1"/>
      <c r="AD240" s="1"/>
      <c r="AE240" s="1"/>
      <c r="AF240" s="1"/>
      <c r="AG240" s="1"/>
      <c r="AH240" s="1"/>
      <c r="AI240" s="1"/>
      <c r="AJ240" s="1"/>
      <c r="AK240" s="1"/>
      <c r="AL240" s="1"/>
      <c r="AM240" s="1"/>
      <c r="AN240" s="1"/>
    </row>
    <row r="241" spans="1:40" hidden="1" outlineLevel="1">
      <c r="A241" s="127"/>
      <c r="B241" s="773"/>
      <c r="C241" s="877"/>
      <c r="D241" s="880"/>
      <c r="E241" s="801"/>
      <c r="F241" s="802"/>
      <c r="G241" s="781"/>
      <c r="H241" s="781"/>
      <c r="I241" s="215" t="s">
        <v>189</v>
      </c>
      <c r="J241" s="216"/>
      <c r="K241" s="872"/>
      <c r="L241" s="873"/>
      <c r="M241" s="793"/>
      <c r="N241" s="837"/>
      <c r="O241" s="838"/>
      <c r="P241" s="837"/>
      <c r="Q241" s="838"/>
      <c r="R241" s="793"/>
      <c r="S241" s="899"/>
      <c r="T241" s="793"/>
      <c r="U241" s="880"/>
      <c r="V241" s="902"/>
      <c r="W241" s="793"/>
      <c r="X241" s="793"/>
      <c r="Y241" s="905"/>
      <c r="Z241" s="1"/>
      <c r="AA241" s="1"/>
      <c r="AB241" s="1"/>
      <c r="AC241" s="1"/>
      <c r="AD241" s="1"/>
      <c r="AE241" s="1"/>
      <c r="AF241" s="1"/>
      <c r="AG241" s="1"/>
      <c r="AH241" s="1"/>
      <c r="AI241" s="1"/>
      <c r="AJ241" s="1"/>
      <c r="AK241" s="1"/>
      <c r="AL241" s="1"/>
      <c r="AM241" s="1"/>
      <c r="AN241" s="1"/>
    </row>
    <row r="242" spans="1:40" ht="15.6" hidden="1" customHeight="1" outlineLevel="1" thickBot="1">
      <c r="A242" s="127"/>
      <c r="B242" s="773"/>
      <c r="C242" s="878"/>
      <c r="D242" s="881"/>
      <c r="E242" s="866"/>
      <c r="F242" s="867"/>
      <c r="G242" s="782"/>
      <c r="H242" s="782"/>
      <c r="I242" s="217" t="s">
        <v>190</v>
      </c>
      <c r="J242" s="218"/>
      <c r="K242" s="874"/>
      <c r="L242" s="875"/>
      <c r="M242" s="794"/>
      <c r="N242" s="863"/>
      <c r="O242" s="864"/>
      <c r="P242" s="863"/>
      <c r="Q242" s="864"/>
      <c r="R242" s="794"/>
      <c r="S242" s="900"/>
      <c r="T242" s="794"/>
      <c r="U242" s="881"/>
      <c r="V242" s="903"/>
      <c r="W242" s="794"/>
      <c r="X242" s="794"/>
      <c r="Y242" s="906"/>
      <c r="Z242" s="1"/>
      <c r="AA242" s="1"/>
      <c r="AB242" s="1"/>
      <c r="AC242" s="1"/>
      <c r="AD242" s="1"/>
      <c r="AE242" s="1"/>
      <c r="AF242" s="1"/>
      <c r="AG242" s="1"/>
      <c r="AH242" s="1"/>
      <c r="AI242" s="1"/>
      <c r="AJ242" s="1"/>
      <c r="AK242" s="1"/>
      <c r="AL242" s="1"/>
      <c r="AM242" s="1"/>
      <c r="AN242" s="1"/>
    </row>
    <row r="243" spans="1:40" ht="15" hidden="1" outlineLevel="1" thickTop="1">
      <c r="A243" s="127"/>
      <c r="B243" s="773"/>
      <c r="C243" s="876"/>
      <c r="D243" s="879"/>
      <c r="E243" s="868"/>
      <c r="F243" s="869"/>
      <c r="G243" s="772"/>
      <c r="H243" s="772"/>
      <c r="I243" s="213" t="s">
        <v>188</v>
      </c>
      <c r="J243" s="214"/>
      <c r="K243" s="870"/>
      <c r="L243" s="871"/>
      <c r="M243" s="792"/>
      <c r="N243" s="835"/>
      <c r="O243" s="836"/>
      <c r="P243" s="835"/>
      <c r="Q243" s="836"/>
      <c r="R243" s="792"/>
      <c r="S243" s="898"/>
      <c r="T243" s="792"/>
      <c r="U243" s="879"/>
      <c r="V243" s="901"/>
      <c r="W243" s="792"/>
      <c r="X243" s="792"/>
      <c r="Y243" s="904"/>
      <c r="Z243" s="1"/>
      <c r="AA243" s="1"/>
      <c r="AB243" s="1"/>
      <c r="AC243" s="1"/>
      <c r="AD243" s="1"/>
      <c r="AE243" s="1"/>
      <c r="AF243" s="1"/>
      <c r="AG243" s="1"/>
      <c r="AH243" s="1"/>
      <c r="AI243" s="1"/>
      <c r="AJ243" s="1"/>
      <c r="AK243" s="1"/>
      <c r="AL243" s="1"/>
      <c r="AM243" s="1"/>
      <c r="AN243" s="1"/>
    </row>
    <row r="244" spans="1:40" hidden="1" outlineLevel="1">
      <c r="A244" s="127"/>
      <c r="B244" s="773"/>
      <c r="C244" s="877"/>
      <c r="D244" s="880"/>
      <c r="E244" s="801"/>
      <c r="F244" s="802"/>
      <c r="G244" s="781"/>
      <c r="H244" s="781"/>
      <c r="I244" s="215" t="s">
        <v>189</v>
      </c>
      <c r="J244" s="216"/>
      <c r="K244" s="872"/>
      <c r="L244" s="873"/>
      <c r="M244" s="793"/>
      <c r="N244" s="837"/>
      <c r="O244" s="838"/>
      <c r="P244" s="837"/>
      <c r="Q244" s="838"/>
      <c r="R244" s="793"/>
      <c r="S244" s="899"/>
      <c r="T244" s="793"/>
      <c r="U244" s="880"/>
      <c r="V244" s="902"/>
      <c r="W244" s="793"/>
      <c r="X244" s="793"/>
      <c r="Y244" s="905"/>
      <c r="Z244" s="1"/>
      <c r="AA244" s="1"/>
      <c r="AB244" s="1"/>
      <c r="AC244" s="1"/>
      <c r="AD244" s="1"/>
      <c r="AE244" s="1"/>
      <c r="AF244" s="1"/>
      <c r="AG244" s="1"/>
      <c r="AH244" s="1"/>
      <c r="AI244" s="1"/>
      <c r="AJ244" s="1"/>
      <c r="AK244" s="1"/>
      <c r="AL244" s="1"/>
      <c r="AM244" s="1"/>
      <c r="AN244" s="1"/>
    </row>
    <row r="245" spans="1:40" ht="15.6" hidden="1" customHeight="1" outlineLevel="1" thickBot="1">
      <c r="A245" s="127"/>
      <c r="B245" s="773"/>
      <c r="C245" s="878"/>
      <c r="D245" s="881"/>
      <c r="E245" s="866"/>
      <c r="F245" s="867"/>
      <c r="G245" s="782"/>
      <c r="H245" s="782"/>
      <c r="I245" s="217" t="s">
        <v>190</v>
      </c>
      <c r="J245" s="218"/>
      <c r="K245" s="874"/>
      <c r="L245" s="875"/>
      <c r="M245" s="794"/>
      <c r="N245" s="863"/>
      <c r="O245" s="864"/>
      <c r="P245" s="863"/>
      <c r="Q245" s="864"/>
      <c r="R245" s="794"/>
      <c r="S245" s="900"/>
      <c r="T245" s="794"/>
      <c r="U245" s="881"/>
      <c r="V245" s="903"/>
      <c r="W245" s="794"/>
      <c r="X245" s="794"/>
      <c r="Y245" s="906"/>
      <c r="Z245" s="1"/>
      <c r="AA245" s="1"/>
      <c r="AB245" s="1"/>
      <c r="AC245" s="1"/>
      <c r="AD245" s="1"/>
      <c r="AE245" s="1"/>
      <c r="AF245" s="1"/>
      <c r="AG245" s="1"/>
      <c r="AH245" s="1"/>
      <c r="AI245" s="1"/>
      <c r="AJ245" s="1"/>
      <c r="AK245" s="1"/>
      <c r="AL245" s="1"/>
      <c r="AM245" s="1"/>
      <c r="AN245" s="1"/>
    </row>
    <row r="246" spans="1:40" ht="15" hidden="1" outlineLevel="1" thickTop="1">
      <c r="A246" s="127"/>
      <c r="B246" s="773"/>
      <c r="C246" s="876"/>
      <c r="D246" s="879"/>
      <c r="E246" s="868"/>
      <c r="F246" s="869"/>
      <c r="G246" s="772"/>
      <c r="H246" s="772"/>
      <c r="I246" s="213" t="s">
        <v>188</v>
      </c>
      <c r="J246" s="214"/>
      <c r="K246" s="870"/>
      <c r="L246" s="871"/>
      <c r="M246" s="792"/>
      <c r="N246" s="835"/>
      <c r="O246" s="836"/>
      <c r="P246" s="835"/>
      <c r="Q246" s="836"/>
      <c r="R246" s="792"/>
      <c r="S246" s="898"/>
      <c r="T246" s="792"/>
      <c r="U246" s="879"/>
      <c r="V246" s="901"/>
      <c r="W246" s="792"/>
      <c r="X246" s="792"/>
      <c r="Y246" s="904"/>
      <c r="Z246" s="1"/>
      <c r="AA246" s="1"/>
      <c r="AB246" s="1"/>
      <c r="AC246" s="1"/>
      <c r="AD246" s="1"/>
      <c r="AE246" s="1"/>
      <c r="AF246" s="1"/>
      <c r="AG246" s="1"/>
      <c r="AH246" s="1"/>
      <c r="AI246" s="1"/>
      <c r="AJ246" s="1"/>
      <c r="AK246" s="1"/>
      <c r="AL246" s="1"/>
      <c r="AM246" s="1"/>
      <c r="AN246" s="1"/>
    </row>
    <row r="247" spans="1:40" hidden="1" outlineLevel="1">
      <c r="A247" s="127"/>
      <c r="B247" s="773"/>
      <c r="C247" s="877"/>
      <c r="D247" s="880"/>
      <c r="E247" s="801"/>
      <c r="F247" s="802"/>
      <c r="G247" s="781"/>
      <c r="H247" s="781"/>
      <c r="I247" s="215" t="s">
        <v>189</v>
      </c>
      <c r="J247" s="216"/>
      <c r="K247" s="872"/>
      <c r="L247" s="873"/>
      <c r="M247" s="793"/>
      <c r="N247" s="837"/>
      <c r="O247" s="838"/>
      <c r="P247" s="837"/>
      <c r="Q247" s="838"/>
      <c r="R247" s="793"/>
      <c r="S247" s="899"/>
      <c r="T247" s="793"/>
      <c r="U247" s="880"/>
      <c r="V247" s="902"/>
      <c r="W247" s="793"/>
      <c r="X247" s="793"/>
      <c r="Y247" s="905"/>
      <c r="Z247" s="1"/>
      <c r="AA247" s="1"/>
      <c r="AB247" s="1"/>
      <c r="AC247" s="1"/>
      <c r="AD247" s="1"/>
      <c r="AE247" s="1"/>
      <c r="AF247" s="1"/>
      <c r="AG247" s="1"/>
      <c r="AH247" s="1"/>
      <c r="AI247" s="1"/>
      <c r="AJ247" s="1"/>
      <c r="AK247" s="1"/>
      <c r="AL247" s="1"/>
      <c r="AM247" s="1"/>
      <c r="AN247" s="1"/>
    </row>
    <row r="248" spans="1:40" ht="15.6" hidden="1" customHeight="1" outlineLevel="1" thickBot="1">
      <c r="A248" s="127"/>
      <c r="B248" s="773"/>
      <c r="C248" s="878"/>
      <c r="D248" s="881"/>
      <c r="E248" s="866"/>
      <c r="F248" s="867"/>
      <c r="G248" s="782"/>
      <c r="H248" s="782"/>
      <c r="I248" s="217" t="s">
        <v>190</v>
      </c>
      <c r="J248" s="218"/>
      <c r="K248" s="874"/>
      <c r="L248" s="875"/>
      <c r="M248" s="794"/>
      <c r="N248" s="863"/>
      <c r="O248" s="864"/>
      <c r="P248" s="863"/>
      <c r="Q248" s="864"/>
      <c r="R248" s="794"/>
      <c r="S248" s="900"/>
      <c r="T248" s="794"/>
      <c r="U248" s="881"/>
      <c r="V248" s="903"/>
      <c r="W248" s="794"/>
      <c r="X248" s="794"/>
      <c r="Y248" s="906"/>
      <c r="Z248" s="1"/>
      <c r="AA248" s="1"/>
      <c r="AB248" s="1"/>
      <c r="AC248" s="1"/>
      <c r="AD248" s="1"/>
      <c r="AE248" s="1"/>
      <c r="AF248" s="1"/>
      <c r="AG248" s="1"/>
      <c r="AH248" s="1"/>
      <c r="AI248" s="1"/>
      <c r="AJ248" s="1"/>
      <c r="AK248" s="1"/>
      <c r="AL248" s="1"/>
      <c r="AM248" s="1"/>
      <c r="AN248" s="1"/>
    </row>
    <row r="249" spans="1:40" ht="15" hidden="1" outlineLevel="1" thickTop="1">
      <c r="A249" s="127"/>
      <c r="B249" s="773"/>
      <c r="C249" s="876"/>
      <c r="D249" s="879"/>
      <c r="E249" s="868"/>
      <c r="F249" s="869"/>
      <c r="G249" s="772"/>
      <c r="H249" s="772"/>
      <c r="I249" s="213" t="s">
        <v>188</v>
      </c>
      <c r="J249" s="214"/>
      <c r="K249" s="870"/>
      <c r="L249" s="871"/>
      <c r="M249" s="792"/>
      <c r="N249" s="835"/>
      <c r="O249" s="836"/>
      <c r="P249" s="835"/>
      <c r="Q249" s="836"/>
      <c r="R249" s="792"/>
      <c r="S249" s="898"/>
      <c r="T249" s="792"/>
      <c r="U249" s="879"/>
      <c r="V249" s="901"/>
      <c r="W249" s="792"/>
      <c r="X249" s="792"/>
      <c r="Y249" s="904"/>
      <c r="Z249" s="1"/>
      <c r="AA249" s="1"/>
      <c r="AB249" s="1"/>
      <c r="AC249" s="1"/>
      <c r="AD249" s="1"/>
      <c r="AE249" s="1"/>
      <c r="AF249" s="1"/>
      <c r="AG249" s="1"/>
      <c r="AH249" s="1"/>
      <c r="AI249" s="1"/>
      <c r="AJ249" s="1"/>
      <c r="AK249" s="1"/>
      <c r="AL249" s="1"/>
      <c r="AM249" s="1"/>
      <c r="AN249" s="1"/>
    </row>
    <row r="250" spans="1:40" hidden="1" outlineLevel="1">
      <c r="A250" s="127"/>
      <c r="B250" s="773"/>
      <c r="C250" s="877"/>
      <c r="D250" s="880"/>
      <c r="E250" s="801"/>
      <c r="F250" s="802"/>
      <c r="G250" s="781"/>
      <c r="H250" s="781"/>
      <c r="I250" s="215" t="s">
        <v>189</v>
      </c>
      <c r="J250" s="216"/>
      <c r="K250" s="872"/>
      <c r="L250" s="873"/>
      <c r="M250" s="793"/>
      <c r="N250" s="837"/>
      <c r="O250" s="838"/>
      <c r="P250" s="837"/>
      <c r="Q250" s="838"/>
      <c r="R250" s="793"/>
      <c r="S250" s="899"/>
      <c r="T250" s="793"/>
      <c r="U250" s="880"/>
      <c r="V250" s="902"/>
      <c r="W250" s="793"/>
      <c r="X250" s="793"/>
      <c r="Y250" s="905"/>
      <c r="Z250" s="1"/>
      <c r="AA250" s="1"/>
      <c r="AB250" s="1"/>
      <c r="AC250" s="1"/>
      <c r="AD250" s="1"/>
      <c r="AE250" s="1"/>
      <c r="AF250" s="1"/>
      <c r="AG250" s="1"/>
      <c r="AH250" s="1"/>
      <c r="AI250" s="1"/>
      <c r="AJ250" s="1"/>
      <c r="AK250" s="1"/>
      <c r="AL250" s="1"/>
      <c r="AM250" s="1"/>
      <c r="AN250" s="1"/>
    </row>
    <row r="251" spans="1:40" ht="15.6" hidden="1" customHeight="1" outlineLevel="1" thickBot="1">
      <c r="A251" s="127"/>
      <c r="B251" s="773"/>
      <c r="C251" s="878"/>
      <c r="D251" s="881"/>
      <c r="E251" s="866"/>
      <c r="F251" s="867"/>
      <c r="G251" s="782"/>
      <c r="H251" s="782"/>
      <c r="I251" s="217" t="s">
        <v>190</v>
      </c>
      <c r="J251" s="218"/>
      <c r="K251" s="874"/>
      <c r="L251" s="875"/>
      <c r="M251" s="794"/>
      <c r="N251" s="863"/>
      <c r="O251" s="864"/>
      <c r="P251" s="863"/>
      <c r="Q251" s="864"/>
      <c r="R251" s="794"/>
      <c r="S251" s="900"/>
      <c r="T251" s="794"/>
      <c r="U251" s="881"/>
      <c r="V251" s="903"/>
      <c r="W251" s="794"/>
      <c r="X251" s="794"/>
      <c r="Y251" s="906"/>
      <c r="Z251" s="1"/>
      <c r="AA251" s="1"/>
      <c r="AB251" s="1"/>
      <c r="AC251" s="1"/>
      <c r="AD251" s="1"/>
      <c r="AE251" s="1"/>
      <c r="AF251" s="1"/>
      <c r="AG251" s="1"/>
      <c r="AH251" s="1"/>
      <c r="AI251" s="1"/>
      <c r="AJ251" s="1"/>
      <c r="AK251" s="1"/>
      <c r="AL251" s="1"/>
      <c r="AM251" s="1"/>
      <c r="AN251" s="1"/>
    </row>
    <row r="252" spans="1:40" ht="15" hidden="1" outlineLevel="1" thickTop="1">
      <c r="A252" s="127"/>
      <c r="B252" s="773"/>
      <c r="C252" s="876"/>
      <c r="D252" s="879"/>
      <c r="E252" s="868"/>
      <c r="F252" s="869"/>
      <c r="G252" s="772"/>
      <c r="H252" s="772"/>
      <c r="I252" s="213" t="s">
        <v>188</v>
      </c>
      <c r="J252" s="214"/>
      <c r="K252" s="870"/>
      <c r="L252" s="871"/>
      <c r="M252" s="792"/>
      <c r="N252" s="835"/>
      <c r="O252" s="836"/>
      <c r="P252" s="835"/>
      <c r="Q252" s="836"/>
      <c r="R252" s="792"/>
      <c r="S252" s="898"/>
      <c r="T252" s="792"/>
      <c r="U252" s="879"/>
      <c r="V252" s="901"/>
      <c r="W252" s="792"/>
      <c r="X252" s="792"/>
      <c r="Y252" s="904"/>
      <c r="Z252" s="1"/>
      <c r="AA252" s="1"/>
      <c r="AB252" s="1"/>
      <c r="AC252" s="1"/>
      <c r="AD252" s="1"/>
      <c r="AE252" s="1"/>
      <c r="AF252" s="1"/>
      <c r="AG252" s="1"/>
      <c r="AH252" s="1"/>
      <c r="AI252" s="1"/>
      <c r="AJ252" s="1"/>
      <c r="AK252" s="1"/>
      <c r="AL252" s="1"/>
      <c r="AM252" s="1"/>
      <c r="AN252" s="1"/>
    </row>
    <row r="253" spans="1:40" hidden="1" outlineLevel="1">
      <c r="A253" s="127"/>
      <c r="B253" s="773"/>
      <c r="C253" s="877"/>
      <c r="D253" s="880"/>
      <c r="E253" s="801"/>
      <c r="F253" s="802"/>
      <c r="G253" s="781"/>
      <c r="H253" s="781"/>
      <c r="I253" s="215" t="s">
        <v>189</v>
      </c>
      <c r="J253" s="216"/>
      <c r="K253" s="872"/>
      <c r="L253" s="873"/>
      <c r="M253" s="793"/>
      <c r="N253" s="837"/>
      <c r="O253" s="838"/>
      <c r="P253" s="837"/>
      <c r="Q253" s="838"/>
      <c r="R253" s="793"/>
      <c r="S253" s="899"/>
      <c r="T253" s="793"/>
      <c r="U253" s="880"/>
      <c r="V253" s="902"/>
      <c r="W253" s="793"/>
      <c r="X253" s="793"/>
      <c r="Y253" s="905"/>
      <c r="Z253" s="1"/>
      <c r="AA253" s="1"/>
      <c r="AB253" s="1"/>
      <c r="AC253" s="1"/>
      <c r="AD253" s="1"/>
      <c r="AE253" s="1"/>
      <c r="AF253" s="1"/>
      <c r="AG253" s="1"/>
      <c r="AH253" s="1"/>
      <c r="AI253" s="1"/>
      <c r="AJ253" s="1"/>
      <c r="AK253" s="1"/>
      <c r="AL253" s="1"/>
      <c r="AM253" s="1"/>
      <c r="AN253" s="1"/>
    </row>
    <row r="254" spans="1:40" ht="15.6" hidden="1" customHeight="1" outlineLevel="1" thickBot="1">
      <c r="A254" s="127"/>
      <c r="B254" s="773"/>
      <c r="C254" s="878"/>
      <c r="D254" s="881"/>
      <c r="E254" s="866"/>
      <c r="F254" s="867"/>
      <c r="G254" s="782"/>
      <c r="H254" s="782"/>
      <c r="I254" s="217" t="s">
        <v>190</v>
      </c>
      <c r="J254" s="218"/>
      <c r="K254" s="874"/>
      <c r="L254" s="875"/>
      <c r="M254" s="794"/>
      <c r="N254" s="863"/>
      <c r="O254" s="864"/>
      <c r="P254" s="863"/>
      <c r="Q254" s="864"/>
      <c r="R254" s="794"/>
      <c r="S254" s="900"/>
      <c r="T254" s="794"/>
      <c r="U254" s="881"/>
      <c r="V254" s="903"/>
      <c r="W254" s="794"/>
      <c r="X254" s="794"/>
      <c r="Y254" s="906"/>
      <c r="Z254" s="1"/>
      <c r="AA254" s="1"/>
      <c r="AB254" s="1"/>
      <c r="AC254" s="1"/>
      <c r="AD254" s="1"/>
      <c r="AE254" s="1"/>
      <c r="AF254" s="1"/>
      <c r="AG254" s="1"/>
      <c r="AH254" s="1"/>
      <c r="AI254" s="1"/>
      <c r="AJ254" s="1"/>
      <c r="AK254" s="1"/>
      <c r="AL254" s="1"/>
      <c r="AM254" s="1"/>
      <c r="AN254" s="1"/>
    </row>
    <row r="255" spans="1:40" ht="15" hidden="1" outlineLevel="1" thickTop="1">
      <c r="A255" s="127"/>
      <c r="B255" s="773"/>
      <c r="C255" s="876"/>
      <c r="D255" s="879"/>
      <c r="E255" s="868"/>
      <c r="F255" s="869"/>
      <c r="G255" s="772"/>
      <c r="H255" s="772"/>
      <c r="I255" s="213" t="s">
        <v>188</v>
      </c>
      <c r="J255" s="214"/>
      <c r="K255" s="870"/>
      <c r="L255" s="871"/>
      <c r="M255" s="792"/>
      <c r="N255" s="835"/>
      <c r="O255" s="836"/>
      <c r="P255" s="835"/>
      <c r="Q255" s="836"/>
      <c r="R255" s="792"/>
      <c r="S255" s="898"/>
      <c r="T255" s="792"/>
      <c r="U255" s="879"/>
      <c r="V255" s="901"/>
      <c r="W255" s="792"/>
      <c r="X255" s="792"/>
      <c r="Y255" s="904"/>
      <c r="Z255" s="1"/>
      <c r="AA255" s="1"/>
      <c r="AB255" s="1"/>
      <c r="AC255" s="1"/>
      <c r="AD255" s="1"/>
      <c r="AE255" s="1"/>
      <c r="AF255" s="1"/>
      <c r="AG255" s="1"/>
      <c r="AH255" s="1"/>
      <c r="AI255" s="1"/>
      <c r="AJ255" s="1"/>
      <c r="AK255" s="1"/>
      <c r="AL255" s="1"/>
      <c r="AM255" s="1"/>
      <c r="AN255" s="1"/>
    </row>
    <row r="256" spans="1:40" hidden="1" outlineLevel="1">
      <c r="A256" s="127"/>
      <c r="B256" s="773"/>
      <c r="C256" s="877"/>
      <c r="D256" s="880"/>
      <c r="E256" s="801"/>
      <c r="F256" s="802"/>
      <c r="G256" s="781"/>
      <c r="H256" s="781"/>
      <c r="I256" s="215" t="s">
        <v>189</v>
      </c>
      <c r="J256" s="216"/>
      <c r="K256" s="872"/>
      <c r="L256" s="873"/>
      <c r="M256" s="793"/>
      <c r="N256" s="837"/>
      <c r="O256" s="838"/>
      <c r="P256" s="837"/>
      <c r="Q256" s="838"/>
      <c r="R256" s="793"/>
      <c r="S256" s="899"/>
      <c r="T256" s="793"/>
      <c r="U256" s="880"/>
      <c r="V256" s="902"/>
      <c r="W256" s="793"/>
      <c r="X256" s="793"/>
      <c r="Y256" s="905"/>
      <c r="Z256" s="1"/>
      <c r="AA256" s="1"/>
      <c r="AB256" s="1"/>
      <c r="AC256" s="1"/>
      <c r="AD256" s="1"/>
      <c r="AE256" s="1"/>
      <c r="AF256" s="1"/>
      <c r="AG256" s="1"/>
      <c r="AH256" s="1"/>
      <c r="AI256" s="1"/>
      <c r="AJ256" s="1"/>
      <c r="AK256" s="1"/>
      <c r="AL256" s="1"/>
      <c r="AM256" s="1"/>
      <c r="AN256" s="1"/>
    </row>
    <row r="257" spans="1:40" ht="15.6" hidden="1" customHeight="1" outlineLevel="1" thickBot="1">
      <c r="A257" s="127"/>
      <c r="B257" s="773"/>
      <c r="C257" s="878"/>
      <c r="D257" s="881"/>
      <c r="E257" s="866"/>
      <c r="F257" s="867"/>
      <c r="G257" s="782"/>
      <c r="H257" s="782"/>
      <c r="I257" s="217" t="s">
        <v>190</v>
      </c>
      <c r="J257" s="218"/>
      <c r="K257" s="874"/>
      <c r="L257" s="875"/>
      <c r="M257" s="794"/>
      <c r="N257" s="863"/>
      <c r="O257" s="864"/>
      <c r="P257" s="863"/>
      <c r="Q257" s="864"/>
      <c r="R257" s="794"/>
      <c r="S257" s="900"/>
      <c r="T257" s="794"/>
      <c r="U257" s="881"/>
      <c r="V257" s="903"/>
      <c r="W257" s="794"/>
      <c r="X257" s="794"/>
      <c r="Y257" s="906"/>
      <c r="Z257" s="1"/>
      <c r="AA257" s="1"/>
      <c r="AB257" s="1"/>
      <c r="AC257" s="1"/>
      <c r="AD257" s="1"/>
      <c r="AE257" s="1"/>
      <c r="AF257" s="1"/>
      <c r="AG257" s="1"/>
      <c r="AH257" s="1"/>
      <c r="AI257" s="1"/>
      <c r="AJ257" s="1"/>
      <c r="AK257" s="1"/>
      <c r="AL257" s="1"/>
      <c r="AM257" s="1"/>
      <c r="AN257" s="1"/>
    </row>
    <row r="258" spans="1:40" ht="15" hidden="1" outlineLevel="1" thickTop="1">
      <c r="A258" s="127"/>
      <c r="B258" s="773"/>
      <c r="C258" s="876"/>
      <c r="D258" s="879"/>
      <c r="E258" s="868"/>
      <c r="F258" s="869"/>
      <c r="G258" s="772"/>
      <c r="H258" s="772"/>
      <c r="I258" s="213" t="s">
        <v>188</v>
      </c>
      <c r="J258" s="214"/>
      <c r="K258" s="870"/>
      <c r="L258" s="871"/>
      <c r="M258" s="792"/>
      <c r="N258" s="835"/>
      <c r="O258" s="836"/>
      <c r="P258" s="835"/>
      <c r="Q258" s="836"/>
      <c r="R258" s="792"/>
      <c r="S258" s="898"/>
      <c r="T258" s="792"/>
      <c r="U258" s="879"/>
      <c r="V258" s="901"/>
      <c r="W258" s="792"/>
      <c r="X258" s="792"/>
      <c r="Y258" s="904"/>
      <c r="Z258" s="1"/>
      <c r="AA258" s="1"/>
      <c r="AB258" s="1"/>
      <c r="AC258" s="1"/>
      <c r="AD258" s="1"/>
      <c r="AE258" s="1"/>
      <c r="AF258" s="1"/>
      <c r="AG258" s="1"/>
      <c r="AH258" s="1"/>
      <c r="AI258" s="1"/>
      <c r="AJ258" s="1"/>
      <c r="AK258" s="1"/>
      <c r="AL258" s="1"/>
      <c r="AM258" s="1"/>
      <c r="AN258" s="1"/>
    </row>
    <row r="259" spans="1:40" hidden="1" outlineLevel="1">
      <c r="A259" s="127"/>
      <c r="B259" s="773"/>
      <c r="C259" s="877"/>
      <c r="D259" s="880"/>
      <c r="E259" s="801"/>
      <c r="F259" s="802"/>
      <c r="G259" s="781"/>
      <c r="H259" s="781"/>
      <c r="I259" s="215" t="s">
        <v>189</v>
      </c>
      <c r="J259" s="216"/>
      <c r="K259" s="872"/>
      <c r="L259" s="873"/>
      <c r="M259" s="793"/>
      <c r="N259" s="837"/>
      <c r="O259" s="838"/>
      <c r="P259" s="837"/>
      <c r="Q259" s="838"/>
      <c r="R259" s="793"/>
      <c r="S259" s="899"/>
      <c r="T259" s="793"/>
      <c r="U259" s="880"/>
      <c r="V259" s="902"/>
      <c r="W259" s="793"/>
      <c r="X259" s="793"/>
      <c r="Y259" s="905"/>
      <c r="Z259" s="1"/>
      <c r="AA259" s="1"/>
      <c r="AB259" s="1"/>
      <c r="AC259" s="1"/>
      <c r="AD259" s="1"/>
      <c r="AE259" s="1"/>
      <c r="AF259" s="1"/>
      <c r="AG259" s="1"/>
      <c r="AH259" s="1"/>
      <c r="AI259" s="1"/>
      <c r="AJ259" s="1"/>
      <c r="AK259" s="1"/>
      <c r="AL259" s="1"/>
      <c r="AM259" s="1"/>
      <c r="AN259" s="1"/>
    </row>
    <row r="260" spans="1:40" ht="15.6" hidden="1" customHeight="1" outlineLevel="1" thickBot="1">
      <c r="A260" s="127"/>
      <c r="B260" s="773"/>
      <c r="C260" s="878"/>
      <c r="D260" s="881"/>
      <c r="E260" s="866"/>
      <c r="F260" s="867"/>
      <c r="G260" s="782"/>
      <c r="H260" s="782"/>
      <c r="I260" s="217" t="s">
        <v>190</v>
      </c>
      <c r="J260" s="218"/>
      <c r="K260" s="874"/>
      <c r="L260" s="875"/>
      <c r="M260" s="794"/>
      <c r="N260" s="863"/>
      <c r="O260" s="864"/>
      <c r="P260" s="863"/>
      <c r="Q260" s="864"/>
      <c r="R260" s="794"/>
      <c r="S260" s="900"/>
      <c r="T260" s="794"/>
      <c r="U260" s="881"/>
      <c r="V260" s="903"/>
      <c r="W260" s="794"/>
      <c r="X260" s="794"/>
      <c r="Y260" s="906"/>
      <c r="Z260" s="1"/>
      <c r="AA260" s="1"/>
      <c r="AB260" s="1"/>
      <c r="AC260" s="1"/>
      <c r="AD260" s="1"/>
      <c r="AE260" s="1"/>
      <c r="AF260" s="1"/>
      <c r="AG260" s="1"/>
      <c r="AH260" s="1"/>
      <c r="AI260" s="1"/>
      <c r="AJ260" s="1"/>
      <c r="AK260" s="1"/>
      <c r="AL260" s="1"/>
      <c r="AM260" s="1"/>
      <c r="AN260" s="1"/>
    </row>
    <row r="261" spans="1:40" ht="15" hidden="1" outlineLevel="1" thickTop="1">
      <c r="A261" s="127"/>
      <c r="B261" s="773"/>
      <c r="C261" s="876"/>
      <c r="D261" s="879"/>
      <c r="E261" s="868"/>
      <c r="F261" s="869"/>
      <c r="G261" s="772"/>
      <c r="H261" s="772"/>
      <c r="I261" s="213" t="s">
        <v>188</v>
      </c>
      <c r="J261" s="214"/>
      <c r="K261" s="870"/>
      <c r="L261" s="871"/>
      <c r="M261" s="792"/>
      <c r="N261" s="835"/>
      <c r="O261" s="836"/>
      <c r="P261" s="835"/>
      <c r="Q261" s="836"/>
      <c r="R261" s="792"/>
      <c r="S261" s="898"/>
      <c r="T261" s="792"/>
      <c r="U261" s="879"/>
      <c r="V261" s="901"/>
      <c r="W261" s="792"/>
      <c r="X261" s="792"/>
      <c r="Y261" s="904"/>
      <c r="Z261" s="1"/>
      <c r="AA261" s="1"/>
      <c r="AB261" s="1"/>
      <c r="AC261" s="1"/>
      <c r="AD261" s="1"/>
      <c r="AE261" s="1"/>
      <c r="AF261" s="1"/>
      <c r="AG261" s="1"/>
      <c r="AH261" s="1"/>
      <c r="AI261" s="1"/>
      <c r="AJ261" s="1"/>
      <c r="AK261" s="1"/>
      <c r="AL261" s="1"/>
      <c r="AM261" s="1"/>
      <c r="AN261" s="1"/>
    </row>
    <row r="262" spans="1:40" hidden="1" outlineLevel="1">
      <c r="A262" s="127"/>
      <c r="B262" s="773"/>
      <c r="C262" s="877"/>
      <c r="D262" s="880"/>
      <c r="E262" s="801"/>
      <c r="F262" s="802"/>
      <c r="G262" s="781"/>
      <c r="H262" s="781"/>
      <c r="I262" s="215" t="s">
        <v>189</v>
      </c>
      <c r="J262" s="216"/>
      <c r="K262" s="872"/>
      <c r="L262" s="873"/>
      <c r="M262" s="793"/>
      <c r="N262" s="837"/>
      <c r="O262" s="838"/>
      <c r="P262" s="837"/>
      <c r="Q262" s="838"/>
      <c r="R262" s="793"/>
      <c r="S262" s="899"/>
      <c r="T262" s="793"/>
      <c r="U262" s="880"/>
      <c r="V262" s="902"/>
      <c r="W262" s="793"/>
      <c r="X262" s="793"/>
      <c r="Y262" s="905"/>
      <c r="Z262" s="1"/>
      <c r="AA262" s="1"/>
      <c r="AB262" s="1"/>
      <c r="AC262" s="1"/>
      <c r="AD262" s="1"/>
      <c r="AE262" s="1"/>
      <c r="AF262" s="1"/>
      <c r="AG262" s="1"/>
      <c r="AH262" s="1"/>
      <c r="AI262" s="1"/>
      <c r="AJ262" s="1"/>
      <c r="AK262" s="1"/>
      <c r="AL262" s="1"/>
      <c r="AM262" s="1"/>
      <c r="AN262" s="1"/>
    </row>
    <row r="263" spans="1:40" ht="15.6" hidden="1" customHeight="1" outlineLevel="1" thickBot="1">
      <c r="A263" s="127"/>
      <c r="B263" s="773"/>
      <c r="C263" s="878"/>
      <c r="D263" s="881"/>
      <c r="E263" s="866"/>
      <c r="F263" s="867"/>
      <c r="G263" s="782"/>
      <c r="H263" s="782"/>
      <c r="I263" s="217" t="s">
        <v>190</v>
      </c>
      <c r="J263" s="218"/>
      <c r="K263" s="874"/>
      <c r="L263" s="875"/>
      <c r="M263" s="794"/>
      <c r="N263" s="863"/>
      <c r="O263" s="864"/>
      <c r="P263" s="863"/>
      <c r="Q263" s="864"/>
      <c r="R263" s="794"/>
      <c r="S263" s="900"/>
      <c r="T263" s="794"/>
      <c r="U263" s="881"/>
      <c r="V263" s="903"/>
      <c r="W263" s="794"/>
      <c r="X263" s="794"/>
      <c r="Y263" s="906"/>
      <c r="Z263" s="1"/>
      <c r="AA263" s="1"/>
      <c r="AB263" s="1"/>
      <c r="AC263" s="1"/>
      <c r="AD263" s="1"/>
      <c r="AE263" s="1"/>
      <c r="AF263" s="1"/>
      <c r="AG263" s="1"/>
      <c r="AH263" s="1"/>
      <c r="AI263" s="1"/>
      <c r="AJ263" s="1"/>
      <c r="AK263" s="1"/>
      <c r="AL263" s="1"/>
      <c r="AM263" s="1"/>
      <c r="AN263" s="1"/>
    </row>
    <row r="264" spans="1:40" ht="15" hidden="1" outlineLevel="1" thickTop="1">
      <c r="A264" s="127"/>
      <c r="B264" s="773"/>
      <c r="C264" s="876"/>
      <c r="D264" s="879"/>
      <c r="E264" s="868"/>
      <c r="F264" s="869"/>
      <c r="G264" s="772"/>
      <c r="H264" s="772"/>
      <c r="I264" s="213" t="s">
        <v>188</v>
      </c>
      <c r="J264" s="214"/>
      <c r="K264" s="870"/>
      <c r="L264" s="871"/>
      <c r="M264" s="792"/>
      <c r="N264" s="835"/>
      <c r="O264" s="836"/>
      <c r="P264" s="835"/>
      <c r="Q264" s="836"/>
      <c r="R264" s="792"/>
      <c r="S264" s="898"/>
      <c r="T264" s="792"/>
      <c r="U264" s="879"/>
      <c r="V264" s="901"/>
      <c r="W264" s="792"/>
      <c r="X264" s="792"/>
      <c r="Y264" s="904"/>
      <c r="Z264" s="1"/>
      <c r="AA264" s="1"/>
      <c r="AB264" s="1"/>
      <c r="AC264" s="1"/>
      <c r="AD264" s="1"/>
      <c r="AE264" s="1"/>
      <c r="AF264" s="1"/>
      <c r="AG264" s="1"/>
      <c r="AH264" s="1"/>
      <c r="AI264" s="1"/>
      <c r="AJ264" s="1"/>
      <c r="AK264" s="1"/>
      <c r="AL264" s="1"/>
      <c r="AM264" s="1"/>
      <c r="AN264" s="1"/>
    </row>
    <row r="265" spans="1:40" hidden="1" outlineLevel="1">
      <c r="A265" s="127"/>
      <c r="B265" s="773"/>
      <c r="C265" s="877"/>
      <c r="D265" s="880"/>
      <c r="E265" s="801"/>
      <c r="F265" s="802"/>
      <c r="G265" s="781"/>
      <c r="H265" s="781"/>
      <c r="I265" s="215" t="s">
        <v>189</v>
      </c>
      <c r="J265" s="216"/>
      <c r="K265" s="872"/>
      <c r="L265" s="873"/>
      <c r="M265" s="793"/>
      <c r="N265" s="837"/>
      <c r="O265" s="838"/>
      <c r="P265" s="837"/>
      <c r="Q265" s="838"/>
      <c r="R265" s="793"/>
      <c r="S265" s="899"/>
      <c r="T265" s="793"/>
      <c r="U265" s="880"/>
      <c r="V265" s="902"/>
      <c r="W265" s="793"/>
      <c r="X265" s="793"/>
      <c r="Y265" s="905"/>
      <c r="Z265" s="1"/>
      <c r="AA265" s="1"/>
      <c r="AB265" s="1"/>
      <c r="AC265" s="1"/>
      <c r="AD265" s="1"/>
      <c r="AE265" s="1"/>
      <c r="AF265" s="1"/>
      <c r="AG265" s="1"/>
      <c r="AH265" s="1"/>
      <c r="AI265" s="1"/>
      <c r="AJ265" s="1"/>
      <c r="AK265" s="1"/>
      <c r="AL265" s="1"/>
      <c r="AM265" s="1"/>
      <c r="AN265" s="1"/>
    </row>
    <row r="266" spans="1:40" ht="15.6" hidden="1" customHeight="1" outlineLevel="1" thickBot="1">
      <c r="A266" s="127"/>
      <c r="B266" s="773"/>
      <c r="C266" s="878"/>
      <c r="D266" s="881"/>
      <c r="E266" s="866"/>
      <c r="F266" s="867"/>
      <c r="G266" s="782"/>
      <c r="H266" s="782"/>
      <c r="I266" s="217" t="s">
        <v>190</v>
      </c>
      <c r="J266" s="218"/>
      <c r="K266" s="874"/>
      <c r="L266" s="875"/>
      <c r="M266" s="794"/>
      <c r="N266" s="863"/>
      <c r="O266" s="864"/>
      <c r="P266" s="863"/>
      <c r="Q266" s="864"/>
      <c r="R266" s="794"/>
      <c r="S266" s="900"/>
      <c r="T266" s="794"/>
      <c r="U266" s="881"/>
      <c r="V266" s="903"/>
      <c r="W266" s="794"/>
      <c r="X266" s="794"/>
      <c r="Y266" s="906"/>
      <c r="Z266" s="1"/>
      <c r="AA266" s="1"/>
      <c r="AB266" s="1"/>
      <c r="AC266" s="1"/>
      <c r="AD266" s="1"/>
      <c r="AE266" s="1"/>
      <c r="AF266" s="1"/>
      <c r="AG266" s="1"/>
      <c r="AH266" s="1"/>
      <c r="AI266" s="1"/>
      <c r="AJ266" s="1"/>
      <c r="AK266" s="1"/>
      <c r="AL266" s="1"/>
      <c r="AM266" s="1"/>
      <c r="AN266" s="1"/>
    </row>
    <row r="267" spans="1:40" ht="15" hidden="1" outlineLevel="1" thickTop="1">
      <c r="A267" s="127"/>
      <c r="B267" s="773"/>
      <c r="C267" s="876"/>
      <c r="D267" s="879"/>
      <c r="E267" s="868"/>
      <c r="F267" s="869"/>
      <c r="G267" s="772"/>
      <c r="H267" s="772"/>
      <c r="I267" s="213" t="s">
        <v>188</v>
      </c>
      <c r="J267" s="214"/>
      <c r="K267" s="870"/>
      <c r="L267" s="871"/>
      <c r="M267" s="792"/>
      <c r="N267" s="835"/>
      <c r="O267" s="836"/>
      <c r="P267" s="835"/>
      <c r="Q267" s="836"/>
      <c r="R267" s="792"/>
      <c r="S267" s="898"/>
      <c r="T267" s="792"/>
      <c r="U267" s="879"/>
      <c r="V267" s="901"/>
      <c r="W267" s="792"/>
      <c r="X267" s="792"/>
      <c r="Y267" s="904"/>
      <c r="Z267" s="1"/>
      <c r="AA267" s="1"/>
      <c r="AB267" s="1"/>
      <c r="AC267" s="1"/>
      <c r="AD267" s="1"/>
      <c r="AE267" s="1"/>
      <c r="AF267" s="1"/>
      <c r="AG267" s="1"/>
      <c r="AH267" s="1"/>
      <c r="AI267" s="1"/>
      <c r="AJ267" s="1"/>
      <c r="AK267" s="1"/>
      <c r="AL267" s="1"/>
      <c r="AM267" s="1"/>
      <c r="AN267" s="1"/>
    </row>
    <row r="268" spans="1:40" hidden="1" outlineLevel="1">
      <c r="A268" s="127"/>
      <c r="B268" s="773"/>
      <c r="C268" s="877"/>
      <c r="D268" s="880"/>
      <c r="E268" s="801"/>
      <c r="F268" s="802"/>
      <c r="G268" s="781"/>
      <c r="H268" s="781"/>
      <c r="I268" s="215" t="s">
        <v>189</v>
      </c>
      <c r="J268" s="216"/>
      <c r="K268" s="872"/>
      <c r="L268" s="873"/>
      <c r="M268" s="793"/>
      <c r="N268" s="837"/>
      <c r="O268" s="838"/>
      <c r="P268" s="837"/>
      <c r="Q268" s="838"/>
      <c r="R268" s="793"/>
      <c r="S268" s="899"/>
      <c r="T268" s="793"/>
      <c r="U268" s="880"/>
      <c r="V268" s="902"/>
      <c r="W268" s="793"/>
      <c r="X268" s="793"/>
      <c r="Y268" s="905"/>
      <c r="Z268" s="1"/>
      <c r="AA268" s="1"/>
      <c r="AB268" s="1"/>
      <c r="AC268" s="1"/>
      <c r="AD268" s="1"/>
      <c r="AE268" s="1"/>
      <c r="AF268" s="1"/>
      <c r="AG268" s="1"/>
      <c r="AH268" s="1"/>
      <c r="AI268" s="1"/>
      <c r="AJ268" s="1"/>
      <c r="AK268" s="1"/>
      <c r="AL268" s="1"/>
      <c r="AM268" s="1"/>
      <c r="AN268" s="1"/>
    </row>
    <row r="269" spans="1:40" ht="15.6" hidden="1" customHeight="1" outlineLevel="1" thickBot="1">
      <c r="A269" s="127"/>
      <c r="B269" s="773"/>
      <c r="C269" s="878"/>
      <c r="D269" s="881"/>
      <c r="E269" s="866"/>
      <c r="F269" s="867"/>
      <c r="G269" s="782"/>
      <c r="H269" s="782"/>
      <c r="I269" s="217" t="s">
        <v>190</v>
      </c>
      <c r="J269" s="218"/>
      <c r="K269" s="874"/>
      <c r="L269" s="875"/>
      <c r="M269" s="794"/>
      <c r="N269" s="863"/>
      <c r="O269" s="864"/>
      <c r="P269" s="863"/>
      <c r="Q269" s="864"/>
      <c r="R269" s="794"/>
      <c r="S269" s="900"/>
      <c r="T269" s="794"/>
      <c r="U269" s="881"/>
      <c r="V269" s="903"/>
      <c r="W269" s="794"/>
      <c r="X269" s="794"/>
      <c r="Y269" s="906"/>
      <c r="Z269" s="1"/>
      <c r="AA269" s="1"/>
      <c r="AB269" s="1"/>
      <c r="AC269" s="1"/>
      <c r="AD269" s="1"/>
      <c r="AE269" s="1"/>
      <c r="AF269" s="1"/>
      <c r="AG269" s="1"/>
      <c r="AH269" s="1"/>
      <c r="AI269" s="1"/>
      <c r="AJ269" s="1"/>
      <c r="AK269" s="1"/>
      <c r="AL269" s="1"/>
      <c r="AM269" s="1"/>
      <c r="AN269" s="1"/>
    </row>
    <row r="270" spans="1:40" ht="15" hidden="1" outlineLevel="1" thickTop="1">
      <c r="A270" s="127"/>
      <c r="B270" s="773"/>
      <c r="C270" s="876"/>
      <c r="D270" s="879"/>
      <c r="E270" s="868"/>
      <c r="F270" s="869"/>
      <c r="G270" s="772"/>
      <c r="H270" s="772"/>
      <c r="I270" s="213" t="s">
        <v>188</v>
      </c>
      <c r="J270" s="214"/>
      <c r="K270" s="870"/>
      <c r="L270" s="871"/>
      <c r="M270" s="792"/>
      <c r="N270" s="835"/>
      <c r="O270" s="836"/>
      <c r="P270" s="835"/>
      <c r="Q270" s="836"/>
      <c r="R270" s="792"/>
      <c r="S270" s="898"/>
      <c r="T270" s="792"/>
      <c r="U270" s="879"/>
      <c r="V270" s="901"/>
      <c r="W270" s="792"/>
      <c r="X270" s="792"/>
      <c r="Y270" s="904"/>
      <c r="Z270" s="1"/>
      <c r="AA270" s="1"/>
      <c r="AB270" s="1"/>
      <c r="AC270" s="1"/>
      <c r="AD270" s="1"/>
      <c r="AE270" s="1"/>
      <c r="AF270" s="1"/>
      <c r="AG270" s="1"/>
      <c r="AH270" s="1"/>
      <c r="AI270" s="1"/>
      <c r="AJ270" s="1"/>
      <c r="AK270" s="1"/>
      <c r="AL270" s="1"/>
      <c r="AM270" s="1"/>
      <c r="AN270" s="1"/>
    </row>
    <row r="271" spans="1:40" hidden="1" outlineLevel="1">
      <c r="A271" s="127"/>
      <c r="B271" s="773"/>
      <c r="C271" s="877"/>
      <c r="D271" s="880"/>
      <c r="E271" s="801"/>
      <c r="F271" s="802"/>
      <c r="G271" s="781"/>
      <c r="H271" s="781"/>
      <c r="I271" s="215" t="s">
        <v>189</v>
      </c>
      <c r="J271" s="216"/>
      <c r="K271" s="872"/>
      <c r="L271" s="873"/>
      <c r="M271" s="793"/>
      <c r="N271" s="837"/>
      <c r="O271" s="838"/>
      <c r="P271" s="837"/>
      <c r="Q271" s="838"/>
      <c r="R271" s="793"/>
      <c r="S271" s="899"/>
      <c r="T271" s="793"/>
      <c r="U271" s="880"/>
      <c r="V271" s="902"/>
      <c r="W271" s="793"/>
      <c r="X271" s="793"/>
      <c r="Y271" s="905"/>
      <c r="Z271" s="1"/>
      <c r="AA271" s="1"/>
      <c r="AB271" s="1"/>
      <c r="AC271" s="1"/>
      <c r="AD271" s="1"/>
      <c r="AE271" s="1"/>
      <c r="AF271" s="1"/>
      <c r="AG271" s="1"/>
      <c r="AH271" s="1"/>
      <c r="AI271" s="1"/>
      <c r="AJ271" s="1"/>
      <c r="AK271" s="1"/>
      <c r="AL271" s="1"/>
      <c r="AM271" s="1"/>
      <c r="AN271" s="1"/>
    </row>
    <row r="272" spans="1:40" ht="15.6" hidden="1" customHeight="1" outlineLevel="1" thickBot="1">
      <c r="A272" s="127"/>
      <c r="B272" s="773"/>
      <c r="C272" s="878"/>
      <c r="D272" s="881"/>
      <c r="E272" s="866"/>
      <c r="F272" s="867"/>
      <c r="G272" s="782"/>
      <c r="H272" s="782"/>
      <c r="I272" s="217" t="s">
        <v>190</v>
      </c>
      <c r="J272" s="218"/>
      <c r="K272" s="874"/>
      <c r="L272" s="875"/>
      <c r="M272" s="794"/>
      <c r="N272" s="863"/>
      <c r="O272" s="864"/>
      <c r="P272" s="863"/>
      <c r="Q272" s="864"/>
      <c r="R272" s="794"/>
      <c r="S272" s="900"/>
      <c r="T272" s="794"/>
      <c r="U272" s="881"/>
      <c r="V272" s="903"/>
      <c r="W272" s="794"/>
      <c r="X272" s="794"/>
      <c r="Y272" s="906"/>
      <c r="Z272" s="1"/>
      <c r="AA272" s="1"/>
      <c r="AB272" s="1"/>
      <c r="AC272" s="1"/>
      <c r="AD272" s="1"/>
      <c r="AE272" s="1"/>
      <c r="AF272" s="1"/>
      <c r="AG272" s="1"/>
      <c r="AH272" s="1"/>
      <c r="AI272" s="1"/>
      <c r="AJ272" s="1"/>
      <c r="AK272" s="1"/>
      <c r="AL272" s="1"/>
      <c r="AM272" s="1"/>
      <c r="AN272" s="1"/>
    </row>
    <row r="273" spans="1:40" ht="15" hidden="1" outlineLevel="1" thickTop="1">
      <c r="A273" s="127"/>
      <c r="B273" s="773"/>
      <c r="C273" s="876"/>
      <c r="D273" s="879"/>
      <c r="E273" s="868"/>
      <c r="F273" s="869"/>
      <c r="G273" s="772"/>
      <c r="H273" s="772"/>
      <c r="I273" s="213" t="s">
        <v>188</v>
      </c>
      <c r="J273" s="214"/>
      <c r="K273" s="870"/>
      <c r="L273" s="871"/>
      <c r="M273" s="792"/>
      <c r="N273" s="835"/>
      <c r="O273" s="836"/>
      <c r="P273" s="835"/>
      <c r="Q273" s="836"/>
      <c r="R273" s="792"/>
      <c r="S273" s="898"/>
      <c r="T273" s="792"/>
      <c r="U273" s="879"/>
      <c r="V273" s="901"/>
      <c r="W273" s="792"/>
      <c r="X273" s="792"/>
      <c r="Y273" s="904"/>
      <c r="Z273" s="1"/>
      <c r="AA273" s="1"/>
      <c r="AB273" s="1"/>
      <c r="AC273" s="1"/>
      <c r="AD273" s="1"/>
      <c r="AE273" s="1"/>
      <c r="AF273" s="1"/>
      <c r="AG273" s="1"/>
      <c r="AH273" s="1"/>
      <c r="AI273" s="1"/>
      <c r="AJ273" s="1"/>
      <c r="AK273" s="1"/>
      <c r="AL273" s="1"/>
      <c r="AM273" s="1"/>
      <c r="AN273" s="1"/>
    </row>
    <row r="274" spans="1:40" hidden="1" outlineLevel="1">
      <c r="A274" s="127"/>
      <c r="B274" s="773"/>
      <c r="C274" s="877"/>
      <c r="D274" s="880"/>
      <c r="E274" s="801"/>
      <c r="F274" s="802"/>
      <c r="G274" s="781"/>
      <c r="H274" s="781"/>
      <c r="I274" s="215" t="s">
        <v>189</v>
      </c>
      <c r="J274" s="216"/>
      <c r="K274" s="872"/>
      <c r="L274" s="873"/>
      <c r="M274" s="793"/>
      <c r="N274" s="837"/>
      <c r="O274" s="838"/>
      <c r="P274" s="837"/>
      <c r="Q274" s="838"/>
      <c r="R274" s="793"/>
      <c r="S274" s="899"/>
      <c r="T274" s="793"/>
      <c r="U274" s="880"/>
      <c r="V274" s="902"/>
      <c r="W274" s="793"/>
      <c r="X274" s="793"/>
      <c r="Y274" s="905"/>
      <c r="Z274" s="1"/>
      <c r="AA274" s="1"/>
      <c r="AB274" s="1"/>
      <c r="AC274" s="1"/>
      <c r="AD274" s="1"/>
      <c r="AE274" s="1"/>
      <c r="AF274" s="1"/>
      <c r="AG274" s="1"/>
      <c r="AH274" s="1"/>
      <c r="AI274" s="1"/>
      <c r="AJ274" s="1"/>
      <c r="AK274" s="1"/>
      <c r="AL274" s="1"/>
      <c r="AM274" s="1"/>
      <c r="AN274" s="1"/>
    </row>
    <row r="275" spans="1:40" ht="15.6" hidden="1" customHeight="1" outlineLevel="1" thickBot="1">
      <c r="A275" s="127"/>
      <c r="B275" s="773"/>
      <c r="C275" s="878"/>
      <c r="D275" s="881"/>
      <c r="E275" s="866"/>
      <c r="F275" s="867"/>
      <c r="G275" s="782"/>
      <c r="H275" s="782"/>
      <c r="I275" s="217" t="s">
        <v>190</v>
      </c>
      <c r="J275" s="218"/>
      <c r="K275" s="874"/>
      <c r="L275" s="875"/>
      <c r="M275" s="794"/>
      <c r="N275" s="863"/>
      <c r="O275" s="864"/>
      <c r="P275" s="863"/>
      <c r="Q275" s="864"/>
      <c r="R275" s="794"/>
      <c r="S275" s="900"/>
      <c r="T275" s="794"/>
      <c r="U275" s="881"/>
      <c r="V275" s="903"/>
      <c r="W275" s="794"/>
      <c r="X275" s="794"/>
      <c r="Y275" s="906"/>
      <c r="Z275" s="1"/>
      <c r="AA275" s="1"/>
      <c r="AB275" s="1"/>
      <c r="AC275" s="1"/>
      <c r="AD275" s="1"/>
      <c r="AE275" s="1"/>
      <c r="AF275" s="1"/>
      <c r="AG275" s="1"/>
      <c r="AH275" s="1"/>
      <c r="AI275" s="1"/>
      <c r="AJ275" s="1"/>
      <c r="AK275" s="1"/>
      <c r="AL275" s="1"/>
      <c r="AM275" s="1"/>
      <c r="AN275" s="1"/>
    </row>
    <row r="276" spans="1:40" ht="15" hidden="1" outlineLevel="1" thickTop="1">
      <c r="A276" s="127"/>
      <c r="B276" s="773"/>
      <c r="C276" s="876"/>
      <c r="D276" s="879"/>
      <c r="E276" s="868"/>
      <c r="F276" s="869"/>
      <c r="G276" s="772"/>
      <c r="H276" s="772"/>
      <c r="I276" s="213" t="s">
        <v>188</v>
      </c>
      <c r="J276" s="214"/>
      <c r="K276" s="870"/>
      <c r="L276" s="871"/>
      <c r="M276" s="792"/>
      <c r="N276" s="835"/>
      <c r="O276" s="836"/>
      <c r="P276" s="835"/>
      <c r="Q276" s="836"/>
      <c r="R276" s="792"/>
      <c r="S276" s="898"/>
      <c r="T276" s="792"/>
      <c r="U276" s="879"/>
      <c r="V276" s="901"/>
      <c r="W276" s="792"/>
      <c r="X276" s="792"/>
      <c r="Y276" s="904"/>
      <c r="Z276" s="1"/>
      <c r="AA276" s="1"/>
      <c r="AB276" s="1"/>
      <c r="AC276" s="1"/>
      <c r="AD276" s="1"/>
      <c r="AE276" s="1"/>
      <c r="AF276" s="1"/>
      <c r="AG276" s="1"/>
      <c r="AH276" s="1"/>
      <c r="AI276" s="1"/>
      <c r="AJ276" s="1"/>
      <c r="AK276" s="1"/>
      <c r="AL276" s="1"/>
      <c r="AM276" s="1"/>
      <c r="AN276" s="1"/>
    </row>
    <row r="277" spans="1:40" hidden="1" outlineLevel="1">
      <c r="A277" s="127"/>
      <c r="B277" s="773"/>
      <c r="C277" s="877"/>
      <c r="D277" s="880"/>
      <c r="E277" s="801"/>
      <c r="F277" s="802"/>
      <c r="G277" s="781"/>
      <c r="H277" s="781"/>
      <c r="I277" s="215" t="s">
        <v>189</v>
      </c>
      <c r="J277" s="216"/>
      <c r="K277" s="872"/>
      <c r="L277" s="873"/>
      <c r="M277" s="793"/>
      <c r="N277" s="837"/>
      <c r="O277" s="838"/>
      <c r="P277" s="837"/>
      <c r="Q277" s="838"/>
      <c r="R277" s="793"/>
      <c r="S277" s="899"/>
      <c r="T277" s="793"/>
      <c r="U277" s="880"/>
      <c r="V277" s="902"/>
      <c r="W277" s="793"/>
      <c r="X277" s="793"/>
      <c r="Y277" s="905"/>
      <c r="Z277" s="1"/>
      <c r="AA277" s="1"/>
      <c r="AB277" s="1"/>
      <c r="AC277" s="1"/>
      <c r="AD277" s="1"/>
      <c r="AE277" s="1"/>
      <c r="AF277" s="1"/>
      <c r="AG277" s="1"/>
      <c r="AH277" s="1"/>
      <c r="AI277" s="1"/>
      <c r="AJ277" s="1"/>
      <c r="AK277" s="1"/>
      <c r="AL277" s="1"/>
      <c r="AM277" s="1"/>
      <c r="AN277" s="1"/>
    </row>
    <row r="278" spans="1:40" ht="15.6" hidden="1" customHeight="1" outlineLevel="1" thickBot="1">
      <c r="A278" s="127"/>
      <c r="B278" s="773"/>
      <c r="C278" s="878"/>
      <c r="D278" s="881"/>
      <c r="E278" s="866"/>
      <c r="F278" s="867"/>
      <c r="G278" s="782"/>
      <c r="H278" s="782"/>
      <c r="I278" s="217" t="s">
        <v>190</v>
      </c>
      <c r="J278" s="218"/>
      <c r="K278" s="874"/>
      <c r="L278" s="875"/>
      <c r="M278" s="794"/>
      <c r="N278" s="863"/>
      <c r="O278" s="864"/>
      <c r="P278" s="863"/>
      <c r="Q278" s="864"/>
      <c r="R278" s="794"/>
      <c r="S278" s="900"/>
      <c r="T278" s="794"/>
      <c r="U278" s="881"/>
      <c r="V278" s="903"/>
      <c r="W278" s="794"/>
      <c r="X278" s="794"/>
      <c r="Y278" s="906"/>
      <c r="Z278" s="1"/>
      <c r="AA278" s="1"/>
      <c r="AB278" s="1"/>
      <c r="AC278" s="1"/>
      <c r="AD278" s="1"/>
      <c r="AE278" s="1"/>
      <c r="AF278" s="1"/>
      <c r="AG278" s="1"/>
      <c r="AH278" s="1"/>
      <c r="AI278" s="1"/>
      <c r="AJ278" s="1"/>
      <c r="AK278" s="1"/>
      <c r="AL278" s="1"/>
      <c r="AM278" s="1"/>
      <c r="AN278" s="1"/>
    </row>
    <row r="279" spans="1:40" ht="15" hidden="1" outlineLevel="1" thickTop="1">
      <c r="A279" s="127"/>
      <c r="B279" s="773"/>
      <c r="C279" s="876"/>
      <c r="D279" s="879"/>
      <c r="E279" s="868"/>
      <c r="F279" s="869"/>
      <c r="G279" s="772"/>
      <c r="H279" s="772"/>
      <c r="I279" s="213" t="s">
        <v>188</v>
      </c>
      <c r="J279" s="214"/>
      <c r="K279" s="870"/>
      <c r="L279" s="871"/>
      <c r="M279" s="792"/>
      <c r="N279" s="835"/>
      <c r="O279" s="836"/>
      <c r="P279" s="835"/>
      <c r="Q279" s="836"/>
      <c r="R279" s="792"/>
      <c r="S279" s="898"/>
      <c r="T279" s="792"/>
      <c r="U279" s="879"/>
      <c r="V279" s="901"/>
      <c r="W279" s="792"/>
      <c r="X279" s="792"/>
      <c r="Y279" s="904"/>
      <c r="Z279" s="1"/>
      <c r="AA279" s="1"/>
      <c r="AB279" s="1"/>
      <c r="AC279" s="1"/>
      <c r="AD279" s="1"/>
      <c r="AE279" s="1"/>
      <c r="AF279" s="1"/>
      <c r="AG279" s="1"/>
      <c r="AH279" s="1"/>
      <c r="AI279" s="1"/>
      <c r="AJ279" s="1"/>
      <c r="AK279" s="1"/>
      <c r="AL279" s="1"/>
      <c r="AM279" s="1"/>
      <c r="AN279" s="1"/>
    </row>
    <row r="280" spans="1:40" hidden="1" outlineLevel="1">
      <c r="A280" s="127"/>
      <c r="B280" s="773"/>
      <c r="C280" s="877"/>
      <c r="D280" s="880"/>
      <c r="E280" s="801"/>
      <c r="F280" s="802"/>
      <c r="G280" s="781"/>
      <c r="H280" s="781"/>
      <c r="I280" s="215" t="s">
        <v>189</v>
      </c>
      <c r="J280" s="216"/>
      <c r="K280" s="872"/>
      <c r="L280" s="873"/>
      <c r="M280" s="793"/>
      <c r="N280" s="837"/>
      <c r="O280" s="838"/>
      <c r="P280" s="837"/>
      <c r="Q280" s="838"/>
      <c r="R280" s="793"/>
      <c r="S280" s="899"/>
      <c r="T280" s="793"/>
      <c r="U280" s="880"/>
      <c r="V280" s="902"/>
      <c r="W280" s="793"/>
      <c r="X280" s="793"/>
      <c r="Y280" s="905"/>
      <c r="Z280" s="1"/>
      <c r="AA280" s="1"/>
      <c r="AB280" s="1"/>
      <c r="AC280" s="1"/>
      <c r="AD280" s="1"/>
      <c r="AE280" s="1"/>
      <c r="AF280" s="1"/>
      <c r="AG280" s="1"/>
      <c r="AH280" s="1"/>
      <c r="AI280" s="1"/>
      <c r="AJ280" s="1"/>
      <c r="AK280" s="1"/>
      <c r="AL280" s="1"/>
      <c r="AM280" s="1"/>
      <c r="AN280" s="1"/>
    </row>
    <row r="281" spans="1:40" ht="15.6" hidden="1" customHeight="1" outlineLevel="1" thickBot="1">
      <c r="A281" s="127"/>
      <c r="B281" s="773"/>
      <c r="C281" s="878"/>
      <c r="D281" s="881"/>
      <c r="E281" s="866"/>
      <c r="F281" s="867"/>
      <c r="G281" s="782"/>
      <c r="H281" s="782"/>
      <c r="I281" s="217" t="s">
        <v>190</v>
      </c>
      <c r="J281" s="218"/>
      <c r="K281" s="874"/>
      <c r="L281" s="875"/>
      <c r="M281" s="794"/>
      <c r="N281" s="863"/>
      <c r="O281" s="864"/>
      <c r="P281" s="863"/>
      <c r="Q281" s="864"/>
      <c r="R281" s="794"/>
      <c r="S281" s="900"/>
      <c r="T281" s="794"/>
      <c r="U281" s="881"/>
      <c r="V281" s="903"/>
      <c r="W281" s="794"/>
      <c r="X281" s="794"/>
      <c r="Y281" s="906"/>
      <c r="Z281" s="1"/>
      <c r="AA281" s="1"/>
      <c r="AB281" s="1"/>
      <c r="AC281" s="1"/>
      <c r="AD281" s="1"/>
      <c r="AE281" s="1"/>
      <c r="AF281" s="1"/>
      <c r="AG281" s="1"/>
      <c r="AH281" s="1"/>
      <c r="AI281" s="1"/>
      <c r="AJ281" s="1"/>
      <c r="AK281" s="1"/>
      <c r="AL281" s="1"/>
      <c r="AM281" s="1"/>
      <c r="AN281" s="1"/>
    </row>
    <row r="282" spans="1:40" ht="15" hidden="1" outlineLevel="1" thickTop="1">
      <c r="A282" s="127"/>
      <c r="B282" s="773"/>
      <c r="C282" s="876"/>
      <c r="D282" s="879"/>
      <c r="E282" s="868"/>
      <c r="F282" s="869"/>
      <c r="G282" s="772"/>
      <c r="H282" s="772"/>
      <c r="I282" s="213" t="s">
        <v>188</v>
      </c>
      <c r="J282" s="214"/>
      <c r="K282" s="870"/>
      <c r="L282" s="871"/>
      <c r="M282" s="792"/>
      <c r="N282" s="835"/>
      <c r="O282" s="836"/>
      <c r="P282" s="835"/>
      <c r="Q282" s="836"/>
      <c r="R282" s="792"/>
      <c r="S282" s="898"/>
      <c r="T282" s="792"/>
      <c r="U282" s="879"/>
      <c r="V282" s="901"/>
      <c r="W282" s="792"/>
      <c r="X282" s="792"/>
      <c r="Y282" s="904"/>
      <c r="Z282" s="1"/>
      <c r="AA282" s="1"/>
      <c r="AB282" s="1"/>
      <c r="AC282" s="1"/>
      <c r="AD282" s="1"/>
      <c r="AE282" s="1"/>
      <c r="AF282" s="1"/>
      <c r="AG282" s="1"/>
      <c r="AH282" s="1"/>
      <c r="AI282" s="1"/>
      <c r="AJ282" s="1"/>
      <c r="AK282" s="1"/>
      <c r="AL282" s="1"/>
      <c r="AM282" s="1"/>
      <c r="AN282" s="1"/>
    </row>
    <row r="283" spans="1:40" hidden="1" outlineLevel="1">
      <c r="A283" s="127"/>
      <c r="B283" s="773"/>
      <c r="C283" s="877"/>
      <c r="D283" s="880"/>
      <c r="E283" s="801"/>
      <c r="F283" s="802"/>
      <c r="G283" s="781"/>
      <c r="H283" s="781"/>
      <c r="I283" s="215" t="s">
        <v>189</v>
      </c>
      <c r="J283" s="216"/>
      <c r="K283" s="872"/>
      <c r="L283" s="873"/>
      <c r="M283" s="793"/>
      <c r="N283" s="837"/>
      <c r="O283" s="838"/>
      <c r="P283" s="837"/>
      <c r="Q283" s="838"/>
      <c r="R283" s="793"/>
      <c r="S283" s="899"/>
      <c r="T283" s="793"/>
      <c r="U283" s="880"/>
      <c r="V283" s="902"/>
      <c r="W283" s="793"/>
      <c r="X283" s="793"/>
      <c r="Y283" s="905"/>
      <c r="Z283" s="1"/>
      <c r="AA283" s="1"/>
      <c r="AB283" s="1"/>
      <c r="AC283" s="1"/>
      <c r="AD283" s="1"/>
      <c r="AE283" s="1"/>
      <c r="AF283" s="1"/>
      <c r="AG283" s="1"/>
      <c r="AH283" s="1"/>
      <c r="AI283" s="1"/>
      <c r="AJ283" s="1"/>
      <c r="AK283" s="1"/>
      <c r="AL283" s="1"/>
      <c r="AM283" s="1"/>
      <c r="AN283" s="1"/>
    </row>
    <row r="284" spans="1:40" ht="15.6" hidden="1" customHeight="1" outlineLevel="1" thickBot="1">
      <c r="A284" s="127"/>
      <c r="B284" s="773"/>
      <c r="C284" s="878"/>
      <c r="D284" s="881"/>
      <c r="E284" s="866"/>
      <c r="F284" s="867"/>
      <c r="G284" s="782"/>
      <c r="H284" s="782"/>
      <c r="I284" s="217" t="s">
        <v>190</v>
      </c>
      <c r="J284" s="218"/>
      <c r="K284" s="874"/>
      <c r="L284" s="875"/>
      <c r="M284" s="794"/>
      <c r="N284" s="863"/>
      <c r="O284" s="864"/>
      <c r="P284" s="863"/>
      <c r="Q284" s="864"/>
      <c r="R284" s="794"/>
      <c r="S284" s="900"/>
      <c r="T284" s="794"/>
      <c r="U284" s="881"/>
      <c r="V284" s="903"/>
      <c r="W284" s="794"/>
      <c r="X284" s="794"/>
      <c r="Y284" s="906"/>
      <c r="Z284" s="1"/>
      <c r="AA284" s="1"/>
      <c r="AB284" s="1"/>
      <c r="AC284" s="1"/>
      <c r="AD284" s="1"/>
      <c r="AE284" s="1"/>
      <c r="AF284" s="1"/>
      <c r="AG284" s="1"/>
      <c r="AH284" s="1"/>
      <c r="AI284" s="1"/>
      <c r="AJ284" s="1"/>
      <c r="AK284" s="1"/>
      <c r="AL284" s="1"/>
      <c r="AM284" s="1"/>
      <c r="AN284" s="1"/>
    </row>
    <row r="285" spans="1:40" ht="15" hidden="1" outlineLevel="1" thickTop="1">
      <c r="A285" s="127"/>
      <c r="B285" s="773"/>
      <c r="C285" s="876"/>
      <c r="D285" s="879"/>
      <c r="E285" s="868"/>
      <c r="F285" s="869"/>
      <c r="G285" s="772"/>
      <c r="H285" s="772"/>
      <c r="I285" s="213" t="s">
        <v>188</v>
      </c>
      <c r="J285" s="214"/>
      <c r="K285" s="870"/>
      <c r="L285" s="871"/>
      <c r="M285" s="792"/>
      <c r="N285" s="835"/>
      <c r="O285" s="836"/>
      <c r="P285" s="835"/>
      <c r="Q285" s="836"/>
      <c r="R285" s="792"/>
      <c r="S285" s="898"/>
      <c r="T285" s="792"/>
      <c r="U285" s="879"/>
      <c r="V285" s="901"/>
      <c r="W285" s="792"/>
      <c r="X285" s="792"/>
      <c r="Y285" s="904"/>
      <c r="Z285" s="1"/>
      <c r="AA285" s="1"/>
      <c r="AB285" s="1"/>
      <c r="AC285" s="1"/>
      <c r="AD285" s="1"/>
      <c r="AE285" s="1"/>
      <c r="AF285" s="1"/>
      <c r="AG285" s="1"/>
      <c r="AH285" s="1"/>
      <c r="AI285" s="1"/>
      <c r="AJ285" s="1"/>
      <c r="AK285" s="1"/>
      <c r="AL285" s="1"/>
      <c r="AM285" s="1"/>
      <c r="AN285" s="1"/>
    </row>
    <row r="286" spans="1:40" hidden="1" outlineLevel="1">
      <c r="A286" s="127"/>
      <c r="B286" s="773"/>
      <c r="C286" s="877"/>
      <c r="D286" s="880"/>
      <c r="E286" s="801"/>
      <c r="F286" s="802"/>
      <c r="G286" s="781"/>
      <c r="H286" s="781"/>
      <c r="I286" s="215" t="s">
        <v>189</v>
      </c>
      <c r="J286" s="216"/>
      <c r="K286" s="872"/>
      <c r="L286" s="873"/>
      <c r="M286" s="793"/>
      <c r="N286" s="837"/>
      <c r="O286" s="838"/>
      <c r="P286" s="837"/>
      <c r="Q286" s="838"/>
      <c r="R286" s="793"/>
      <c r="S286" s="899"/>
      <c r="T286" s="793"/>
      <c r="U286" s="880"/>
      <c r="V286" s="902"/>
      <c r="W286" s="793"/>
      <c r="X286" s="793"/>
      <c r="Y286" s="905"/>
      <c r="Z286" s="1"/>
      <c r="AA286" s="1"/>
      <c r="AB286" s="1"/>
      <c r="AC286" s="1"/>
      <c r="AD286" s="1"/>
      <c r="AE286" s="1"/>
      <c r="AF286" s="1"/>
      <c r="AG286" s="1"/>
      <c r="AH286" s="1"/>
      <c r="AI286" s="1"/>
      <c r="AJ286" s="1"/>
      <c r="AK286" s="1"/>
      <c r="AL286" s="1"/>
      <c r="AM286" s="1"/>
      <c r="AN286" s="1"/>
    </row>
    <row r="287" spans="1:40" ht="15.6" hidden="1" customHeight="1" outlineLevel="1" thickBot="1">
      <c r="A287" s="127"/>
      <c r="B287" s="773"/>
      <c r="C287" s="878"/>
      <c r="D287" s="881"/>
      <c r="E287" s="866"/>
      <c r="F287" s="867"/>
      <c r="G287" s="782"/>
      <c r="H287" s="782"/>
      <c r="I287" s="217" t="s">
        <v>190</v>
      </c>
      <c r="J287" s="218"/>
      <c r="K287" s="874"/>
      <c r="L287" s="875"/>
      <c r="M287" s="794"/>
      <c r="N287" s="863"/>
      <c r="O287" s="864"/>
      <c r="P287" s="863"/>
      <c r="Q287" s="864"/>
      <c r="R287" s="794"/>
      <c r="S287" s="900"/>
      <c r="T287" s="794"/>
      <c r="U287" s="881"/>
      <c r="V287" s="903"/>
      <c r="W287" s="794"/>
      <c r="X287" s="794"/>
      <c r="Y287" s="906"/>
      <c r="Z287" s="1"/>
      <c r="AA287" s="1"/>
      <c r="AB287" s="1"/>
      <c r="AC287" s="1"/>
      <c r="AD287" s="1"/>
      <c r="AE287" s="1"/>
      <c r="AF287" s="1"/>
      <c r="AG287" s="1"/>
      <c r="AH287" s="1"/>
      <c r="AI287" s="1"/>
      <c r="AJ287" s="1"/>
      <c r="AK287" s="1"/>
      <c r="AL287" s="1"/>
      <c r="AM287" s="1"/>
      <c r="AN287" s="1"/>
    </row>
    <row r="288" spans="1:40" ht="15" hidden="1" outlineLevel="1" thickTop="1">
      <c r="A288" s="127"/>
      <c r="B288" s="773"/>
      <c r="C288" s="876"/>
      <c r="D288" s="879"/>
      <c r="E288" s="868"/>
      <c r="F288" s="869"/>
      <c r="G288" s="772"/>
      <c r="H288" s="772"/>
      <c r="I288" s="213" t="s">
        <v>188</v>
      </c>
      <c r="J288" s="214"/>
      <c r="K288" s="870"/>
      <c r="L288" s="871"/>
      <c r="M288" s="792"/>
      <c r="N288" s="835"/>
      <c r="O288" s="836"/>
      <c r="P288" s="835"/>
      <c r="Q288" s="836"/>
      <c r="R288" s="792"/>
      <c r="S288" s="898"/>
      <c r="T288" s="792"/>
      <c r="U288" s="879"/>
      <c r="V288" s="901"/>
      <c r="W288" s="792"/>
      <c r="X288" s="792"/>
      <c r="Y288" s="904"/>
      <c r="Z288" s="1"/>
      <c r="AA288" s="1"/>
      <c r="AB288" s="1"/>
      <c r="AC288" s="1"/>
      <c r="AD288" s="1"/>
      <c r="AE288" s="1"/>
      <c r="AF288" s="1"/>
      <c r="AG288" s="1"/>
      <c r="AH288" s="1"/>
      <c r="AI288" s="1"/>
      <c r="AJ288" s="1"/>
      <c r="AK288" s="1"/>
      <c r="AL288" s="1"/>
      <c r="AM288" s="1"/>
      <c r="AN288" s="1"/>
    </row>
    <row r="289" spans="1:40" hidden="1" outlineLevel="1">
      <c r="A289" s="127"/>
      <c r="B289" s="773"/>
      <c r="C289" s="877"/>
      <c r="D289" s="880"/>
      <c r="E289" s="801"/>
      <c r="F289" s="802"/>
      <c r="G289" s="781"/>
      <c r="H289" s="781"/>
      <c r="I289" s="215" t="s">
        <v>189</v>
      </c>
      <c r="J289" s="216"/>
      <c r="K289" s="872"/>
      <c r="L289" s="873"/>
      <c r="M289" s="793"/>
      <c r="N289" s="837"/>
      <c r="O289" s="838"/>
      <c r="P289" s="837"/>
      <c r="Q289" s="838"/>
      <c r="R289" s="793"/>
      <c r="S289" s="899"/>
      <c r="T289" s="793"/>
      <c r="U289" s="880"/>
      <c r="V289" s="902"/>
      <c r="W289" s="793"/>
      <c r="X289" s="793"/>
      <c r="Y289" s="905"/>
      <c r="Z289" s="1"/>
      <c r="AA289" s="1"/>
      <c r="AB289" s="1"/>
      <c r="AC289" s="1"/>
      <c r="AD289" s="1"/>
      <c r="AE289" s="1"/>
      <c r="AF289" s="1"/>
      <c r="AG289" s="1"/>
      <c r="AH289" s="1"/>
      <c r="AI289" s="1"/>
      <c r="AJ289" s="1"/>
      <c r="AK289" s="1"/>
      <c r="AL289" s="1"/>
      <c r="AM289" s="1"/>
      <c r="AN289" s="1"/>
    </row>
    <row r="290" spans="1:40" ht="15.6" hidden="1" customHeight="1" outlineLevel="1" thickBot="1">
      <c r="A290" s="127"/>
      <c r="B290" s="773"/>
      <c r="C290" s="878"/>
      <c r="D290" s="881"/>
      <c r="E290" s="866"/>
      <c r="F290" s="867"/>
      <c r="G290" s="782"/>
      <c r="H290" s="782"/>
      <c r="I290" s="217" t="s">
        <v>190</v>
      </c>
      <c r="J290" s="218"/>
      <c r="K290" s="874"/>
      <c r="L290" s="875"/>
      <c r="M290" s="794"/>
      <c r="N290" s="863"/>
      <c r="O290" s="864"/>
      <c r="P290" s="863"/>
      <c r="Q290" s="864"/>
      <c r="R290" s="794"/>
      <c r="S290" s="900"/>
      <c r="T290" s="794"/>
      <c r="U290" s="881"/>
      <c r="V290" s="903"/>
      <c r="W290" s="794"/>
      <c r="X290" s="794"/>
      <c r="Y290" s="906"/>
      <c r="Z290" s="1"/>
      <c r="AA290" s="1"/>
      <c r="AB290" s="1"/>
      <c r="AC290" s="1"/>
      <c r="AD290" s="1"/>
      <c r="AE290" s="1"/>
      <c r="AF290" s="1"/>
      <c r="AG290" s="1"/>
      <c r="AH290" s="1"/>
      <c r="AI290" s="1"/>
      <c r="AJ290" s="1"/>
      <c r="AK290" s="1"/>
      <c r="AL290" s="1"/>
      <c r="AM290" s="1"/>
      <c r="AN290" s="1"/>
    </row>
    <row r="291" spans="1:40" ht="15" hidden="1" outlineLevel="1" thickTop="1">
      <c r="A291" s="127"/>
      <c r="B291" s="773"/>
      <c r="C291" s="876"/>
      <c r="D291" s="879"/>
      <c r="E291" s="868"/>
      <c r="F291" s="869"/>
      <c r="G291" s="772"/>
      <c r="H291" s="772"/>
      <c r="I291" s="213" t="s">
        <v>188</v>
      </c>
      <c r="J291" s="214"/>
      <c r="K291" s="870"/>
      <c r="L291" s="871"/>
      <c r="M291" s="792"/>
      <c r="N291" s="835"/>
      <c r="O291" s="836"/>
      <c r="P291" s="835"/>
      <c r="Q291" s="836"/>
      <c r="R291" s="792"/>
      <c r="S291" s="898"/>
      <c r="T291" s="792"/>
      <c r="U291" s="879"/>
      <c r="V291" s="901"/>
      <c r="W291" s="792"/>
      <c r="X291" s="792"/>
      <c r="Y291" s="904"/>
      <c r="Z291" s="1"/>
      <c r="AA291" s="1"/>
      <c r="AB291" s="1"/>
      <c r="AC291" s="1"/>
      <c r="AD291" s="1"/>
      <c r="AE291" s="1"/>
      <c r="AF291" s="1"/>
      <c r="AG291" s="1"/>
      <c r="AH291" s="1"/>
      <c r="AI291" s="1"/>
      <c r="AJ291" s="1"/>
      <c r="AK291" s="1"/>
      <c r="AL291" s="1"/>
      <c r="AM291" s="1"/>
      <c r="AN291" s="1"/>
    </row>
    <row r="292" spans="1:40" hidden="1" outlineLevel="1">
      <c r="A292" s="127"/>
      <c r="B292" s="773"/>
      <c r="C292" s="877"/>
      <c r="D292" s="880"/>
      <c r="E292" s="801"/>
      <c r="F292" s="802"/>
      <c r="G292" s="781"/>
      <c r="H292" s="781"/>
      <c r="I292" s="215" t="s">
        <v>189</v>
      </c>
      <c r="J292" s="216"/>
      <c r="K292" s="872"/>
      <c r="L292" s="873"/>
      <c r="M292" s="793"/>
      <c r="N292" s="837"/>
      <c r="O292" s="838"/>
      <c r="P292" s="837"/>
      <c r="Q292" s="838"/>
      <c r="R292" s="793"/>
      <c r="S292" s="899"/>
      <c r="T292" s="793"/>
      <c r="U292" s="880"/>
      <c r="V292" s="902"/>
      <c r="W292" s="793"/>
      <c r="X292" s="793"/>
      <c r="Y292" s="905"/>
      <c r="Z292" s="1"/>
      <c r="AA292" s="1"/>
      <c r="AB292" s="1"/>
      <c r="AC292" s="1"/>
      <c r="AD292" s="1"/>
      <c r="AE292" s="1"/>
      <c r="AF292" s="1"/>
      <c r="AG292" s="1"/>
      <c r="AH292" s="1"/>
      <c r="AI292" s="1"/>
      <c r="AJ292" s="1"/>
      <c r="AK292" s="1"/>
      <c r="AL292" s="1"/>
      <c r="AM292" s="1"/>
      <c r="AN292" s="1"/>
    </row>
    <row r="293" spans="1:40" ht="15.6" hidden="1" customHeight="1" outlineLevel="1" thickBot="1">
      <c r="A293" s="127"/>
      <c r="B293" s="773"/>
      <c r="C293" s="878"/>
      <c r="D293" s="881"/>
      <c r="E293" s="866"/>
      <c r="F293" s="867"/>
      <c r="G293" s="782"/>
      <c r="H293" s="782"/>
      <c r="I293" s="217" t="s">
        <v>190</v>
      </c>
      <c r="J293" s="218"/>
      <c r="K293" s="874"/>
      <c r="L293" s="875"/>
      <c r="M293" s="794"/>
      <c r="N293" s="863"/>
      <c r="O293" s="864"/>
      <c r="P293" s="863"/>
      <c r="Q293" s="864"/>
      <c r="R293" s="794"/>
      <c r="S293" s="900"/>
      <c r="T293" s="794"/>
      <c r="U293" s="881"/>
      <c r="V293" s="903"/>
      <c r="W293" s="794"/>
      <c r="X293" s="794"/>
      <c r="Y293" s="906"/>
      <c r="Z293" s="1"/>
      <c r="AA293" s="1"/>
      <c r="AB293" s="1"/>
      <c r="AC293" s="1"/>
      <c r="AD293" s="1"/>
      <c r="AE293" s="1"/>
      <c r="AF293" s="1"/>
      <c r="AG293" s="1"/>
      <c r="AH293" s="1"/>
      <c r="AI293" s="1"/>
      <c r="AJ293" s="1"/>
      <c r="AK293" s="1"/>
      <c r="AL293" s="1"/>
      <c r="AM293" s="1"/>
      <c r="AN293" s="1"/>
    </row>
    <row r="294" spans="1:40" ht="15" hidden="1" outlineLevel="1" thickTop="1">
      <c r="A294" s="127"/>
      <c r="B294" s="773"/>
      <c r="C294" s="876"/>
      <c r="D294" s="879"/>
      <c r="E294" s="868"/>
      <c r="F294" s="869"/>
      <c r="G294" s="772"/>
      <c r="H294" s="772"/>
      <c r="I294" s="213" t="s">
        <v>188</v>
      </c>
      <c r="J294" s="214"/>
      <c r="K294" s="870"/>
      <c r="L294" s="871"/>
      <c r="M294" s="792"/>
      <c r="N294" s="835"/>
      <c r="O294" s="836"/>
      <c r="P294" s="835"/>
      <c r="Q294" s="836"/>
      <c r="R294" s="792"/>
      <c r="S294" s="898"/>
      <c r="T294" s="792"/>
      <c r="U294" s="879"/>
      <c r="V294" s="901"/>
      <c r="W294" s="792"/>
      <c r="X294" s="792"/>
      <c r="Y294" s="904"/>
      <c r="Z294" s="1"/>
      <c r="AA294" s="1"/>
      <c r="AB294" s="1"/>
      <c r="AC294" s="1"/>
      <c r="AD294" s="1"/>
      <c r="AE294" s="1"/>
      <c r="AF294" s="1"/>
      <c r="AG294" s="1"/>
      <c r="AH294" s="1"/>
      <c r="AI294" s="1"/>
      <c r="AJ294" s="1"/>
      <c r="AK294" s="1"/>
      <c r="AL294" s="1"/>
      <c r="AM294" s="1"/>
      <c r="AN294" s="1"/>
    </row>
    <row r="295" spans="1:40" hidden="1" outlineLevel="1">
      <c r="A295" s="127"/>
      <c r="B295" s="773"/>
      <c r="C295" s="877"/>
      <c r="D295" s="880"/>
      <c r="E295" s="801"/>
      <c r="F295" s="802"/>
      <c r="G295" s="781"/>
      <c r="H295" s="781"/>
      <c r="I295" s="215" t="s">
        <v>189</v>
      </c>
      <c r="J295" s="216"/>
      <c r="K295" s="872"/>
      <c r="L295" s="873"/>
      <c r="M295" s="793"/>
      <c r="N295" s="837"/>
      <c r="O295" s="838"/>
      <c r="P295" s="837"/>
      <c r="Q295" s="838"/>
      <c r="R295" s="793"/>
      <c r="S295" s="899"/>
      <c r="T295" s="793"/>
      <c r="U295" s="880"/>
      <c r="V295" s="902"/>
      <c r="W295" s="793"/>
      <c r="X295" s="793"/>
      <c r="Y295" s="905"/>
      <c r="Z295" s="1"/>
      <c r="AA295" s="1"/>
      <c r="AB295" s="1"/>
      <c r="AC295" s="1"/>
      <c r="AD295" s="1"/>
      <c r="AE295" s="1"/>
      <c r="AF295" s="1"/>
      <c r="AG295" s="1"/>
      <c r="AH295" s="1"/>
      <c r="AI295" s="1"/>
      <c r="AJ295" s="1"/>
      <c r="AK295" s="1"/>
      <c r="AL295" s="1"/>
      <c r="AM295" s="1"/>
      <c r="AN295" s="1"/>
    </row>
    <row r="296" spans="1:40" ht="15.6" hidden="1" customHeight="1" outlineLevel="1" thickBot="1">
      <c r="A296" s="127"/>
      <c r="B296" s="773"/>
      <c r="C296" s="878"/>
      <c r="D296" s="881"/>
      <c r="E296" s="866"/>
      <c r="F296" s="867"/>
      <c r="G296" s="782"/>
      <c r="H296" s="782"/>
      <c r="I296" s="217" t="s">
        <v>190</v>
      </c>
      <c r="J296" s="218"/>
      <c r="K296" s="874"/>
      <c r="L296" s="875"/>
      <c r="M296" s="794"/>
      <c r="N296" s="863"/>
      <c r="O296" s="864"/>
      <c r="P296" s="863"/>
      <c r="Q296" s="864"/>
      <c r="R296" s="794"/>
      <c r="S296" s="900"/>
      <c r="T296" s="794"/>
      <c r="U296" s="881"/>
      <c r="V296" s="903"/>
      <c r="W296" s="794"/>
      <c r="X296" s="794"/>
      <c r="Y296" s="906"/>
      <c r="Z296" s="1"/>
      <c r="AA296" s="1"/>
      <c r="AB296" s="1"/>
      <c r="AC296" s="1"/>
      <c r="AD296" s="1"/>
      <c r="AE296" s="1"/>
      <c r="AF296" s="1"/>
      <c r="AG296" s="1"/>
      <c r="AH296" s="1"/>
      <c r="AI296" s="1"/>
      <c r="AJ296" s="1"/>
      <c r="AK296" s="1"/>
      <c r="AL296" s="1"/>
      <c r="AM296" s="1"/>
      <c r="AN296" s="1"/>
    </row>
    <row r="297" spans="1:40" ht="15" hidden="1" outlineLevel="1" thickTop="1">
      <c r="A297" s="127"/>
      <c r="B297" s="773"/>
      <c r="C297" s="876"/>
      <c r="D297" s="879"/>
      <c r="E297" s="868"/>
      <c r="F297" s="869"/>
      <c r="G297" s="772"/>
      <c r="H297" s="772"/>
      <c r="I297" s="213" t="s">
        <v>188</v>
      </c>
      <c r="J297" s="214"/>
      <c r="K297" s="870"/>
      <c r="L297" s="871"/>
      <c r="M297" s="792"/>
      <c r="N297" s="835"/>
      <c r="O297" s="836"/>
      <c r="P297" s="835"/>
      <c r="Q297" s="836"/>
      <c r="R297" s="792"/>
      <c r="S297" s="898"/>
      <c r="T297" s="792"/>
      <c r="U297" s="879"/>
      <c r="V297" s="901"/>
      <c r="W297" s="792"/>
      <c r="X297" s="792"/>
      <c r="Y297" s="904"/>
      <c r="Z297" s="1"/>
      <c r="AA297" s="1"/>
      <c r="AB297" s="1"/>
      <c r="AC297" s="1"/>
      <c r="AD297" s="1"/>
      <c r="AE297" s="1"/>
      <c r="AF297" s="1"/>
      <c r="AG297" s="1"/>
      <c r="AH297" s="1"/>
      <c r="AI297" s="1"/>
      <c r="AJ297" s="1"/>
      <c r="AK297" s="1"/>
      <c r="AL297" s="1"/>
      <c r="AM297" s="1"/>
      <c r="AN297" s="1"/>
    </row>
    <row r="298" spans="1:40" hidden="1" outlineLevel="1">
      <c r="A298" s="127"/>
      <c r="B298" s="773"/>
      <c r="C298" s="877"/>
      <c r="D298" s="880"/>
      <c r="E298" s="801"/>
      <c r="F298" s="802"/>
      <c r="G298" s="781"/>
      <c r="H298" s="781"/>
      <c r="I298" s="215" t="s">
        <v>189</v>
      </c>
      <c r="J298" s="216"/>
      <c r="K298" s="872"/>
      <c r="L298" s="873"/>
      <c r="M298" s="793"/>
      <c r="N298" s="837"/>
      <c r="O298" s="838"/>
      <c r="P298" s="837"/>
      <c r="Q298" s="838"/>
      <c r="R298" s="793"/>
      <c r="S298" s="899"/>
      <c r="T298" s="793"/>
      <c r="U298" s="880"/>
      <c r="V298" s="902"/>
      <c r="W298" s="793"/>
      <c r="X298" s="793"/>
      <c r="Y298" s="905"/>
      <c r="Z298" s="1"/>
      <c r="AA298" s="1"/>
      <c r="AB298" s="1"/>
      <c r="AC298" s="1"/>
      <c r="AD298" s="1"/>
      <c r="AE298" s="1"/>
      <c r="AF298" s="1"/>
      <c r="AG298" s="1"/>
      <c r="AH298" s="1"/>
      <c r="AI298" s="1"/>
      <c r="AJ298" s="1"/>
      <c r="AK298" s="1"/>
      <c r="AL298" s="1"/>
      <c r="AM298" s="1"/>
      <c r="AN298" s="1"/>
    </row>
    <row r="299" spans="1:40" ht="15.6" hidden="1" customHeight="1" outlineLevel="1" thickBot="1">
      <c r="A299" s="127"/>
      <c r="B299" s="773"/>
      <c r="C299" s="878"/>
      <c r="D299" s="881"/>
      <c r="E299" s="866"/>
      <c r="F299" s="867"/>
      <c r="G299" s="782"/>
      <c r="H299" s="782"/>
      <c r="I299" s="217" t="s">
        <v>190</v>
      </c>
      <c r="J299" s="218"/>
      <c r="K299" s="874"/>
      <c r="L299" s="875"/>
      <c r="M299" s="794"/>
      <c r="N299" s="863"/>
      <c r="O299" s="864"/>
      <c r="P299" s="863"/>
      <c r="Q299" s="864"/>
      <c r="R299" s="794"/>
      <c r="S299" s="900"/>
      <c r="T299" s="794"/>
      <c r="U299" s="881"/>
      <c r="V299" s="903"/>
      <c r="W299" s="794"/>
      <c r="X299" s="794"/>
      <c r="Y299" s="906"/>
      <c r="Z299" s="1"/>
      <c r="AA299" s="1"/>
      <c r="AB299" s="1"/>
      <c r="AC299" s="1"/>
      <c r="AD299" s="1"/>
      <c r="AE299" s="1"/>
      <c r="AF299" s="1"/>
      <c r="AG299" s="1"/>
      <c r="AH299" s="1"/>
      <c r="AI299" s="1"/>
      <c r="AJ299" s="1"/>
      <c r="AK299" s="1"/>
      <c r="AL299" s="1"/>
      <c r="AM299" s="1"/>
      <c r="AN299" s="1"/>
    </row>
    <row r="300" spans="1:40" ht="15" hidden="1" outlineLevel="1" thickTop="1">
      <c r="A300" s="127"/>
      <c r="B300" s="773"/>
      <c r="C300" s="876"/>
      <c r="D300" s="879"/>
      <c r="E300" s="868"/>
      <c r="F300" s="869"/>
      <c r="G300" s="772"/>
      <c r="H300" s="772"/>
      <c r="I300" s="213" t="s">
        <v>188</v>
      </c>
      <c r="J300" s="214"/>
      <c r="K300" s="870"/>
      <c r="L300" s="871"/>
      <c r="M300" s="792"/>
      <c r="N300" s="835"/>
      <c r="O300" s="836"/>
      <c r="P300" s="835"/>
      <c r="Q300" s="836"/>
      <c r="R300" s="792"/>
      <c r="S300" s="898"/>
      <c r="T300" s="792"/>
      <c r="U300" s="879"/>
      <c r="V300" s="901"/>
      <c r="W300" s="792"/>
      <c r="X300" s="792"/>
      <c r="Y300" s="904"/>
      <c r="Z300" s="1"/>
      <c r="AA300" s="1"/>
      <c r="AB300" s="1"/>
      <c r="AC300" s="1"/>
      <c r="AD300" s="1"/>
      <c r="AE300" s="1"/>
      <c r="AF300" s="1"/>
      <c r="AG300" s="1"/>
      <c r="AH300" s="1"/>
      <c r="AI300" s="1"/>
      <c r="AJ300" s="1"/>
      <c r="AK300" s="1"/>
      <c r="AL300" s="1"/>
      <c r="AM300" s="1"/>
      <c r="AN300" s="1"/>
    </row>
    <row r="301" spans="1:40" hidden="1" outlineLevel="1">
      <c r="A301" s="127"/>
      <c r="B301" s="773"/>
      <c r="C301" s="877"/>
      <c r="D301" s="880"/>
      <c r="E301" s="801"/>
      <c r="F301" s="802"/>
      <c r="G301" s="781"/>
      <c r="H301" s="781"/>
      <c r="I301" s="215" t="s">
        <v>189</v>
      </c>
      <c r="J301" s="216"/>
      <c r="K301" s="872"/>
      <c r="L301" s="873"/>
      <c r="M301" s="793"/>
      <c r="N301" s="837"/>
      <c r="O301" s="838"/>
      <c r="P301" s="837"/>
      <c r="Q301" s="838"/>
      <c r="R301" s="793"/>
      <c r="S301" s="899"/>
      <c r="T301" s="793"/>
      <c r="U301" s="880"/>
      <c r="V301" s="902"/>
      <c r="W301" s="793"/>
      <c r="X301" s="793"/>
      <c r="Y301" s="905"/>
      <c r="Z301" s="1"/>
      <c r="AA301" s="1"/>
      <c r="AB301" s="1"/>
      <c r="AC301" s="1"/>
      <c r="AD301" s="1"/>
      <c r="AE301" s="1"/>
      <c r="AF301" s="1"/>
      <c r="AG301" s="1"/>
      <c r="AH301" s="1"/>
      <c r="AI301" s="1"/>
      <c r="AJ301" s="1"/>
      <c r="AK301" s="1"/>
      <c r="AL301" s="1"/>
      <c r="AM301" s="1"/>
      <c r="AN301" s="1"/>
    </row>
    <row r="302" spans="1:40" ht="15.6" hidden="1" customHeight="1" outlineLevel="1" thickBot="1">
      <c r="A302" s="127"/>
      <c r="B302" s="773"/>
      <c r="C302" s="878"/>
      <c r="D302" s="881"/>
      <c r="E302" s="866"/>
      <c r="F302" s="867"/>
      <c r="G302" s="782"/>
      <c r="H302" s="782"/>
      <c r="I302" s="217" t="s">
        <v>190</v>
      </c>
      <c r="J302" s="218"/>
      <c r="K302" s="874"/>
      <c r="L302" s="875"/>
      <c r="M302" s="794"/>
      <c r="N302" s="863"/>
      <c r="O302" s="864"/>
      <c r="P302" s="863"/>
      <c r="Q302" s="864"/>
      <c r="R302" s="794"/>
      <c r="S302" s="900"/>
      <c r="T302" s="794"/>
      <c r="U302" s="881"/>
      <c r="V302" s="903"/>
      <c r="W302" s="794"/>
      <c r="X302" s="794"/>
      <c r="Y302" s="906"/>
      <c r="Z302" s="1"/>
      <c r="AA302" s="1"/>
      <c r="AB302" s="1"/>
      <c r="AC302" s="1"/>
      <c r="AD302" s="1"/>
      <c r="AE302" s="1"/>
      <c r="AF302" s="1"/>
      <c r="AG302" s="1"/>
      <c r="AH302" s="1"/>
      <c r="AI302" s="1"/>
      <c r="AJ302" s="1"/>
      <c r="AK302" s="1"/>
      <c r="AL302" s="1"/>
      <c r="AM302" s="1"/>
      <c r="AN302" s="1"/>
    </row>
    <row r="303" spans="1:40" ht="15" hidden="1" outlineLevel="1" thickTop="1">
      <c r="A303" s="127"/>
      <c r="B303" s="773"/>
      <c r="C303" s="876"/>
      <c r="D303" s="879"/>
      <c r="E303" s="868"/>
      <c r="F303" s="869"/>
      <c r="G303" s="772"/>
      <c r="H303" s="772"/>
      <c r="I303" s="213" t="s">
        <v>188</v>
      </c>
      <c r="J303" s="214"/>
      <c r="K303" s="870"/>
      <c r="L303" s="871"/>
      <c r="M303" s="792"/>
      <c r="N303" s="835"/>
      <c r="O303" s="836"/>
      <c r="P303" s="835"/>
      <c r="Q303" s="836"/>
      <c r="R303" s="792"/>
      <c r="S303" s="898"/>
      <c r="T303" s="792"/>
      <c r="U303" s="879"/>
      <c r="V303" s="901"/>
      <c r="W303" s="792"/>
      <c r="X303" s="792"/>
      <c r="Y303" s="904"/>
      <c r="Z303" s="1"/>
      <c r="AA303" s="1"/>
      <c r="AB303" s="1"/>
      <c r="AC303" s="1"/>
      <c r="AD303" s="1"/>
      <c r="AE303" s="1"/>
      <c r="AF303" s="1"/>
      <c r="AG303" s="1"/>
      <c r="AH303" s="1"/>
      <c r="AI303" s="1"/>
      <c r="AJ303" s="1"/>
      <c r="AK303" s="1"/>
      <c r="AL303" s="1"/>
      <c r="AM303" s="1"/>
      <c r="AN303" s="1"/>
    </row>
    <row r="304" spans="1:40" hidden="1" outlineLevel="1">
      <c r="A304" s="127"/>
      <c r="B304" s="773"/>
      <c r="C304" s="877"/>
      <c r="D304" s="880"/>
      <c r="E304" s="801"/>
      <c r="F304" s="802"/>
      <c r="G304" s="781"/>
      <c r="H304" s="781"/>
      <c r="I304" s="215" t="s">
        <v>189</v>
      </c>
      <c r="J304" s="216"/>
      <c r="K304" s="872"/>
      <c r="L304" s="873"/>
      <c r="M304" s="793"/>
      <c r="N304" s="837"/>
      <c r="O304" s="838"/>
      <c r="P304" s="837"/>
      <c r="Q304" s="838"/>
      <c r="R304" s="793"/>
      <c r="S304" s="899"/>
      <c r="T304" s="793"/>
      <c r="U304" s="880"/>
      <c r="V304" s="902"/>
      <c r="W304" s="793"/>
      <c r="X304" s="793"/>
      <c r="Y304" s="905"/>
      <c r="Z304" s="1"/>
      <c r="AA304" s="1"/>
      <c r="AB304" s="1"/>
      <c r="AC304" s="1"/>
      <c r="AD304" s="1"/>
      <c r="AE304" s="1"/>
      <c r="AF304" s="1"/>
      <c r="AG304" s="1"/>
      <c r="AH304" s="1"/>
      <c r="AI304" s="1"/>
      <c r="AJ304" s="1"/>
      <c r="AK304" s="1"/>
      <c r="AL304" s="1"/>
      <c r="AM304" s="1"/>
      <c r="AN304" s="1"/>
    </row>
    <row r="305" spans="1:40" ht="15.6" hidden="1" customHeight="1" outlineLevel="1" thickBot="1">
      <c r="A305" s="127"/>
      <c r="B305" s="773"/>
      <c r="C305" s="878"/>
      <c r="D305" s="881"/>
      <c r="E305" s="866"/>
      <c r="F305" s="867"/>
      <c r="G305" s="782"/>
      <c r="H305" s="782"/>
      <c r="I305" s="217" t="s">
        <v>190</v>
      </c>
      <c r="J305" s="218"/>
      <c r="K305" s="874"/>
      <c r="L305" s="875"/>
      <c r="M305" s="794"/>
      <c r="N305" s="863"/>
      <c r="O305" s="864"/>
      <c r="P305" s="863"/>
      <c r="Q305" s="864"/>
      <c r="R305" s="794"/>
      <c r="S305" s="900"/>
      <c r="T305" s="794"/>
      <c r="U305" s="881"/>
      <c r="V305" s="903"/>
      <c r="W305" s="794"/>
      <c r="X305" s="794"/>
      <c r="Y305" s="906"/>
      <c r="Z305" s="1"/>
      <c r="AA305" s="1"/>
      <c r="AB305" s="1"/>
      <c r="AC305" s="1"/>
      <c r="AD305" s="1"/>
      <c r="AE305" s="1"/>
      <c r="AF305" s="1"/>
      <c r="AG305" s="1"/>
      <c r="AH305" s="1"/>
      <c r="AI305" s="1"/>
      <c r="AJ305" s="1"/>
      <c r="AK305" s="1"/>
      <c r="AL305" s="1"/>
      <c r="AM305" s="1"/>
      <c r="AN305" s="1"/>
    </row>
    <row r="306" spans="1:40" ht="15" hidden="1" outlineLevel="1" thickTop="1">
      <c r="A306" s="127"/>
      <c r="B306" s="773"/>
      <c r="C306" s="876"/>
      <c r="D306" s="879"/>
      <c r="E306" s="868"/>
      <c r="F306" s="869"/>
      <c r="G306" s="772"/>
      <c r="H306" s="772"/>
      <c r="I306" s="213" t="s">
        <v>188</v>
      </c>
      <c r="J306" s="214"/>
      <c r="K306" s="870"/>
      <c r="L306" s="871"/>
      <c r="M306" s="792"/>
      <c r="N306" s="835"/>
      <c r="O306" s="836"/>
      <c r="P306" s="835"/>
      <c r="Q306" s="836"/>
      <c r="R306" s="792"/>
      <c r="S306" s="898"/>
      <c r="T306" s="792"/>
      <c r="U306" s="879"/>
      <c r="V306" s="901"/>
      <c r="W306" s="792"/>
      <c r="X306" s="792"/>
      <c r="Y306" s="904"/>
      <c r="Z306" s="1"/>
      <c r="AA306" s="1"/>
      <c r="AB306" s="1"/>
      <c r="AC306" s="1"/>
      <c r="AD306" s="1"/>
      <c r="AE306" s="1"/>
      <c r="AF306" s="1"/>
      <c r="AG306" s="1"/>
      <c r="AH306" s="1"/>
      <c r="AI306" s="1"/>
      <c r="AJ306" s="1"/>
      <c r="AK306" s="1"/>
      <c r="AL306" s="1"/>
      <c r="AM306" s="1"/>
      <c r="AN306" s="1"/>
    </row>
    <row r="307" spans="1:40" hidden="1" outlineLevel="1">
      <c r="A307" s="127"/>
      <c r="B307" s="773"/>
      <c r="C307" s="877"/>
      <c r="D307" s="880"/>
      <c r="E307" s="801"/>
      <c r="F307" s="802"/>
      <c r="G307" s="781"/>
      <c r="H307" s="781"/>
      <c r="I307" s="215" t="s">
        <v>189</v>
      </c>
      <c r="J307" s="216"/>
      <c r="K307" s="872"/>
      <c r="L307" s="873"/>
      <c r="M307" s="793"/>
      <c r="N307" s="837"/>
      <c r="O307" s="838"/>
      <c r="P307" s="837"/>
      <c r="Q307" s="838"/>
      <c r="R307" s="793"/>
      <c r="S307" s="899"/>
      <c r="T307" s="793"/>
      <c r="U307" s="880"/>
      <c r="V307" s="902"/>
      <c r="W307" s="793"/>
      <c r="X307" s="793"/>
      <c r="Y307" s="905"/>
      <c r="Z307" s="1"/>
      <c r="AA307" s="1"/>
      <c r="AB307" s="1"/>
      <c r="AC307" s="1"/>
      <c r="AD307" s="1"/>
      <c r="AE307" s="1"/>
      <c r="AF307" s="1"/>
      <c r="AG307" s="1"/>
      <c r="AH307" s="1"/>
      <c r="AI307" s="1"/>
      <c r="AJ307" s="1"/>
      <c r="AK307" s="1"/>
      <c r="AL307" s="1"/>
      <c r="AM307" s="1"/>
      <c r="AN307" s="1"/>
    </row>
    <row r="308" spans="1:40" ht="15.6" hidden="1" customHeight="1" outlineLevel="1" thickBot="1">
      <c r="A308" s="127"/>
      <c r="B308" s="773"/>
      <c r="C308" s="878"/>
      <c r="D308" s="881"/>
      <c r="E308" s="866"/>
      <c r="F308" s="867"/>
      <c r="G308" s="782"/>
      <c r="H308" s="782"/>
      <c r="I308" s="217" t="s">
        <v>190</v>
      </c>
      <c r="J308" s="218"/>
      <c r="K308" s="874"/>
      <c r="L308" s="875"/>
      <c r="M308" s="794"/>
      <c r="N308" s="863"/>
      <c r="O308" s="864"/>
      <c r="P308" s="863"/>
      <c r="Q308" s="864"/>
      <c r="R308" s="794"/>
      <c r="S308" s="900"/>
      <c r="T308" s="794"/>
      <c r="U308" s="881"/>
      <c r="V308" s="903"/>
      <c r="W308" s="794"/>
      <c r="X308" s="794"/>
      <c r="Y308" s="906"/>
      <c r="Z308" s="1"/>
      <c r="AA308" s="1"/>
      <c r="AB308" s="1"/>
      <c r="AC308" s="1"/>
      <c r="AD308" s="1"/>
      <c r="AE308" s="1"/>
      <c r="AF308" s="1"/>
      <c r="AG308" s="1"/>
      <c r="AH308" s="1"/>
      <c r="AI308" s="1"/>
      <c r="AJ308" s="1"/>
      <c r="AK308" s="1"/>
      <c r="AL308" s="1"/>
      <c r="AM308" s="1"/>
      <c r="AN308" s="1"/>
    </row>
    <row r="309" spans="1:40" ht="15" hidden="1" outlineLevel="1" thickTop="1">
      <c r="A309" s="127"/>
      <c r="B309" s="773"/>
      <c r="C309" s="876"/>
      <c r="D309" s="879"/>
      <c r="E309" s="868"/>
      <c r="F309" s="869"/>
      <c r="G309" s="772"/>
      <c r="H309" s="772"/>
      <c r="I309" s="213" t="s">
        <v>188</v>
      </c>
      <c r="J309" s="214"/>
      <c r="K309" s="870"/>
      <c r="L309" s="871"/>
      <c r="M309" s="792"/>
      <c r="N309" s="835"/>
      <c r="O309" s="836"/>
      <c r="P309" s="835"/>
      <c r="Q309" s="836"/>
      <c r="R309" s="792"/>
      <c r="S309" s="898"/>
      <c r="T309" s="792"/>
      <c r="U309" s="879"/>
      <c r="V309" s="901"/>
      <c r="W309" s="792"/>
      <c r="X309" s="792"/>
      <c r="Y309" s="904"/>
      <c r="Z309" s="1"/>
      <c r="AA309" s="1"/>
      <c r="AB309" s="1"/>
      <c r="AC309" s="1"/>
      <c r="AD309" s="1"/>
      <c r="AE309" s="1"/>
      <c r="AF309" s="1"/>
      <c r="AG309" s="1"/>
      <c r="AH309" s="1"/>
      <c r="AI309" s="1"/>
      <c r="AJ309" s="1"/>
      <c r="AK309" s="1"/>
      <c r="AL309" s="1"/>
      <c r="AM309" s="1"/>
      <c r="AN309" s="1"/>
    </row>
    <row r="310" spans="1:40" hidden="1" outlineLevel="1">
      <c r="A310" s="127"/>
      <c r="B310" s="773"/>
      <c r="C310" s="877"/>
      <c r="D310" s="880"/>
      <c r="E310" s="801"/>
      <c r="F310" s="802"/>
      <c r="G310" s="781"/>
      <c r="H310" s="781"/>
      <c r="I310" s="215" t="s">
        <v>189</v>
      </c>
      <c r="J310" s="216"/>
      <c r="K310" s="872"/>
      <c r="L310" s="873"/>
      <c r="M310" s="793"/>
      <c r="N310" s="837"/>
      <c r="O310" s="838"/>
      <c r="P310" s="837"/>
      <c r="Q310" s="838"/>
      <c r="R310" s="793"/>
      <c r="S310" s="899"/>
      <c r="T310" s="793"/>
      <c r="U310" s="880"/>
      <c r="V310" s="902"/>
      <c r="W310" s="793"/>
      <c r="X310" s="793"/>
      <c r="Y310" s="905"/>
      <c r="Z310" s="1"/>
      <c r="AA310" s="1"/>
      <c r="AB310" s="1"/>
      <c r="AC310" s="1"/>
      <c r="AD310" s="1"/>
      <c r="AE310" s="1"/>
      <c r="AF310" s="1"/>
      <c r="AG310" s="1"/>
      <c r="AH310" s="1"/>
      <c r="AI310" s="1"/>
      <c r="AJ310" s="1"/>
      <c r="AK310" s="1"/>
      <c r="AL310" s="1"/>
      <c r="AM310" s="1"/>
      <c r="AN310" s="1"/>
    </row>
    <row r="311" spans="1:40" ht="15.6" hidden="1" customHeight="1" outlineLevel="1" thickBot="1">
      <c r="A311" s="127"/>
      <c r="B311" s="773"/>
      <c r="C311" s="878"/>
      <c r="D311" s="881"/>
      <c r="E311" s="866"/>
      <c r="F311" s="867"/>
      <c r="G311" s="782"/>
      <c r="H311" s="782"/>
      <c r="I311" s="217" t="s">
        <v>190</v>
      </c>
      <c r="J311" s="218"/>
      <c r="K311" s="874"/>
      <c r="L311" s="875"/>
      <c r="M311" s="794"/>
      <c r="N311" s="863"/>
      <c r="O311" s="864"/>
      <c r="P311" s="863"/>
      <c r="Q311" s="864"/>
      <c r="R311" s="794"/>
      <c r="S311" s="900"/>
      <c r="T311" s="794"/>
      <c r="U311" s="881"/>
      <c r="V311" s="903"/>
      <c r="W311" s="794"/>
      <c r="X311" s="794"/>
      <c r="Y311" s="906"/>
      <c r="Z311" s="1"/>
      <c r="AA311" s="1"/>
      <c r="AB311" s="1"/>
      <c r="AC311" s="1"/>
      <c r="AD311" s="1"/>
      <c r="AE311" s="1"/>
      <c r="AF311" s="1"/>
      <c r="AG311" s="1"/>
      <c r="AH311" s="1"/>
      <c r="AI311" s="1"/>
      <c r="AJ311" s="1"/>
      <c r="AK311" s="1"/>
      <c r="AL311" s="1"/>
      <c r="AM311" s="1"/>
      <c r="AN311" s="1"/>
    </row>
    <row r="312" spans="1:40" ht="15" hidden="1" outlineLevel="1" thickTop="1">
      <c r="A312" s="127"/>
      <c r="B312" s="773"/>
      <c r="C312" s="876"/>
      <c r="D312" s="879"/>
      <c r="E312" s="868"/>
      <c r="F312" s="869"/>
      <c r="G312" s="772"/>
      <c r="H312" s="772"/>
      <c r="I312" s="213" t="s">
        <v>188</v>
      </c>
      <c r="J312" s="214"/>
      <c r="K312" s="870"/>
      <c r="L312" s="871"/>
      <c r="M312" s="792"/>
      <c r="N312" s="835"/>
      <c r="O312" s="836"/>
      <c r="P312" s="835"/>
      <c r="Q312" s="836"/>
      <c r="R312" s="792"/>
      <c r="S312" s="898"/>
      <c r="T312" s="792"/>
      <c r="U312" s="879"/>
      <c r="V312" s="901"/>
      <c r="W312" s="792"/>
      <c r="X312" s="792"/>
      <c r="Y312" s="904"/>
      <c r="Z312" s="1"/>
      <c r="AA312" s="1"/>
      <c r="AB312" s="1"/>
      <c r="AC312" s="1"/>
      <c r="AD312" s="1"/>
      <c r="AE312" s="1"/>
      <c r="AF312" s="1"/>
      <c r="AG312" s="1"/>
      <c r="AH312" s="1"/>
      <c r="AI312" s="1"/>
      <c r="AJ312" s="1"/>
      <c r="AK312" s="1"/>
      <c r="AL312" s="1"/>
      <c r="AM312" s="1"/>
      <c r="AN312" s="1"/>
    </row>
    <row r="313" spans="1:40" hidden="1" outlineLevel="1">
      <c r="A313" s="127"/>
      <c r="B313" s="773"/>
      <c r="C313" s="877"/>
      <c r="D313" s="880"/>
      <c r="E313" s="801"/>
      <c r="F313" s="802"/>
      <c r="G313" s="781"/>
      <c r="H313" s="781"/>
      <c r="I313" s="215" t="s">
        <v>189</v>
      </c>
      <c r="J313" s="216"/>
      <c r="K313" s="872"/>
      <c r="L313" s="873"/>
      <c r="M313" s="793"/>
      <c r="N313" s="837"/>
      <c r="O313" s="838"/>
      <c r="P313" s="837"/>
      <c r="Q313" s="838"/>
      <c r="R313" s="793"/>
      <c r="S313" s="899"/>
      <c r="T313" s="793"/>
      <c r="U313" s="880"/>
      <c r="V313" s="902"/>
      <c r="W313" s="793"/>
      <c r="X313" s="793"/>
      <c r="Y313" s="905"/>
      <c r="Z313" s="1"/>
      <c r="AA313" s="1"/>
      <c r="AB313" s="1"/>
      <c r="AC313" s="1"/>
      <c r="AD313" s="1"/>
      <c r="AE313" s="1"/>
      <c r="AF313" s="1"/>
      <c r="AG313" s="1"/>
      <c r="AH313" s="1"/>
      <c r="AI313" s="1"/>
      <c r="AJ313" s="1"/>
      <c r="AK313" s="1"/>
      <c r="AL313" s="1"/>
      <c r="AM313" s="1"/>
      <c r="AN313" s="1"/>
    </row>
    <row r="314" spans="1:40" ht="15.6" hidden="1" customHeight="1" outlineLevel="1" thickBot="1">
      <c r="A314" s="127"/>
      <c r="B314" s="773"/>
      <c r="C314" s="878"/>
      <c r="D314" s="881"/>
      <c r="E314" s="866"/>
      <c r="F314" s="867"/>
      <c r="G314" s="782"/>
      <c r="H314" s="782"/>
      <c r="I314" s="217" t="s">
        <v>190</v>
      </c>
      <c r="J314" s="218"/>
      <c r="K314" s="874"/>
      <c r="L314" s="875"/>
      <c r="M314" s="794"/>
      <c r="N314" s="863"/>
      <c r="O314" s="864"/>
      <c r="P314" s="863"/>
      <c r="Q314" s="864"/>
      <c r="R314" s="794"/>
      <c r="S314" s="900"/>
      <c r="T314" s="794"/>
      <c r="U314" s="881"/>
      <c r="V314" s="903"/>
      <c r="W314" s="794"/>
      <c r="X314" s="794"/>
      <c r="Y314" s="906"/>
      <c r="Z314" s="1"/>
      <c r="AA314" s="1"/>
      <c r="AB314" s="1"/>
      <c r="AC314" s="1"/>
      <c r="AD314" s="1"/>
      <c r="AE314" s="1"/>
      <c r="AF314" s="1"/>
      <c r="AG314" s="1"/>
      <c r="AH314" s="1"/>
      <c r="AI314" s="1"/>
      <c r="AJ314" s="1"/>
      <c r="AK314" s="1"/>
      <c r="AL314" s="1"/>
      <c r="AM314" s="1"/>
      <c r="AN314" s="1"/>
    </row>
    <row r="315" spans="1:40" ht="15" hidden="1" outlineLevel="1" thickTop="1">
      <c r="A315" s="127"/>
      <c r="B315" s="773"/>
      <c r="C315" s="876"/>
      <c r="D315" s="879"/>
      <c r="E315" s="868"/>
      <c r="F315" s="869"/>
      <c r="G315" s="772"/>
      <c r="H315" s="772"/>
      <c r="I315" s="213" t="s">
        <v>188</v>
      </c>
      <c r="J315" s="214"/>
      <c r="K315" s="870"/>
      <c r="L315" s="871"/>
      <c r="M315" s="792"/>
      <c r="N315" s="835"/>
      <c r="O315" s="836"/>
      <c r="P315" s="835"/>
      <c r="Q315" s="836"/>
      <c r="R315" s="792"/>
      <c r="S315" s="898"/>
      <c r="T315" s="792"/>
      <c r="U315" s="879"/>
      <c r="V315" s="901"/>
      <c r="W315" s="792"/>
      <c r="X315" s="792"/>
      <c r="Y315" s="904"/>
      <c r="Z315" s="1"/>
      <c r="AA315" s="1"/>
      <c r="AB315" s="1"/>
      <c r="AC315" s="1"/>
      <c r="AD315" s="1"/>
      <c r="AE315" s="1"/>
      <c r="AF315" s="1"/>
      <c r="AG315" s="1"/>
      <c r="AH315" s="1"/>
      <c r="AI315" s="1"/>
      <c r="AJ315" s="1"/>
      <c r="AK315" s="1"/>
      <c r="AL315" s="1"/>
      <c r="AM315" s="1"/>
      <c r="AN315" s="1"/>
    </row>
    <row r="316" spans="1:40" hidden="1" outlineLevel="1">
      <c r="A316" s="127"/>
      <c r="B316" s="773"/>
      <c r="C316" s="877"/>
      <c r="D316" s="880"/>
      <c r="E316" s="801"/>
      <c r="F316" s="802"/>
      <c r="G316" s="781"/>
      <c r="H316" s="781"/>
      <c r="I316" s="215" t="s">
        <v>189</v>
      </c>
      <c r="J316" s="216"/>
      <c r="K316" s="872"/>
      <c r="L316" s="873"/>
      <c r="M316" s="793"/>
      <c r="N316" s="837"/>
      <c r="O316" s="838"/>
      <c r="P316" s="837"/>
      <c r="Q316" s="838"/>
      <c r="R316" s="793"/>
      <c r="S316" s="899"/>
      <c r="T316" s="793"/>
      <c r="U316" s="880"/>
      <c r="V316" s="902"/>
      <c r="W316" s="793"/>
      <c r="X316" s="793"/>
      <c r="Y316" s="905"/>
      <c r="Z316" s="1"/>
      <c r="AA316" s="1"/>
      <c r="AB316" s="1"/>
      <c r="AC316" s="1"/>
      <c r="AD316" s="1"/>
      <c r="AE316" s="1"/>
      <c r="AF316" s="1"/>
      <c r="AG316" s="1"/>
      <c r="AH316" s="1"/>
      <c r="AI316" s="1"/>
      <c r="AJ316" s="1"/>
      <c r="AK316" s="1"/>
      <c r="AL316" s="1"/>
      <c r="AM316" s="1"/>
      <c r="AN316" s="1"/>
    </row>
    <row r="317" spans="1:40" ht="15.6" hidden="1" customHeight="1" outlineLevel="1" thickBot="1">
      <c r="A317" s="127"/>
      <c r="B317" s="773"/>
      <c r="C317" s="878"/>
      <c r="D317" s="881"/>
      <c r="E317" s="866"/>
      <c r="F317" s="867"/>
      <c r="G317" s="782"/>
      <c r="H317" s="782"/>
      <c r="I317" s="217" t="s">
        <v>190</v>
      </c>
      <c r="J317" s="218"/>
      <c r="K317" s="874"/>
      <c r="L317" s="875"/>
      <c r="M317" s="794"/>
      <c r="N317" s="863"/>
      <c r="O317" s="864"/>
      <c r="P317" s="863"/>
      <c r="Q317" s="864"/>
      <c r="R317" s="794"/>
      <c r="S317" s="900"/>
      <c r="T317" s="794"/>
      <c r="U317" s="881"/>
      <c r="V317" s="903"/>
      <c r="W317" s="794"/>
      <c r="X317" s="794"/>
      <c r="Y317" s="906"/>
      <c r="Z317" s="1"/>
      <c r="AA317" s="1"/>
      <c r="AB317" s="1"/>
      <c r="AC317" s="1"/>
      <c r="AD317" s="1"/>
      <c r="AE317" s="1"/>
      <c r="AF317" s="1"/>
      <c r="AG317" s="1"/>
      <c r="AH317" s="1"/>
      <c r="AI317" s="1"/>
      <c r="AJ317" s="1"/>
      <c r="AK317" s="1"/>
      <c r="AL317" s="1"/>
      <c r="AM317" s="1"/>
      <c r="AN317" s="1"/>
    </row>
    <row r="318" spans="1:40" ht="15" hidden="1" outlineLevel="1" thickTop="1">
      <c r="A318" s="127"/>
      <c r="B318" s="773"/>
      <c r="C318" s="876"/>
      <c r="D318" s="879"/>
      <c r="E318" s="868"/>
      <c r="F318" s="869"/>
      <c r="G318" s="772"/>
      <c r="H318" s="772"/>
      <c r="I318" s="213" t="s">
        <v>188</v>
      </c>
      <c r="J318" s="214"/>
      <c r="K318" s="870"/>
      <c r="L318" s="871"/>
      <c r="M318" s="792"/>
      <c r="N318" s="835"/>
      <c r="O318" s="836"/>
      <c r="P318" s="835"/>
      <c r="Q318" s="836"/>
      <c r="R318" s="792"/>
      <c r="S318" s="898"/>
      <c r="T318" s="792"/>
      <c r="U318" s="879"/>
      <c r="V318" s="901"/>
      <c r="W318" s="792"/>
      <c r="X318" s="792"/>
      <c r="Y318" s="904"/>
      <c r="Z318" s="1"/>
      <c r="AA318" s="1"/>
      <c r="AB318" s="1"/>
      <c r="AC318" s="1"/>
      <c r="AD318" s="1"/>
      <c r="AE318" s="1"/>
      <c r="AF318" s="1"/>
      <c r="AG318" s="1"/>
      <c r="AH318" s="1"/>
      <c r="AI318" s="1"/>
      <c r="AJ318" s="1"/>
      <c r="AK318" s="1"/>
      <c r="AL318" s="1"/>
      <c r="AM318" s="1"/>
      <c r="AN318" s="1"/>
    </row>
    <row r="319" spans="1:40" hidden="1" outlineLevel="1">
      <c r="A319" s="127"/>
      <c r="B319" s="773"/>
      <c r="C319" s="877"/>
      <c r="D319" s="880"/>
      <c r="E319" s="801"/>
      <c r="F319" s="802"/>
      <c r="G319" s="781"/>
      <c r="H319" s="781"/>
      <c r="I319" s="215" t="s">
        <v>189</v>
      </c>
      <c r="J319" s="216"/>
      <c r="K319" s="872"/>
      <c r="L319" s="873"/>
      <c r="M319" s="793"/>
      <c r="N319" s="837"/>
      <c r="O319" s="838"/>
      <c r="P319" s="837"/>
      <c r="Q319" s="838"/>
      <c r="R319" s="793"/>
      <c r="S319" s="899"/>
      <c r="T319" s="793"/>
      <c r="U319" s="880"/>
      <c r="V319" s="902"/>
      <c r="W319" s="793"/>
      <c r="X319" s="793"/>
      <c r="Y319" s="905"/>
      <c r="Z319" s="1"/>
      <c r="AA319" s="1"/>
      <c r="AB319" s="1"/>
      <c r="AC319" s="1"/>
      <c r="AD319" s="1"/>
      <c r="AE319" s="1"/>
      <c r="AF319" s="1"/>
      <c r="AG319" s="1"/>
      <c r="AH319" s="1"/>
      <c r="AI319" s="1"/>
      <c r="AJ319" s="1"/>
      <c r="AK319" s="1"/>
      <c r="AL319" s="1"/>
      <c r="AM319" s="1"/>
      <c r="AN319" s="1"/>
    </row>
    <row r="320" spans="1:40" ht="15.6" hidden="1" customHeight="1" outlineLevel="1" thickBot="1">
      <c r="A320" s="127"/>
      <c r="B320" s="773"/>
      <c r="C320" s="878"/>
      <c r="D320" s="881"/>
      <c r="E320" s="866"/>
      <c r="F320" s="867"/>
      <c r="G320" s="782"/>
      <c r="H320" s="782"/>
      <c r="I320" s="217" t="s">
        <v>190</v>
      </c>
      <c r="J320" s="218"/>
      <c r="K320" s="874"/>
      <c r="L320" s="875"/>
      <c r="M320" s="794"/>
      <c r="N320" s="863"/>
      <c r="O320" s="864"/>
      <c r="P320" s="863"/>
      <c r="Q320" s="864"/>
      <c r="R320" s="794"/>
      <c r="S320" s="900"/>
      <c r="T320" s="794"/>
      <c r="U320" s="881"/>
      <c r="V320" s="903"/>
      <c r="W320" s="794"/>
      <c r="X320" s="794"/>
      <c r="Y320" s="906"/>
      <c r="Z320" s="1"/>
      <c r="AA320" s="1"/>
      <c r="AB320" s="1"/>
      <c r="AC320" s="1"/>
      <c r="AD320" s="1"/>
      <c r="AE320" s="1"/>
      <c r="AF320" s="1"/>
      <c r="AG320" s="1"/>
      <c r="AH320" s="1"/>
      <c r="AI320" s="1"/>
      <c r="AJ320" s="1"/>
      <c r="AK320" s="1"/>
      <c r="AL320" s="1"/>
      <c r="AM320" s="1"/>
      <c r="AN320" s="1"/>
    </row>
    <row r="321" spans="1:40" ht="15" hidden="1" outlineLevel="1" thickTop="1">
      <c r="A321" s="127"/>
      <c r="B321" s="773"/>
      <c r="C321" s="876"/>
      <c r="D321" s="879"/>
      <c r="E321" s="868"/>
      <c r="F321" s="869"/>
      <c r="G321" s="772"/>
      <c r="H321" s="772"/>
      <c r="I321" s="213" t="s">
        <v>188</v>
      </c>
      <c r="J321" s="214"/>
      <c r="K321" s="870"/>
      <c r="L321" s="871"/>
      <c r="M321" s="792"/>
      <c r="N321" s="835"/>
      <c r="O321" s="836"/>
      <c r="P321" s="835"/>
      <c r="Q321" s="836"/>
      <c r="R321" s="792"/>
      <c r="S321" s="898"/>
      <c r="T321" s="792"/>
      <c r="U321" s="879"/>
      <c r="V321" s="901"/>
      <c r="W321" s="792"/>
      <c r="X321" s="792"/>
      <c r="Y321" s="904"/>
      <c r="Z321" s="1"/>
      <c r="AA321" s="1"/>
      <c r="AB321" s="1"/>
      <c r="AC321" s="1"/>
      <c r="AD321" s="1"/>
      <c r="AE321" s="1"/>
      <c r="AF321" s="1"/>
      <c r="AG321" s="1"/>
      <c r="AH321" s="1"/>
      <c r="AI321" s="1"/>
      <c r="AJ321" s="1"/>
      <c r="AK321" s="1"/>
      <c r="AL321" s="1"/>
      <c r="AM321" s="1"/>
      <c r="AN321" s="1"/>
    </row>
    <row r="322" spans="1:40" hidden="1" outlineLevel="1">
      <c r="A322" s="127"/>
      <c r="B322" s="773"/>
      <c r="C322" s="877"/>
      <c r="D322" s="880"/>
      <c r="E322" s="801"/>
      <c r="F322" s="802"/>
      <c r="G322" s="781"/>
      <c r="H322" s="781"/>
      <c r="I322" s="215" t="s">
        <v>189</v>
      </c>
      <c r="J322" s="216"/>
      <c r="K322" s="872"/>
      <c r="L322" s="873"/>
      <c r="M322" s="793"/>
      <c r="N322" s="837"/>
      <c r="O322" s="838"/>
      <c r="P322" s="837"/>
      <c r="Q322" s="838"/>
      <c r="R322" s="793"/>
      <c r="S322" s="899"/>
      <c r="T322" s="793"/>
      <c r="U322" s="880"/>
      <c r="V322" s="902"/>
      <c r="W322" s="793"/>
      <c r="X322" s="793"/>
      <c r="Y322" s="905"/>
      <c r="Z322" s="1"/>
      <c r="AA322" s="1"/>
      <c r="AB322" s="1"/>
      <c r="AC322" s="1"/>
      <c r="AD322" s="1"/>
      <c r="AE322" s="1"/>
      <c r="AF322" s="1"/>
      <c r="AG322" s="1"/>
      <c r="AH322" s="1"/>
      <c r="AI322" s="1"/>
      <c r="AJ322" s="1"/>
      <c r="AK322" s="1"/>
      <c r="AL322" s="1"/>
      <c r="AM322" s="1"/>
      <c r="AN322" s="1"/>
    </row>
    <row r="323" spans="1:40" ht="15.6" hidden="1" customHeight="1" outlineLevel="1" thickBot="1">
      <c r="A323" s="127"/>
      <c r="B323" s="773"/>
      <c r="C323" s="878"/>
      <c r="D323" s="881"/>
      <c r="E323" s="866"/>
      <c r="F323" s="867"/>
      <c r="G323" s="782"/>
      <c r="H323" s="782"/>
      <c r="I323" s="217" t="s">
        <v>190</v>
      </c>
      <c r="J323" s="218"/>
      <c r="K323" s="874"/>
      <c r="L323" s="875"/>
      <c r="M323" s="794"/>
      <c r="N323" s="863"/>
      <c r="O323" s="864"/>
      <c r="P323" s="863"/>
      <c r="Q323" s="864"/>
      <c r="R323" s="794"/>
      <c r="S323" s="900"/>
      <c r="T323" s="794"/>
      <c r="U323" s="881"/>
      <c r="V323" s="903"/>
      <c r="W323" s="794"/>
      <c r="X323" s="794"/>
      <c r="Y323" s="906"/>
      <c r="Z323" s="1"/>
      <c r="AA323" s="1"/>
      <c r="AB323" s="1"/>
      <c r="AC323" s="1"/>
      <c r="AD323" s="1"/>
      <c r="AE323" s="1"/>
      <c r="AF323" s="1"/>
      <c r="AG323" s="1"/>
      <c r="AH323" s="1"/>
      <c r="AI323" s="1"/>
      <c r="AJ323" s="1"/>
      <c r="AK323" s="1"/>
      <c r="AL323" s="1"/>
      <c r="AM323" s="1"/>
      <c r="AN323" s="1"/>
    </row>
    <row r="324" spans="1:40" ht="15" hidden="1" outlineLevel="1" thickTop="1">
      <c r="A324" s="127"/>
      <c r="B324" s="773"/>
      <c r="C324" s="876"/>
      <c r="D324" s="879"/>
      <c r="E324" s="868"/>
      <c r="F324" s="869"/>
      <c r="G324" s="772"/>
      <c r="H324" s="772"/>
      <c r="I324" s="213" t="s">
        <v>188</v>
      </c>
      <c r="J324" s="214"/>
      <c r="K324" s="870"/>
      <c r="L324" s="871"/>
      <c r="M324" s="792"/>
      <c r="N324" s="835"/>
      <c r="O324" s="836"/>
      <c r="P324" s="835"/>
      <c r="Q324" s="836"/>
      <c r="R324" s="792"/>
      <c r="S324" s="898"/>
      <c r="T324" s="792"/>
      <c r="U324" s="879"/>
      <c r="V324" s="901"/>
      <c r="W324" s="792"/>
      <c r="X324" s="792"/>
      <c r="Y324" s="904"/>
      <c r="Z324" s="1"/>
      <c r="AA324" s="1"/>
      <c r="AB324" s="1"/>
      <c r="AC324" s="1"/>
      <c r="AD324" s="1"/>
      <c r="AE324" s="1"/>
      <c r="AF324" s="1"/>
      <c r="AG324" s="1"/>
      <c r="AH324" s="1"/>
      <c r="AI324" s="1"/>
      <c r="AJ324" s="1"/>
      <c r="AK324" s="1"/>
      <c r="AL324" s="1"/>
      <c r="AM324" s="1"/>
      <c r="AN324" s="1"/>
    </row>
    <row r="325" spans="1:40" hidden="1" outlineLevel="1">
      <c r="A325" s="127"/>
      <c r="B325" s="773"/>
      <c r="C325" s="877"/>
      <c r="D325" s="880"/>
      <c r="E325" s="801"/>
      <c r="F325" s="802"/>
      <c r="G325" s="781"/>
      <c r="H325" s="781"/>
      <c r="I325" s="215" t="s">
        <v>189</v>
      </c>
      <c r="J325" s="216"/>
      <c r="K325" s="872"/>
      <c r="L325" s="873"/>
      <c r="M325" s="793"/>
      <c r="N325" s="837"/>
      <c r="O325" s="838"/>
      <c r="P325" s="837"/>
      <c r="Q325" s="838"/>
      <c r="R325" s="793"/>
      <c r="S325" s="899"/>
      <c r="T325" s="793"/>
      <c r="U325" s="880"/>
      <c r="V325" s="902"/>
      <c r="W325" s="793"/>
      <c r="X325" s="793"/>
      <c r="Y325" s="905"/>
      <c r="Z325" s="1"/>
      <c r="AA325" s="1"/>
      <c r="AB325" s="1"/>
      <c r="AC325" s="1"/>
      <c r="AD325" s="1"/>
      <c r="AE325" s="1"/>
      <c r="AF325" s="1"/>
      <c r="AG325" s="1"/>
      <c r="AH325" s="1"/>
      <c r="AI325" s="1"/>
      <c r="AJ325" s="1"/>
      <c r="AK325" s="1"/>
      <c r="AL325" s="1"/>
      <c r="AM325" s="1"/>
      <c r="AN325" s="1"/>
    </row>
    <row r="326" spans="1:40" ht="15.6" hidden="1" customHeight="1" outlineLevel="1" thickBot="1">
      <c r="A326" s="127"/>
      <c r="B326" s="773"/>
      <c r="C326" s="878"/>
      <c r="D326" s="881"/>
      <c r="E326" s="866"/>
      <c r="F326" s="867"/>
      <c r="G326" s="782"/>
      <c r="H326" s="782"/>
      <c r="I326" s="217" t="s">
        <v>190</v>
      </c>
      <c r="J326" s="218"/>
      <c r="K326" s="874"/>
      <c r="L326" s="875"/>
      <c r="M326" s="794"/>
      <c r="N326" s="863"/>
      <c r="O326" s="864"/>
      <c r="P326" s="863"/>
      <c r="Q326" s="864"/>
      <c r="R326" s="794"/>
      <c r="S326" s="900"/>
      <c r="T326" s="794"/>
      <c r="U326" s="881"/>
      <c r="V326" s="903"/>
      <c r="W326" s="794"/>
      <c r="X326" s="794"/>
      <c r="Y326" s="906"/>
      <c r="Z326" s="1"/>
      <c r="AA326" s="1"/>
      <c r="AB326" s="1"/>
      <c r="AC326" s="1"/>
      <c r="AD326" s="1"/>
      <c r="AE326" s="1"/>
      <c r="AF326" s="1"/>
      <c r="AG326" s="1"/>
      <c r="AH326" s="1"/>
      <c r="AI326" s="1"/>
      <c r="AJ326" s="1"/>
      <c r="AK326" s="1"/>
      <c r="AL326" s="1"/>
      <c r="AM326" s="1"/>
      <c r="AN326" s="1"/>
    </row>
    <row r="327" spans="1:40" ht="15" hidden="1" outlineLevel="1" thickTop="1">
      <c r="A327" s="127"/>
      <c r="B327" s="773"/>
      <c r="C327" s="876"/>
      <c r="D327" s="879"/>
      <c r="E327" s="868"/>
      <c r="F327" s="869"/>
      <c r="G327" s="772"/>
      <c r="H327" s="772"/>
      <c r="I327" s="213" t="s">
        <v>188</v>
      </c>
      <c r="J327" s="214"/>
      <c r="K327" s="870"/>
      <c r="L327" s="871"/>
      <c r="M327" s="792"/>
      <c r="N327" s="835"/>
      <c r="O327" s="836"/>
      <c r="P327" s="835"/>
      <c r="Q327" s="836"/>
      <c r="R327" s="792"/>
      <c r="S327" s="898"/>
      <c r="T327" s="792"/>
      <c r="U327" s="879"/>
      <c r="V327" s="901"/>
      <c r="W327" s="792"/>
      <c r="X327" s="792"/>
      <c r="Y327" s="904"/>
      <c r="Z327" s="1"/>
      <c r="AA327" s="1"/>
      <c r="AB327" s="1"/>
      <c r="AC327" s="1"/>
      <c r="AD327" s="1"/>
      <c r="AE327" s="1"/>
      <c r="AF327" s="1"/>
      <c r="AG327" s="1"/>
      <c r="AH327" s="1"/>
      <c r="AI327" s="1"/>
      <c r="AJ327" s="1"/>
      <c r="AK327" s="1"/>
      <c r="AL327" s="1"/>
      <c r="AM327" s="1"/>
      <c r="AN327" s="1"/>
    </row>
    <row r="328" spans="1:40" hidden="1" outlineLevel="1">
      <c r="A328" s="127"/>
      <c r="B328" s="773"/>
      <c r="C328" s="877"/>
      <c r="D328" s="880"/>
      <c r="E328" s="801"/>
      <c r="F328" s="802"/>
      <c r="G328" s="781"/>
      <c r="H328" s="781"/>
      <c r="I328" s="215" t="s">
        <v>189</v>
      </c>
      <c r="J328" s="216"/>
      <c r="K328" s="872"/>
      <c r="L328" s="873"/>
      <c r="M328" s="793"/>
      <c r="N328" s="837"/>
      <c r="O328" s="838"/>
      <c r="P328" s="837"/>
      <c r="Q328" s="838"/>
      <c r="R328" s="793"/>
      <c r="S328" s="899"/>
      <c r="T328" s="793"/>
      <c r="U328" s="880"/>
      <c r="V328" s="902"/>
      <c r="W328" s="793"/>
      <c r="X328" s="793"/>
      <c r="Y328" s="905"/>
      <c r="Z328" s="1"/>
      <c r="AA328" s="1"/>
      <c r="AB328" s="1"/>
      <c r="AC328" s="1"/>
      <c r="AD328" s="1"/>
      <c r="AE328" s="1"/>
      <c r="AF328" s="1"/>
      <c r="AG328" s="1"/>
      <c r="AH328" s="1"/>
      <c r="AI328" s="1"/>
      <c r="AJ328" s="1"/>
      <c r="AK328" s="1"/>
      <c r="AL328" s="1"/>
      <c r="AM328" s="1"/>
      <c r="AN328" s="1"/>
    </row>
    <row r="329" spans="1:40" ht="15.6" hidden="1" customHeight="1" outlineLevel="1" thickBot="1">
      <c r="A329" s="127"/>
      <c r="B329" s="773"/>
      <c r="C329" s="878"/>
      <c r="D329" s="881"/>
      <c r="E329" s="866"/>
      <c r="F329" s="867"/>
      <c r="G329" s="782"/>
      <c r="H329" s="782"/>
      <c r="I329" s="217" t="s">
        <v>190</v>
      </c>
      <c r="J329" s="218"/>
      <c r="K329" s="874"/>
      <c r="L329" s="875"/>
      <c r="M329" s="794"/>
      <c r="N329" s="863"/>
      <c r="O329" s="864"/>
      <c r="P329" s="863"/>
      <c r="Q329" s="864"/>
      <c r="R329" s="794"/>
      <c r="S329" s="900"/>
      <c r="T329" s="794"/>
      <c r="U329" s="881"/>
      <c r="V329" s="903"/>
      <c r="W329" s="794"/>
      <c r="X329" s="794"/>
      <c r="Y329" s="906"/>
      <c r="Z329" s="1"/>
      <c r="AA329" s="1"/>
      <c r="AB329" s="1"/>
      <c r="AC329" s="1"/>
      <c r="AD329" s="1"/>
      <c r="AE329" s="1"/>
      <c r="AF329" s="1"/>
      <c r="AG329" s="1"/>
      <c r="AH329" s="1"/>
      <c r="AI329" s="1"/>
      <c r="AJ329" s="1"/>
      <c r="AK329" s="1"/>
      <c r="AL329" s="1"/>
      <c r="AM329" s="1"/>
      <c r="AN329" s="1"/>
    </row>
    <row r="330" spans="1:40" ht="15" hidden="1" outlineLevel="1" thickTop="1">
      <c r="A330" s="127"/>
      <c r="B330" s="773"/>
      <c r="C330" s="876"/>
      <c r="D330" s="879"/>
      <c r="E330" s="868"/>
      <c r="F330" s="869"/>
      <c r="G330" s="772"/>
      <c r="H330" s="772"/>
      <c r="I330" s="213" t="s">
        <v>188</v>
      </c>
      <c r="J330" s="214"/>
      <c r="K330" s="870"/>
      <c r="L330" s="871"/>
      <c r="M330" s="792"/>
      <c r="N330" s="835"/>
      <c r="O330" s="836"/>
      <c r="P330" s="835"/>
      <c r="Q330" s="836"/>
      <c r="R330" s="792"/>
      <c r="S330" s="898"/>
      <c r="T330" s="792"/>
      <c r="U330" s="879"/>
      <c r="V330" s="901"/>
      <c r="W330" s="792"/>
      <c r="X330" s="792"/>
      <c r="Y330" s="904"/>
      <c r="Z330" s="1"/>
      <c r="AA330" s="1"/>
      <c r="AB330" s="1"/>
      <c r="AC330" s="1"/>
      <c r="AD330" s="1"/>
      <c r="AE330" s="1"/>
      <c r="AF330" s="1"/>
      <c r="AG330" s="1"/>
      <c r="AH330" s="1"/>
      <c r="AI330" s="1"/>
      <c r="AJ330" s="1"/>
      <c r="AK330" s="1"/>
      <c r="AL330" s="1"/>
      <c r="AM330" s="1"/>
      <c r="AN330" s="1"/>
    </row>
    <row r="331" spans="1:40" hidden="1" outlineLevel="1">
      <c r="A331" s="127"/>
      <c r="B331" s="773"/>
      <c r="C331" s="877"/>
      <c r="D331" s="880"/>
      <c r="E331" s="801"/>
      <c r="F331" s="802"/>
      <c r="G331" s="781"/>
      <c r="H331" s="781"/>
      <c r="I331" s="215" t="s">
        <v>189</v>
      </c>
      <c r="J331" s="216"/>
      <c r="K331" s="872"/>
      <c r="L331" s="873"/>
      <c r="M331" s="793"/>
      <c r="N331" s="837"/>
      <c r="O331" s="838"/>
      <c r="P331" s="837"/>
      <c r="Q331" s="838"/>
      <c r="R331" s="793"/>
      <c r="S331" s="899"/>
      <c r="T331" s="793"/>
      <c r="U331" s="880"/>
      <c r="V331" s="902"/>
      <c r="W331" s="793"/>
      <c r="X331" s="793"/>
      <c r="Y331" s="905"/>
      <c r="Z331" s="1"/>
      <c r="AA331" s="1"/>
      <c r="AB331" s="1"/>
      <c r="AC331" s="1"/>
      <c r="AD331" s="1"/>
      <c r="AE331" s="1"/>
      <c r="AF331" s="1"/>
      <c r="AG331" s="1"/>
      <c r="AH331" s="1"/>
      <c r="AI331" s="1"/>
      <c r="AJ331" s="1"/>
      <c r="AK331" s="1"/>
      <c r="AL331" s="1"/>
      <c r="AM331" s="1"/>
      <c r="AN331" s="1"/>
    </row>
    <row r="332" spans="1:40" ht="15.6" hidden="1" customHeight="1" outlineLevel="1" thickBot="1">
      <c r="A332" s="127"/>
      <c r="B332" s="773"/>
      <c r="C332" s="878"/>
      <c r="D332" s="881"/>
      <c r="E332" s="866"/>
      <c r="F332" s="867"/>
      <c r="G332" s="782"/>
      <c r="H332" s="782"/>
      <c r="I332" s="217" t="s">
        <v>190</v>
      </c>
      <c r="J332" s="218"/>
      <c r="K332" s="874"/>
      <c r="L332" s="875"/>
      <c r="M332" s="794"/>
      <c r="N332" s="863"/>
      <c r="O332" s="864"/>
      <c r="P332" s="863"/>
      <c r="Q332" s="864"/>
      <c r="R332" s="794"/>
      <c r="S332" s="900"/>
      <c r="T332" s="794"/>
      <c r="U332" s="881"/>
      <c r="V332" s="903"/>
      <c r="W332" s="794"/>
      <c r="X332" s="794"/>
      <c r="Y332" s="906"/>
      <c r="Z332" s="1"/>
      <c r="AA332" s="1"/>
      <c r="AB332" s="1"/>
      <c r="AC332" s="1"/>
      <c r="AD332" s="1"/>
      <c r="AE332" s="1"/>
      <c r="AF332" s="1"/>
      <c r="AG332" s="1"/>
      <c r="AH332" s="1"/>
      <c r="AI332" s="1"/>
      <c r="AJ332" s="1"/>
      <c r="AK332" s="1"/>
      <c r="AL332" s="1"/>
      <c r="AM332" s="1"/>
      <c r="AN332" s="1"/>
    </row>
    <row r="333" spans="1:40" ht="15" hidden="1" outlineLevel="1" thickTop="1">
      <c r="A333" s="127"/>
      <c r="B333" s="773"/>
      <c r="C333" s="876"/>
      <c r="D333" s="879"/>
      <c r="E333" s="868"/>
      <c r="F333" s="869"/>
      <c r="G333" s="772"/>
      <c r="H333" s="772"/>
      <c r="I333" s="213" t="s">
        <v>188</v>
      </c>
      <c r="J333" s="214"/>
      <c r="K333" s="870"/>
      <c r="L333" s="871"/>
      <c r="M333" s="792"/>
      <c r="N333" s="835"/>
      <c r="O333" s="836"/>
      <c r="P333" s="835"/>
      <c r="Q333" s="836"/>
      <c r="R333" s="792"/>
      <c r="S333" s="898"/>
      <c r="T333" s="792"/>
      <c r="U333" s="879"/>
      <c r="V333" s="901"/>
      <c r="W333" s="792"/>
      <c r="X333" s="792"/>
      <c r="Y333" s="904"/>
      <c r="Z333" s="1"/>
      <c r="AA333" s="1"/>
      <c r="AB333" s="1"/>
      <c r="AC333" s="1"/>
      <c r="AD333" s="1"/>
      <c r="AE333" s="1"/>
      <c r="AF333" s="1"/>
      <c r="AG333" s="1"/>
      <c r="AH333" s="1"/>
      <c r="AI333" s="1"/>
      <c r="AJ333" s="1"/>
      <c r="AK333" s="1"/>
      <c r="AL333" s="1"/>
      <c r="AM333" s="1"/>
      <c r="AN333" s="1"/>
    </row>
    <row r="334" spans="1:40" hidden="1" outlineLevel="1">
      <c r="A334" s="127"/>
      <c r="B334" s="773"/>
      <c r="C334" s="877"/>
      <c r="D334" s="880"/>
      <c r="E334" s="801"/>
      <c r="F334" s="802"/>
      <c r="G334" s="781"/>
      <c r="H334" s="781"/>
      <c r="I334" s="215" t="s">
        <v>189</v>
      </c>
      <c r="J334" s="216"/>
      <c r="K334" s="872"/>
      <c r="L334" s="873"/>
      <c r="M334" s="793"/>
      <c r="N334" s="837"/>
      <c r="O334" s="838"/>
      <c r="P334" s="837"/>
      <c r="Q334" s="838"/>
      <c r="R334" s="793"/>
      <c r="S334" s="899"/>
      <c r="T334" s="793"/>
      <c r="U334" s="880"/>
      <c r="V334" s="902"/>
      <c r="W334" s="793"/>
      <c r="X334" s="793"/>
      <c r="Y334" s="905"/>
      <c r="Z334" s="1"/>
      <c r="AA334" s="1"/>
      <c r="AB334" s="1"/>
      <c r="AC334" s="1"/>
      <c r="AD334" s="1"/>
      <c r="AE334" s="1"/>
      <c r="AF334" s="1"/>
      <c r="AG334" s="1"/>
      <c r="AH334" s="1"/>
      <c r="AI334" s="1"/>
      <c r="AJ334" s="1"/>
      <c r="AK334" s="1"/>
      <c r="AL334" s="1"/>
      <c r="AM334" s="1"/>
      <c r="AN334" s="1"/>
    </row>
    <row r="335" spans="1:40" ht="15.6" hidden="1" customHeight="1" outlineLevel="1" thickBot="1">
      <c r="A335" s="127"/>
      <c r="B335" s="773"/>
      <c r="C335" s="878"/>
      <c r="D335" s="881"/>
      <c r="E335" s="866"/>
      <c r="F335" s="867"/>
      <c r="G335" s="782"/>
      <c r="H335" s="782"/>
      <c r="I335" s="217" t="s">
        <v>190</v>
      </c>
      <c r="J335" s="218"/>
      <c r="K335" s="874"/>
      <c r="L335" s="875"/>
      <c r="M335" s="794"/>
      <c r="N335" s="863"/>
      <c r="O335" s="864"/>
      <c r="P335" s="863"/>
      <c r="Q335" s="864"/>
      <c r="R335" s="794"/>
      <c r="S335" s="900"/>
      <c r="T335" s="794"/>
      <c r="U335" s="881"/>
      <c r="V335" s="903"/>
      <c r="W335" s="794"/>
      <c r="X335" s="794"/>
      <c r="Y335" s="906"/>
      <c r="Z335" s="1"/>
      <c r="AA335" s="1"/>
      <c r="AB335" s="1"/>
      <c r="AC335" s="1"/>
      <c r="AD335" s="1"/>
      <c r="AE335" s="1"/>
      <c r="AF335" s="1"/>
      <c r="AG335" s="1"/>
      <c r="AH335" s="1"/>
      <c r="AI335" s="1"/>
      <c r="AJ335" s="1"/>
      <c r="AK335" s="1"/>
      <c r="AL335" s="1"/>
      <c r="AM335" s="1"/>
      <c r="AN335" s="1"/>
    </row>
    <row r="336" spans="1:40" ht="15" hidden="1" outlineLevel="1" thickTop="1">
      <c r="A336" s="127"/>
      <c r="B336" s="773"/>
      <c r="C336" s="876"/>
      <c r="D336" s="879"/>
      <c r="E336" s="868"/>
      <c r="F336" s="869"/>
      <c r="G336" s="772"/>
      <c r="H336" s="772"/>
      <c r="I336" s="213" t="s">
        <v>188</v>
      </c>
      <c r="J336" s="214"/>
      <c r="K336" s="870"/>
      <c r="L336" s="871"/>
      <c r="M336" s="792"/>
      <c r="N336" s="835"/>
      <c r="O336" s="836"/>
      <c r="P336" s="835"/>
      <c r="Q336" s="836"/>
      <c r="R336" s="792"/>
      <c r="S336" s="898"/>
      <c r="T336" s="792"/>
      <c r="U336" s="879"/>
      <c r="V336" s="901"/>
      <c r="W336" s="792"/>
      <c r="X336" s="792"/>
      <c r="Y336" s="904"/>
      <c r="Z336" s="1"/>
      <c r="AA336" s="1"/>
      <c r="AB336" s="1"/>
      <c r="AC336" s="1"/>
      <c r="AD336" s="1"/>
      <c r="AE336" s="1"/>
      <c r="AF336" s="1"/>
      <c r="AG336" s="1"/>
      <c r="AH336" s="1"/>
      <c r="AI336" s="1"/>
      <c r="AJ336" s="1"/>
      <c r="AK336" s="1"/>
      <c r="AL336" s="1"/>
      <c r="AM336" s="1"/>
      <c r="AN336" s="1"/>
    </row>
    <row r="337" spans="1:40" hidden="1" outlineLevel="1">
      <c r="A337" s="127"/>
      <c r="B337" s="773"/>
      <c r="C337" s="877"/>
      <c r="D337" s="880"/>
      <c r="E337" s="801"/>
      <c r="F337" s="802"/>
      <c r="G337" s="781"/>
      <c r="H337" s="781"/>
      <c r="I337" s="215" t="s">
        <v>189</v>
      </c>
      <c r="J337" s="216"/>
      <c r="K337" s="872"/>
      <c r="L337" s="873"/>
      <c r="M337" s="793"/>
      <c r="N337" s="837"/>
      <c r="O337" s="838"/>
      <c r="P337" s="837"/>
      <c r="Q337" s="838"/>
      <c r="R337" s="793"/>
      <c r="S337" s="899"/>
      <c r="T337" s="793"/>
      <c r="U337" s="880"/>
      <c r="V337" s="902"/>
      <c r="W337" s="793"/>
      <c r="X337" s="793"/>
      <c r="Y337" s="905"/>
      <c r="Z337" s="1"/>
      <c r="AA337" s="1"/>
      <c r="AB337" s="1"/>
      <c r="AC337" s="1"/>
      <c r="AD337" s="1"/>
      <c r="AE337" s="1"/>
      <c r="AF337" s="1"/>
      <c r="AG337" s="1"/>
      <c r="AH337" s="1"/>
      <c r="AI337" s="1"/>
      <c r="AJ337" s="1"/>
      <c r="AK337" s="1"/>
      <c r="AL337" s="1"/>
      <c r="AM337" s="1"/>
      <c r="AN337" s="1"/>
    </row>
    <row r="338" spans="1:40" ht="15.6" hidden="1" customHeight="1" outlineLevel="1" thickBot="1">
      <c r="A338" s="127"/>
      <c r="B338" s="773"/>
      <c r="C338" s="878"/>
      <c r="D338" s="881"/>
      <c r="E338" s="866"/>
      <c r="F338" s="867"/>
      <c r="G338" s="782"/>
      <c r="H338" s="782"/>
      <c r="I338" s="217" t="s">
        <v>190</v>
      </c>
      <c r="J338" s="218"/>
      <c r="K338" s="874"/>
      <c r="L338" s="875"/>
      <c r="M338" s="794"/>
      <c r="N338" s="863"/>
      <c r="O338" s="864"/>
      <c r="P338" s="863"/>
      <c r="Q338" s="864"/>
      <c r="R338" s="794"/>
      <c r="S338" s="900"/>
      <c r="T338" s="794"/>
      <c r="U338" s="881"/>
      <c r="V338" s="903"/>
      <c r="W338" s="794"/>
      <c r="X338" s="794"/>
      <c r="Y338" s="906"/>
      <c r="Z338" s="1"/>
      <c r="AA338" s="1"/>
      <c r="AB338" s="1"/>
      <c r="AC338" s="1"/>
      <c r="AD338" s="1"/>
      <c r="AE338" s="1"/>
      <c r="AF338" s="1"/>
      <c r="AG338" s="1"/>
      <c r="AH338" s="1"/>
      <c r="AI338" s="1"/>
      <c r="AJ338" s="1"/>
      <c r="AK338" s="1"/>
      <c r="AL338" s="1"/>
      <c r="AM338" s="1"/>
      <c r="AN338" s="1"/>
    </row>
    <row r="339" spans="1:40" ht="15" hidden="1" outlineLevel="1" thickTop="1">
      <c r="A339" s="127"/>
      <c r="B339" s="773"/>
      <c r="C339" s="876"/>
      <c r="D339" s="879"/>
      <c r="E339" s="868"/>
      <c r="F339" s="869"/>
      <c r="G339" s="772"/>
      <c r="H339" s="772"/>
      <c r="I339" s="213" t="s">
        <v>188</v>
      </c>
      <c r="J339" s="214"/>
      <c r="K339" s="870"/>
      <c r="L339" s="871"/>
      <c r="M339" s="792"/>
      <c r="N339" s="835"/>
      <c r="O339" s="836"/>
      <c r="P339" s="835"/>
      <c r="Q339" s="836"/>
      <c r="R339" s="792"/>
      <c r="S339" s="898"/>
      <c r="T339" s="792"/>
      <c r="U339" s="879"/>
      <c r="V339" s="901"/>
      <c r="W339" s="792"/>
      <c r="X339" s="792"/>
      <c r="Y339" s="904"/>
      <c r="Z339" s="1"/>
      <c r="AA339" s="1"/>
      <c r="AB339" s="1"/>
      <c r="AC339" s="1"/>
      <c r="AD339" s="1"/>
      <c r="AE339" s="1"/>
      <c r="AF339" s="1"/>
      <c r="AG339" s="1"/>
      <c r="AH339" s="1"/>
      <c r="AI339" s="1"/>
      <c r="AJ339" s="1"/>
      <c r="AK339" s="1"/>
      <c r="AL339" s="1"/>
      <c r="AM339" s="1"/>
      <c r="AN339" s="1"/>
    </row>
    <row r="340" spans="1:40" hidden="1" outlineLevel="1">
      <c r="A340" s="127"/>
      <c r="B340" s="773"/>
      <c r="C340" s="877"/>
      <c r="D340" s="880"/>
      <c r="E340" s="801"/>
      <c r="F340" s="802"/>
      <c r="G340" s="781"/>
      <c r="H340" s="781"/>
      <c r="I340" s="215" t="s">
        <v>189</v>
      </c>
      <c r="J340" s="216"/>
      <c r="K340" s="872"/>
      <c r="L340" s="873"/>
      <c r="M340" s="793"/>
      <c r="N340" s="837"/>
      <c r="O340" s="838"/>
      <c r="P340" s="837"/>
      <c r="Q340" s="838"/>
      <c r="R340" s="793"/>
      <c r="S340" s="899"/>
      <c r="T340" s="793"/>
      <c r="U340" s="880"/>
      <c r="V340" s="902"/>
      <c r="W340" s="793"/>
      <c r="X340" s="793"/>
      <c r="Y340" s="905"/>
      <c r="Z340" s="1"/>
      <c r="AA340" s="1"/>
      <c r="AB340" s="1"/>
      <c r="AC340" s="1"/>
      <c r="AD340" s="1"/>
      <c r="AE340" s="1"/>
      <c r="AF340" s="1"/>
      <c r="AG340" s="1"/>
      <c r="AH340" s="1"/>
      <c r="AI340" s="1"/>
      <c r="AJ340" s="1"/>
      <c r="AK340" s="1"/>
      <c r="AL340" s="1"/>
      <c r="AM340" s="1"/>
      <c r="AN340" s="1"/>
    </row>
    <row r="341" spans="1:40" ht="15.6" hidden="1" customHeight="1" outlineLevel="1" thickBot="1">
      <c r="A341" s="127"/>
      <c r="B341" s="773"/>
      <c r="C341" s="878"/>
      <c r="D341" s="881"/>
      <c r="E341" s="866"/>
      <c r="F341" s="867"/>
      <c r="G341" s="782"/>
      <c r="H341" s="782"/>
      <c r="I341" s="217" t="s">
        <v>190</v>
      </c>
      <c r="J341" s="218"/>
      <c r="K341" s="874"/>
      <c r="L341" s="875"/>
      <c r="M341" s="794"/>
      <c r="N341" s="863"/>
      <c r="O341" s="864"/>
      <c r="P341" s="863"/>
      <c r="Q341" s="864"/>
      <c r="R341" s="794"/>
      <c r="S341" s="900"/>
      <c r="T341" s="794"/>
      <c r="U341" s="881"/>
      <c r="V341" s="903"/>
      <c r="W341" s="794"/>
      <c r="X341" s="794"/>
      <c r="Y341" s="906"/>
      <c r="Z341" s="1"/>
      <c r="AA341" s="1"/>
      <c r="AB341" s="1"/>
      <c r="AC341" s="1"/>
      <c r="AD341" s="1"/>
      <c r="AE341" s="1"/>
      <c r="AF341" s="1"/>
      <c r="AG341" s="1"/>
      <c r="AH341" s="1"/>
      <c r="AI341" s="1"/>
      <c r="AJ341" s="1"/>
      <c r="AK341" s="1"/>
      <c r="AL341" s="1"/>
      <c r="AM341" s="1"/>
      <c r="AN341" s="1"/>
    </row>
    <row r="342" spans="1:40" ht="15" hidden="1" outlineLevel="1" thickTop="1">
      <c r="A342" s="127"/>
      <c r="B342" s="773"/>
      <c r="C342" s="876"/>
      <c r="D342" s="879"/>
      <c r="E342" s="868"/>
      <c r="F342" s="869"/>
      <c r="G342" s="772"/>
      <c r="H342" s="772"/>
      <c r="I342" s="213" t="s">
        <v>188</v>
      </c>
      <c r="J342" s="214"/>
      <c r="K342" s="870"/>
      <c r="L342" s="871"/>
      <c r="M342" s="792"/>
      <c r="N342" s="835"/>
      <c r="O342" s="836"/>
      <c r="P342" s="835"/>
      <c r="Q342" s="836"/>
      <c r="R342" s="792"/>
      <c r="S342" s="898"/>
      <c r="T342" s="792"/>
      <c r="U342" s="879"/>
      <c r="V342" s="901"/>
      <c r="W342" s="792"/>
      <c r="X342" s="792"/>
      <c r="Y342" s="904"/>
      <c r="Z342" s="1"/>
      <c r="AA342" s="1"/>
      <c r="AB342" s="1"/>
      <c r="AC342" s="1"/>
      <c r="AD342" s="1"/>
      <c r="AE342" s="1"/>
      <c r="AF342" s="1"/>
      <c r="AG342" s="1"/>
      <c r="AH342" s="1"/>
      <c r="AI342" s="1"/>
      <c r="AJ342" s="1"/>
      <c r="AK342" s="1"/>
      <c r="AL342" s="1"/>
      <c r="AM342" s="1"/>
      <c r="AN342" s="1"/>
    </row>
    <row r="343" spans="1:40" hidden="1" outlineLevel="1">
      <c r="A343" s="127"/>
      <c r="B343" s="773"/>
      <c r="C343" s="877"/>
      <c r="D343" s="880"/>
      <c r="E343" s="801"/>
      <c r="F343" s="802"/>
      <c r="G343" s="781"/>
      <c r="H343" s="781"/>
      <c r="I343" s="215" t="s">
        <v>189</v>
      </c>
      <c r="J343" s="216"/>
      <c r="K343" s="872"/>
      <c r="L343" s="873"/>
      <c r="M343" s="793"/>
      <c r="N343" s="837"/>
      <c r="O343" s="838"/>
      <c r="P343" s="837"/>
      <c r="Q343" s="838"/>
      <c r="R343" s="793"/>
      <c r="S343" s="899"/>
      <c r="T343" s="793"/>
      <c r="U343" s="880"/>
      <c r="V343" s="902"/>
      <c r="W343" s="793"/>
      <c r="X343" s="793"/>
      <c r="Y343" s="905"/>
      <c r="Z343" s="1"/>
      <c r="AA343" s="1"/>
      <c r="AB343" s="1"/>
      <c r="AC343" s="1"/>
      <c r="AD343" s="1"/>
      <c r="AE343" s="1"/>
      <c r="AF343" s="1"/>
      <c r="AG343" s="1"/>
      <c r="AH343" s="1"/>
      <c r="AI343" s="1"/>
      <c r="AJ343" s="1"/>
      <c r="AK343" s="1"/>
      <c r="AL343" s="1"/>
      <c r="AM343" s="1"/>
      <c r="AN343" s="1"/>
    </row>
    <row r="344" spans="1:40" ht="15.6" hidden="1" customHeight="1" outlineLevel="1" thickBot="1">
      <c r="A344" s="127"/>
      <c r="B344" s="773"/>
      <c r="C344" s="878"/>
      <c r="D344" s="881"/>
      <c r="E344" s="866"/>
      <c r="F344" s="867"/>
      <c r="G344" s="782"/>
      <c r="H344" s="782"/>
      <c r="I344" s="217" t="s">
        <v>190</v>
      </c>
      <c r="J344" s="218"/>
      <c r="K344" s="874"/>
      <c r="L344" s="875"/>
      <c r="M344" s="794"/>
      <c r="N344" s="863"/>
      <c r="O344" s="864"/>
      <c r="P344" s="863"/>
      <c r="Q344" s="864"/>
      <c r="R344" s="794"/>
      <c r="S344" s="900"/>
      <c r="T344" s="794"/>
      <c r="U344" s="881"/>
      <c r="V344" s="903"/>
      <c r="W344" s="794"/>
      <c r="X344" s="794"/>
      <c r="Y344" s="906"/>
      <c r="Z344" s="1"/>
      <c r="AA344" s="1"/>
      <c r="AB344" s="1"/>
      <c r="AC344" s="1"/>
      <c r="AD344" s="1"/>
      <c r="AE344" s="1"/>
      <c r="AF344" s="1"/>
      <c r="AG344" s="1"/>
      <c r="AH344" s="1"/>
      <c r="AI344" s="1"/>
      <c r="AJ344" s="1"/>
      <c r="AK344" s="1"/>
      <c r="AL344" s="1"/>
      <c r="AM344" s="1"/>
      <c r="AN344" s="1"/>
    </row>
    <row r="345" spans="1:40" ht="15" hidden="1" outlineLevel="1" thickTop="1">
      <c r="A345" s="127"/>
      <c r="B345" s="773"/>
      <c r="C345" s="876"/>
      <c r="D345" s="879"/>
      <c r="E345" s="868"/>
      <c r="F345" s="869"/>
      <c r="G345" s="772"/>
      <c r="H345" s="772"/>
      <c r="I345" s="213" t="s">
        <v>188</v>
      </c>
      <c r="J345" s="214"/>
      <c r="K345" s="870"/>
      <c r="L345" s="871"/>
      <c r="M345" s="792"/>
      <c r="N345" s="835"/>
      <c r="O345" s="836"/>
      <c r="P345" s="835"/>
      <c r="Q345" s="836"/>
      <c r="R345" s="792"/>
      <c r="S345" s="898"/>
      <c r="T345" s="792"/>
      <c r="U345" s="879"/>
      <c r="V345" s="901"/>
      <c r="W345" s="792"/>
      <c r="X345" s="792"/>
      <c r="Y345" s="904"/>
      <c r="Z345" s="1"/>
      <c r="AA345" s="1"/>
      <c r="AB345" s="1"/>
      <c r="AC345" s="1"/>
      <c r="AD345" s="1"/>
      <c r="AE345" s="1"/>
      <c r="AF345" s="1"/>
      <c r="AG345" s="1"/>
      <c r="AH345" s="1"/>
      <c r="AI345" s="1"/>
      <c r="AJ345" s="1"/>
      <c r="AK345" s="1"/>
      <c r="AL345" s="1"/>
      <c r="AM345" s="1"/>
      <c r="AN345" s="1"/>
    </row>
    <row r="346" spans="1:40" hidden="1" outlineLevel="1">
      <c r="A346" s="127"/>
      <c r="B346" s="773"/>
      <c r="C346" s="877"/>
      <c r="D346" s="880"/>
      <c r="E346" s="801"/>
      <c r="F346" s="802"/>
      <c r="G346" s="781"/>
      <c r="H346" s="781"/>
      <c r="I346" s="215" t="s">
        <v>189</v>
      </c>
      <c r="J346" s="216"/>
      <c r="K346" s="872"/>
      <c r="L346" s="873"/>
      <c r="M346" s="793"/>
      <c r="N346" s="837"/>
      <c r="O346" s="838"/>
      <c r="P346" s="837"/>
      <c r="Q346" s="838"/>
      <c r="R346" s="793"/>
      <c r="S346" s="899"/>
      <c r="T346" s="793"/>
      <c r="U346" s="880"/>
      <c r="V346" s="902"/>
      <c r="W346" s="793"/>
      <c r="X346" s="793"/>
      <c r="Y346" s="905"/>
      <c r="Z346" s="1"/>
      <c r="AA346" s="1"/>
      <c r="AB346" s="1"/>
      <c r="AC346" s="1"/>
      <c r="AD346" s="1"/>
      <c r="AE346" s="1"/>
      <c r="AF346" s="1"/>
      <c r="AG346" s="1"/>
      <c r="AH346" s="1"/>
      <c r="AI346" s="1"/>
      <c r="AJ346" s="1"/>
      <c r="AK346" s="1"/>
      <c r="AL346" s="1"/>
      <c r="AM346" s="1"/>
      <c r="AN346" s="1"/>
    </row>
    <row r="347" spans="1:40" ht="15.6" hidden="1" customHeight="1" outlineLevel="1" thickBot="1">
      <c r="A347" s="127"/>
      <c r="B347" s="773"/>
      <c r="C347" s="878"/>
      <c r="D347" s="881"/>
      <c r="E347" s="866"/>
      <c r="F347" s="867"/>
      <c r="G347" s="782"/>
      <c r="H347" s="782"/>
      <c r="I347" s="217" t="s">
        <v>190</v>
      </c>
      <c r="J347" s="218"/>
      <c r="K347" s="874"/>
      <c r="L347" s="875"/>
      <c r="M347" s="794"/>
      <c r="N347" s="863"/>
      <c r="O347" s="864"/>
      <c r="P347" s="863"/>
      <c r="Q347" s="864"/>
      <c r="R347" s="794"/>
      <c r="S347" s="900"/>
      <c r="T347" s="794"/>
      <c r="U347" s="881"/>
      <c r="V347" s="903"/>
      <c r="W347" s="794"/>
      <c r="X347" s="794"/>
      <c r="Y347" s="906"/>
      <c r="Z347" s="1"/>
      <c r="AA347" s="1"/>
      <c r="AB347" s="1"/>
      <c r="AC347" s="1"/>
      <c r="AD347" s="1"/>
      <c r="AE347" s="1"/>
      <c r="AF347" s="1"/>
      <c r="AG347" s="1"/>
      <c r="AH347" s="1"/>
      <c r="AI347" s="1"/>
      <c r="AJ347" s="1"/>
      <c r="AK347" s="1"/>
      <c r="AL347" s="1"/>
      <c r="AM347" s="1"/>
      <c r="AN347" s="1"/>
    </row>
    <row r="348" spans="1:40" ht="15" hidden="1" outlineLevel="1" thickTop="1">
      <c r="A348" s="127"/>
      <c r="B348" s="773"/>
      <c r="C348" s="876"/>
      <c r="D348" s="879"/>
      <c r="E348" s="868"/>
      <c r="F348" s="869"/>
      <c r="G348" s="772"/>
      <c r="H348" s="772"/>
      <c r="I348" s="213" t="s">
        <v>188</v>
      </c>
      <c r="J348" s="214"/>
      <c r="K348" s="870"/>
      <c r="L348" s="871"/>
      <c r="M348" s="792"/>
      <c r="N348" s="835"/>
      <c r="O348" s="836"/>
      <c r="P348" s="835"/>
      <c r="Q348" s="836"/>
      <c r="R348" s="792"/>
      <c r="S348" s="898"/>
      <c r="T348" s="792"/>
      <c r="U348" s="879"/>
      <c r="V348" s="901"/>
      <c r="W348" s="792"/>
      <c r="X348" s="792"/>
      <c r="Y348" s="904"/>
      <c r="Z348" s="1"/>
      <c r="AA348" s="1"/>
      <c r="AB348" s="1"/>
      <c r="AC348" s="1"/>
      <c r="AD348" s="1"/>
      <c r="AE348" s="1"/>
      <c r="AF348" s="1"/>
      <c r="AG348" s="1"/>
      <c r="AH348" s="1"/>
      <c r="AI348" s="1"/>
      <c r="AJ348" s="1"/>
      <c r="AK348" s="1"/>
      <c r="AL348" s="1"/>
      <c r="AM348" s="1"/>
      <c r="AN348" s="1"/>
    </row>
    <row r="349" spans="1:40" hidden="1" outlineLevel="1">
      <c r="A349" s="127"/>
      <c r="B349" s="773"/>
      <c r="C349" s="877"/>
      <c r="D349" s="880"/>
      <c r="E349" s="801"/>
      <c r="F349" s="802"/>
      <c r="G349" s="781"/>
      <c r="H349" s="781"/>
      <c r="I349" s="215" t="s">
        <v>189</v>
      </c>
      <c r="J349" s="216"/>
      <c r="K349" s="872"/>
      <c r="L349" s="873"/>
      <c r="M349" s="793"/>
      <c r="N349" s="837"/>
      <c r="O349" s="838"/>
      <c r="P349" s="837"/>
      <c r="Q349" s="838"/>
      <c r="R349" s="793"/>
      <c r="S349" s="899"/>
      <c r="T349" s="793"/>
      <c r="U349" s="880"/>
      <c r="V349" s="902"/>
      <c r="W349" s="793"/>
      <c r="X349" s="793"/>
      <c r="Y349" s="905"/>
      <c r="Z349" s="1"/>
      <c r="AA349" s="1"/>
      <c r="AB349" s="1"/>
      <c r="AC349" s="1"/>
      <c r="AD349" s="1"/>
      <c r="AE349" s="1"/>
      <c r="AF349" s="1"/>
      <c r="AG349" s="1"/>
      <c r="AH349" s="1"/>
      <c r="AI349" s="1"/>
      <c r="AJ349" s="1"/>
      <c r="AK349" s="1"/>
      <c r="AL349" s="1"/>
      <c r="AM349" s="1"/>
      <c r="AN349" s="1"/>
    </row>
    <row r="350" spans="1:40" ht="15.6" hidden="1" customHeight="1" outlineLevel="1" thickBot="1">
      <c r="A350" s="127"/>
      <c r="B350" s="773"/>
      <c r="C350" s="878"/>
      <c r="D350" s="881"/>
      <c r="E350" s="866"/>
      <c r="F350" s="867"/>
      <c r="G350" s="782"/>
      <c r="H350" s="782"/>
      <c r="I350" s="217" t="s">
        <v>190</v>
      </c>
      <c r="J350" s="218"/>
      <c r="K350" s="874"/>
      <c r="L350" s="875"/>
      <c r="M350" s="794"/>
      <c r="N350" s="863"/>
      <c r="O350" s="864"/>
      <c r="P350" s="863"/>
      <c r="Q350" s="864"/>
      <c r="R350" s="794"/>
      <c r="S350" s="900"/>
      <c r="T350" s="794"/>
      <c r="U350" s="881"/>
      <c r="V350" s="903"/>
      <c r="W350" s="794"/>
      <c r="X350" s="794"/>
      <c r="Y350" s="906"/>
      <c r="Z350" s="1"/>
      <c r="AA350" s="1"/>
      <c r="AB350" s="1"/>
      <c r="AC350" s="1"/>
      <c r="AD350" s="1"/>
      <c r="AE350" s="1"/>
      <c r="AF350" s="1"/>
      <c r="AG350" s="1"/>
      <c r="AH350" s="1"/>
      <c r="AI350" s="1"/>
      <c r="AJ350" s="1"/>
      <c r="AK350" s="1"/>
      <c r="AL350" s="1"/>
      <c r="AM350" s="1"/>
      <c r="AN350" s="1"/>
    </row>
    <row r="351" spans="1:40" ht="15" hidden="1" outlineLevel="1" thickTop="1">
      <c r="A351" s="127"/>
      <c r="B351" s="773"/>
      <c r="C351" s="876"/>
      <c r="D351" s="879"/>
      <c r="E351" s="868"/>
      <c r="F351" s="869"/>
      <c r="G351" s="772"/>
      <c r="H351" s="772"/>
      <c r="I351" s="213" t="s">
        <v>188</v>
      </c>
      <c r="J351" s="214"/>
      <c r="K351" s="870"/>
      <c r="L351" s="871"/>
      <c r="M351" s="792"/>
      <c r="N351" s="835"/>
      <c r="O351" s="836"/>
      <c r="P351" s="835"/>
      <c r="Q351" s="836"/>
      <c r="R351" s="792"/>
      <c r="S351" s="898"/>
      <c r="T351" s="792"/>
      <c r="U351" s="879"/>
      <c r="V351" s="901"/>
      <c r="W351" s="792"/>
      <c r="X351" s="792"/>
      <c r="Y351" s="904"/>
      <c r="Z351" s="1"/>
      <c r="AA351" s="1"/>
      <c r="AB351" s="1"/>
      <c r="AC351" s="1"/>
      <c r="AD351" s="1"/>
      <c r="AE351" s="1"/>
      <c r="AF351" s="1"/>
      <c r="AG351" s="1"/>
      <c r="AH351" s="1"/>
      <c r="AI351" s="1"/>
      <c r="AJ351" s="1"/>
      <c r="AK351" s="1"/>
      <c r="AL351" s="1"/>
      <c r="AM351" s="1"/>
      <c r="AN351" s="1"/>
    </row>
    <row r="352" spans="1:40" hidden="1" outlineLevel="1">
      <c r="A352" s="127"/>
      <c r="B352" s="773"/>
      <c r="C352" s="877"/>
      <c r="D352" s="880"/>
      <c r="E352" s="801"/>
      <c r="F352" s="802"/>
      <c r="G352" s="781"/>
      <c r="H352" s="781"/>
      <c r="I352" s="215" t="s">
        <v>189</v>
      </c>
      <c r="J352" s="216"/>
      <c r="K352" s="872"/>
      <c r="L352" s="873"/>
      <c r="M352" s="793"/>
      <c r="N352" s="837"/>
      <c r="O352" s="838"/>
      <c r="P352" s="837"/>
      <c r="Q352" s="838"/>
      <c r="R352" s="793"/>
      <c r="S352" s="899"/>
      <c r="T352" s="793"/>
      <c r="U352" s="880"/>
      <c r="V352" s="902"/>
      <c r="W352" s="793"/>
      <c r="X352" s="793"/>
      <c r="Y352" s="905"/>
      <c r="Z352" s="1"/>
      <c r="AA352" s="1"/>
      <c r="AB352" s="1"/>
      <c r="AC352" s="1"/>
      <c r="AD352" s="1"/>
      <c r="AE352" s="1"/>
      <c r="AF352" s="1"/>
      <c r="AG352" s="1"/>
      <c r="AH352" s="1"/>
      <c r="AI352" s="1"/>
      <c r="AJ352" s="1"/>
      <c r="AK352" s="1"/>
      <c r="AL352" s="1"/>
      <c r="AM352" s="1"/>
      <c r="AN352" s="1"/>
    </row>
    <row r="353" spans="1:40" ht="15.6" hidden="1" customHeight="1" outlineLevel="1" thickBot="1">
      <c r="A353" s="127"/>
      <c r="B353" s="773"/>
      <c r="C353" s="878"/>
      <c r="D353" s="881"/>
      <c r="E353" s="866"/>
      <c r="F353" s="867"/>
      <c r="G353" s="782"/>
      <c r="H353" s="782"/>
      <c r="I353" s="217" t="s">
        <v>190</v>
      </c>
      <c r="J353" s="218"/>
      <c r="K353" s="874"/>
      <c r="L353" s="875"/>
      <c r="M353" s="794"/>
      <c r="N353" s="863"/>
      <c r="O353" s="864"/>
      <c r="P353" s="863"/>
      <c r="Q353" s="864"/>
      <c r="R353" s="794"/>
      <c r="S353" s="900"/>
      <c r="T353" s="794"/>
      <c r="U353" s="881"/>
      <c r="V353" s="903"/>
      <c r="W353" s="794"/>
      <c r="X353" s="794"/>
      <c r="Y353" s="906"/>
      <c r="Z353" s="1"/>
      <c r="AA353" s="1"/>
      <c r="AB353" s="1"/>
      <c r="AC353" s="1"/>
      <c r="AD353" s="1"/>
      <c r="AE353" s="1"/>
      <c r="AF353" s="1"/>
      <c r="AG353" s="1"/>
      <c r="AH353" s="1"/>
      <c r="AI353" s="1"/>
      <c r="AJ353" s="1"/>
      <c r="AK353" s="1"/>
      <c r="AL353" s="1"/>
      <c r="AM353" s="1"/>
      <c r="AN353" s="1"/>
    </row>
    <row r="354" spans="1:40" ht="15" hidden="1" outlineLevel="1" thickTop="1">
      <c r="A354" s="127"/>
      <c r="B354" s="773"/>
      <c r="C354" s="876"/>
      <c r="D354" s="879"/>
      <c r="E354" s="868"/>
      <c r="F354" s="869"/>
      <c r="G354" s="772"/>
      <c r="H354" s="772"/>
      <c r="I354" s="213" t="s">
        <v>188</v>
      </c>
      <c r="J354" s="214"/>
      <c r="K354" s="870"/>
      <c r="L354" s="871"/>
      <c r="M354" s="792"/>
      <c r="N354" s="835"/>
      <c r="O354" s="836"/>
      <c r="P354" s="835"/>
      <c r="Q354" s="836"/>
      <c r="R354" s="792"/>
      <c r="S354" s="898"/>
      <c r="T354" s="792"/>
      <c r="U354" s="879"/>
      <c r="V354" s="901"/>
      <c r="W354" s="792"/>
      <c r="X354" s="792"/>
      <c r="Y354" s="904"/>
      <c r="Z354" s="1"/>
      <c r="AA354" s="1"/>
      <c r="AB354" s="1"/>
      <c r="AC354" s="1"/>
      <c r="AD354" s="1"/>
      <c r="AE354" s="1"/>
      <c r="AF354" s="1"/>
      <c r="AG354" s="1"/>
      <c r="AH354" s="1"/>
      <c r="AI354" s="1"/>
      <c r="AJ354" s="1"/>
      <c r="AK354" s="1"/>
      <c r="AL354" s="1"/>
      <c r="AM354" s="1"/>
      <c r="AN354" s="1"/>
    </row>
    <row r="355" spans="1:40" hidden="1" outlineLevel="1">
      <c r="A355" s="127"/>
      <c r="B355" s="773"/>
      <c r="C355" s="877"/>
      <c r="D355" s="880"/>
      <c r="E355" s="801"/>
      <c r="F355" s="802"/>
      <c r="G355" s="781"/>
      <c r="H355" s="781"/>
      <c r="I355" s="215" t="s">
        <v>189</v>
      </c>
      <c r="J355" s="216"/>
      <c r="K355" s="872"/>
      <c r="L355" s="873"/>
      <c r="M355" s="793"/>
      <c r="N355" s="837"/>
      <c r="O355" s="838"/>
      <c r="P355" s="837"/>
      <c r="Q355" s="838"/>
      <c r="R355" s="793"/>
      <c r="S355" s="899"/>
      <c r="T355" s="793"/>
      <c r="U355" s="880"/>
      <c r="V355" s="902"/>
      <c r="W355" s="793"/>
      <c r="X355" s="793"/>
      <c r="Y355" s="905"/>
      <c r="Z355" s="1"/>
      <c r="AA355" s="1"/>
      <c r="AB355" s="1"/>
      <c r="AC355" s="1"/>
      <c r="AD355" s="1"/>
      <c r="AE355" s="1"/>
      <c r="AF355" s="1"/>
      <c r="AG355" s="1"/>
      <c r="AH355" s="1"/>
      <c r="AI355" s="1"/>
      <c r="AJ355" s="1"/>
      <c r="AK355" s="1"/>
      <c r="AL355" s="1"/>
      <c r="AM355" s="1"/>
      <c r="AN355" s="1"/>
    </row>
    <row r="356" spans="1:40" ht="15.6" hidden="1" customHeight="1" outlineLevel="1" thickBot="1">
      <c r="A356" s="127"/>
      <c r="B356" s="773"/>
      <c r="C356" s="878"/>
      <c r="D356" s="881"/>
      <c r="E356" s="866"/>
      <c r="F356" s="867"/>
      <c r="G356" s="782"/>
      <c r="H356" s="782"/>
      <c r="I356" s="217" t="s">
        <v>190</v>
      </c>
      <c r="J356" s="218"/>
      <c r="K356" s="874"/>
      <c r="L356" s="875"/>
      <c r="M356" s="794"/>
      <c r="N356" s="863"/>
      <c r="O356" s="864"/>
      <c r="P356" s="863"/>
      <c r="Q356" s="864"/>
      <c r="R356" s="794"/>
      <c r="S356" s="900"/>
      <c r="T356" s="794"/>
      <c r="U356" s="881"/>
      <c r="V356" s="903"/>
      <c r="W356" s="794"/>
      <c r="X356" s="794"/>
      <c r="Y356" s="906"/>
      <c r="Z356" s="1"/>
      <c r="AA356" s="1"/>
      <c r="AB356" s="1"/>
      <c r="AC356" s="1"/>
      <c r="AD356" s="1"/>
      <c r="AE356" s="1"/>
      <c r="AF356" s="1"/>
      <c r="AG356" s="1"/>
      <c r="AH356" s="1"/>
      <c r="AI356" s="1"/>
      <c r="AJ356" s="1"/>
      <c r="AK356" s="1"/>
      <c r="AL356" s="1"/>
      <c r="AM356" s="1"/>
      <c r="AN356" s="1"/>
    </row>
    <row r="357" spans="1:40" ht="15" hidden="1" outlineLevel="1" thickTop="1">
      <c r="A357" s="127"/>
      <c r="B357" s="773"/>
      <c r="C357" s="876"/>
      <c r="D357" s="879"/>
      <c r="E357" s="868"/>
      <c r="F357" s="869"/>
      <c r="G357" s="772"/>
      <c r="H357" s="772"/>
      <c r="I357" s="213" t="s">
        <v>188</v>
      </c>
      <c r="J357" s="214"/>
      <c r="K357" s="870"/>
      <c r="L357" s="871"/>
      <c r="M357" s="792"/>
      <c r="N357" s="835"/>
      <c r="O357" s="836"/>
      <c r="P357" s="835"/>
      <c r="Q357" s="836"/>
      <c r="R357" s="792"/>
      <c r="S357" s="898"/>
      <c r="T357" s="792"/>
      <c r="U357" s="879"/>
      <c r="V357" s="901"/>
      <c r="W357" s="792"/>
      <c r="X357" s="792"/>
      <c r="Y357" s="904"/>
      <c r="Z357" s="1"/>
      <c r="AA357" s="1"/>
      <c r="AB357" s="1"/>
      <c r="AC357" s="1"/>
      <c r="AD357" s="1"/>
      <c r="AE357" s="1"/>
      <c r="AF357" s="1"/>
      <c r="AG357" s="1"/>
      <c r="AH357" s="1"/>
      <c r="AI357" s="1"/>
      <c r="AJ357" s="1"/>
      <c r="AK357" s="1"/>
      <c r="AL357" s="1"/>
      <c r="AM357" s="1"/>
      <c r="AN357" s="1"/>
    </row>
    <row r="358" spans="1:40" hidden="1" outlineLevel="1">
      <c r="A358" s="127"/>
      <c r="B358" s="773"/>
      <c r="C358" s="877"/>
      <c r="D358" s="880"/>
      <c r="E358" s="801"/>
      <c r="F358" s="802"/>
      <c r="G358" s="781"/>
      <c r="H358" s="781"/>
      <c r="I358" s="215" t="s">
        <v>189</v>
      </c>
      <c r="J358" s="216"/>
      <c r="K358" s="872"/>
      <c r="L358" s="873"/>
      <c r="M358" s="793"/>
      <c r="N358" s="837"/>
      <c r="O358" s="838"/>
      <c r="P358" s="837"/>
      <c r="Q358" s="838"/>
      <c r="R358" s="793"/>
      <c r="S358" s="899"/>
      <c r="T358" s="793"/>
      <c r="U358" s="880"/>
      <c r="V358" s="902"/>
      <c r="W358" s="793"/>
      <c r="X358" s="793"/>
      <c r="Y358" s="905"/>
      <c r="Z358" s="1"/>
      <c r="AA358" s="1"/>
      <c r="AB358" s="1"/>
      <c r="AC358" s="1"/>
      <c r="AD358" s="1"/>
      <c r="AE358" s="1"/>
      <c r="AF358" s="1"/>
      <c r="AG358" s="1"/>
      <c r="AH358" s="1"/>
      <c r="AI358" s="1"/>
      <c r="AJ358" s="1"/>
      <c r="AK358" s="1"/>
      <c r="AL358" s="1"/>
      <c r="AM358" s="1"/>
      <c r="AN358" s="1"/>
    </row>
    <row r="359" spans="1:40" ht="15.6" hidden="1" customHeight="1" outlineLevel="1" thickBot="1">
      <c r="A359" s="127"/>
      <c r="B359" s="773"/>
      <c r="C359" s="878"/>
      <c r="D359" s="881"/>
      <c r="E359" s="866"/>
      <c r="F359" s="867"/>
      <c r="G359" s="782"/>
      <c r="H359" s="782"/>
      <c r="I359" s="217" t="s">
        <v>190</v>
      </c>
      <c r="J359" s="218"/>
      <c r="K359" s="874"/>
      <c r="L359" s="875"/>
      <c r="M359" s="794"/>
      <c r="N359" s="863"/>
      <c r="O359" s="864"/>
      <c r="P359" s="863"/>
      <c r="Q359" s="864"/>
      <c r="R359" s="794"/>
      <c r="S359" s="900"/>
      <c r="T359" s="794"/>
      <c r="U359" s="881"/>
      <c r="V359" s="903"/>
      <c r="W359" s="794"/>
      <c r="X359" s="794"/>
      <c r="Y359" s="906"/>
      <c r="Z359" s="1"/>
      <c r="AA359" s="1"/>
      <c r="AB359" s="1"/>
      <c r="AC359" s="1"/>
      <c r="AD359" s="1"/>
      <c r="AE359" s="1"/>
      <c r="AF359" s="1"/>
      <c r="AG359" s="1"/>
      <c r="AH359" s="1"/>
      <c r="AI359" s="1"/>
      <c r="AJ359" s="1"/>
      <c r="AK359" s="1"/>
      <c r="AL359" s="1"/>
      <c r="AM359" s="1"/>
      <c r="AN359" s="1"/>
    </row>
    <row r="360" spans="1:40" ht="15" hidden="1" outlineLevel="1" thickTop="1">
      <c r="A360" s="127"/>
      <c r="B360" s="773"/>
      <c r="C360" s="876"/>
      <c r="D360" s="879"/>
      <c r="E360" s="868"/>
      <c r="F360" s="869"/>
      <c r="G360" s="772"/>
      <c r="H360" s="772"/>
      <c r="I360" s="213" t="s">
        <v>188</v>
      </c>
      <c r="J360" s="214"/>
      <c r="K360" s="870"/>
      <c r="L360" s="871"/>
      <c r="M360" s="792"/>
      <c r="N360" s="835"/>
      <c r="O360" s="836"/>
      <c r="P360" s="835"/>
      <c r="Q360" s="836"/>
      <c r="R360" s="792"/>
      <c r="S360" s="898"/>
      <c r="T360" s="792"/>
      <c r="U360" s="879"/>
      <c r="V360" s="901"/>
      <c r="W360" s="792"/>
      <c r="X360" s="792"/>
      <c r="Y360" s="904"/>
      <c r="Z360" s="1"/>
      <c r="AA360" s="1"/>
      <c r="AB360" s="1"/>
      <c r="AC360" s="1"/>
      <c r="AD360" s="1"/>
      <c r="AE360" s="1"/>
      <c r="AF360" s="1"/>
      <c r="AG360" s="1"/>
      <c r="AH360" s="1"/>
      <c r="AI360" s="1"/>
      <c r="AJ360" s="1"/>
      <c r="AK360" s="1"/>
      <c r="AL360" s="1"/>
      <c r="AM360" s="1"/>
      <c r="AN360" s="1"/>
    </row>
    <row r="361" spans="1:40" hidden="1" outlineLevel="1">
      <c r="A361" s="127"/>
      <c r="B361" s="773"/>
      <c r="C361" s="877"/>
      <c r="D361" s="880"/>
      <c r="E361" s="801"/>
      <c r="F361" s="802"/>
      <c r="G361" s="781"/>
      <c r="H361" s="781"/>
      <c r="I361" s="215" t="s">
        <v>189</v>
      </c>
      <c r="J361" s="216"/>
      <c r="K361" s="872"/>
      <c r="L361" s="873"/>
      <c r="M361" s="793"/>
      <c r="N361" s="837"/>
      <c r="O361" s="838"/>
      <c r="P361" s="837"/>
      <c r="Q361" s="838"/>
      <c r="R361" s="793"/>
      <c r="S361" s="899"/>
      <c r="T361" s="793"/>
      <c r="U361" s="880"/>
      <c r="V361" s="902"/>
      <c r="W361" s="793"/>
      <c r="X361" s="793"/>
      <c r="Y361" s="905"/>
      <c r="Z361" s="1"/>
      <c r="AA361" s="1"/>
      <c r="AB361" s="1"/>
      <c r="AC361" s="1"/>
      <c r="AD361" s="1"/>
      <c r="AE361" s="1"/>
      <c r="AF361" s="1"/>
      <c r="AG361" s="1"/>
      <c r="AH361" s="1"/>
      <c r="AI361" s="1"/>
      <c r="AJ361" s="1"/>
      <c r="AK361" s="1"/>
      <c r="AL361" s="1"/>
      <c r="AM361" s="1"/>
      <c r="AN361" s="1"/>
    </row>
    <row r="362" spans="1:40" ht="15.6" hidden="1" customHeight="1" outlineLevel="1" thickBot="1">
      <c r="A362" s="127"/>
      <c r="B362" s="773"/>
      <c r="C362" s="878"/>
      <c r="D362" s="881"/>
      <c r="E362" s="866"/>
      <c r="F362" s="867"/>
      <c r="G362" s="782"/>
      <c r="H362" s="782"/>
      <c r="I362" s="217" t="s">
        <v>190</v>
      </c>
      <c r="J362" s="218"/>
      <c r="K362" s="874"/>
      <c r="L362" s="875"/>
      <c r="M362" s="794"/>
      <c r="N362" s="863"/>
      <c r="O362" s="864"/>
      <c r="P362" s="863"/>
      <c r="Q362" s="864"/>
      <c r="R362" s="794"/>
      <c r="S362" s="900"/>
      <c r="T362" s="794"/>
      <c r="U362" s="881"/>
      <c r="V362" s="903"/>
      <c r="W362" s="794"/>
      <c r="X362" s="794"/>
      <c r="Y362" s="906"/>
      <c r="Z362" s="1"/>
      <c r="AA362" s="1"/>
      <c r="AB362" s="1"/>
      <c r="AC362" s="1"/>
      <c r="AD362" s="1"/>
      <c r="AE362" s="1"/>
      <c r="AF362" s="1"/>
      <c r="AG362" s="1"/>
      <c r="AH362" s="1"/>
      <c r="AI362" s="1"/>
      <c r="AJ362" s="1"/>
      <c r="AK362" s="1"/>
      <c r="AL362" s="1"/>
      <c r="AM362" s="1"/>
      <c r="AN362" s="1"/>
    </row>
    <row r="363" spans="1:40" ht="15" hidden="1" outlineLevel="1" thickTop="1">
      <c r="A363" s="127"/>
      <c r="B363" s="773"/>
      <c r="C363" s="876"/>
      <c r="D363" s="879"/>
      <c r="E363" s="868"/>
      <c r="F363" s="869"/>
      <c r="G363" s="772"/>
      <c r="H363" s="772"/>
      <c r="I363" s="213" t="s">
        <v>188</v>
      </c>
      <c r="J363" s="214"/>
      <c r="K363" s="870"/>
      <c r="L363" s="871"/>
      <c r="M363" s="792"/>
      <c r="N363" s="835"/>
      <c r="O363" s="836"/>
      <c r="P363" s="835"/>
      <c r="Q363" s="836"/>
      <c r="R363" s="792"/>
      <c r="S363" s="898"/>
      <c r="T363" s="792"/>
      <c r="U363" s="879"/>
      <c r="V363" s="901"/>
      <c r="W363" s="792"/>
      <c r="X363" s="792"/>
      <c r="Y363" s="904"/>
      <c r="Z363" s="1"/>
      <c r="AA363" s="1"/>
      <c r="AB363" s="1"/>
      <c r="AC363" s="1"/>
      <c r="AD363" s="1"/>
      <c r="AE363" s="1"/>
      <c r="AF363" s="1"/>
      <c r="AG363" s="1"/>
      <c r="AH363" s="1"/>
      <c r="AI363" s="1"/>
      <c r="AJ363" s="1"/>
      <c r="AK363" s="1"/>
      <c r="AL363" s="1"/>
      <c r="AM363" s="1"/>
      <c r="AN363" s="1"/>
    </row>
    <row r="364" spans="1:40" hidden="1" outlineLevel="1">
      <c r="A364" s="127"/>
      <c r="B364" s="773"/>
      <c r="C364" s="877"/>
      <c r="D364" s="880"/>
      <c r="E364" s="801"/>
      <c r="F364" s="802"/>
      <c r="G364" s="781"/>
      <c r="H364" s="781"/>
      <c r="I364" s="215" t="s">
        <v>189</v>
      </c>
      <c r="J364" s="216"/>
      <c r="K364" s="872"/>
      <c r="L364" s="873"/>
      <c r="M364" s="793"/>
      <c r="N364" s="837"/>
      <c r="O364" s="838"/>
      <c r="P364" s="837"/>
      <c r="Q364" s="838"/>
      <c r="R364" s="793"/>
      <c r="S364" s="899"/>
      <c r="T364" s="793"/>
      <c r="U364" s="880"/>
      <c r="V364" s="902"/>
      <c r="W364" s="793"/>
      <c r="X364" s="793"/>
      <c r="Y364" s="905"/>
      <c r="Z364" s="1"/>
      <c r="AA364" s="1"/>
      <c r="AB364" s="1"/>
      <c r="AC364" s="1"/>
      <c r="AD364" s="1"/>
      <c r="AE364" s="1"/>
      <c r="AF364" s="1"/>
      <c r="AG364" s="1"/>
      <c r="AH364" s="1"/>
      <c r="AI364" s="1"/>
      <c r="AJ364" s="1"/>
      <c r="AK364" s="1"/>
      <c r="AL364" s="1"/>
      <c r="AM364" s="1"/>
      <c r="AN364" s="1"/>
    </row>
    <row r="365" spans="1:40" ht="15.6" hidden="1" customHeight="1" outlineLevel="1" thickBot="1">
      <c r="A365" s="127"/>
      <c r="B365" s="773"/>
      <c r="C365" s="878"/>
      <c r="D365" s="881"/>
      <c r="E365" s="866"/>
      <c r="F365" s="867"/>
      <c r="G365" s="782"/>
      <c r="H365" s="782"/>
      <c r="I365" s="217" t="s">
        <v>190</v>
      </c>
      <c r="J365" s="218"/>
      <c r="K365" s="874"/>
      <c r="L365" s="875"/>
      <c r="M365" s="794"/>
      <c r="N365" s="863"/>
      <c r="O365" s="864"/>
      <c r="P365" s="863"/>
      <c r="Q365" s="864"/>
      <c r="R365" s="794"/>
      <c r="S365" s="900"/>
      <c r="T365" s="794"/>
      <c r="U365" s="881"/>
      <c r="V365" s="903"/>
      <c r="W365" s="794"/>
      <c r="X365" s="794"/>
      <c r="Y365" s="906"/>
      <c r="Z365" s="1"/>
      <c r="AA365" s="1"/>
      <c r="AB365" s="1"/>
      <c r="AC365" s="1"/>
      <c r="AD365" s="1"/>
      <c r="AE365" s="1"/>
      <c r="AF365" s="1"/>
      <c r="AG365" s="1"/>
      <c r="AH365" s="1"/>
      <c r="AI365" s="1"/>
      <c r="AJ365" s="1"/>
      <c r="AK365" s="1"/>
      <c r="AL365" s="1"/>
      <c r="AM365" s="1"/>
      <c r="AN365" s="1"/>
    </row>
    <row r="366" spans="1:40" ht="15" hidden="1" outlineLevel="1" thickTop="1">
      <c r="A366" s="127"/>
      <c r="B366" s="773"/>
      <c r="C366" s="876"/>
      <c r="D366" s="879"/>
      <c r="E366" s="868"/>
      <c r="F366" s="869"/>
      <c r="G366" s="772"/>
      <c r="H366" s="772"/>
      <c r="I366" s="213" t="s">
        <v>188</v>
      </c>
      <c r="J366" s="214"/>
      <c r="K366" s="870"/>
      <c r="L366" s="871"/>
      <c r="M366" s="792"/>
      <c r="N366" s="835"/>
      <c r="O366" s="836"/>
      <c r="P366" s="835"/>
      <c r="Q366" s="836"/>
      <c r="R366" s="792"/>
      <c r="S366" s="898"/>
      <c r="T366" s="792"/>
      <c r="U366" s="879"/>
      <c r="V366" s="901"/>
      <c r="W366" s="792"/>
      <c r="X366" s="792"/>
      <c r="Y366" s="904"/>
      <c r="Z366" s="1"/>
      <c r="AA366" s="1"/>
      <c r="AB366" s="1"/>
      <c r="AC366" s="1"/>
      <c r="AD366" s="1"/>
      <c r="AE366" s="1"/>
      <c r="AF366" s="1"/>
      <c r="AG366" s="1"/>
      <c r="AH366" s="1"/>
      <c r="AI366" s="1"/>
      <c r="AJ366" s="1"/>
      <c r="AK366" s="1"/>
      <c r="AL366" s="1"/>
      <c r="AM366" s="1"/>
      <c r="AN366" s="1"/>
    </row>
    <row r="367" spans="1:40" hidden="1" outlineLevel="1">
      <c r="A367" s="127"/>
      <c r="B367" s="773"/>
      <c r="C367" s="877"/>
      <c r="D367" s="880"/>
      <c r="E367" s="801"/>
      <c r="F367" s="802"/>
      <c r="G367" s="781"/>
      <c r="H367" s="781"/>
      <c r="I367" s="215" t="s">
        <v>189</v>
      </c>
      <c r="J367" s="216"/>
      <c r="K367" s="872"/>
      <c r="L367" s="873"/>
      <c r="M367" s="793"/>
      <c r="N367" s="837"/>
      <c r="O367" s="838"/>
      <c r="P367" s="837"/>
      <c r="Q367" s="838"/>
      <c r="R367" s="793"/>
      <c r="S367" s="899"/>
      <c r="T367" s="793"/>
      <c r="U367" s="880"/>
      <c r="V367" s="902"/>
      <c r="W367" s="793"/>
      <c r="X367" s="793"/>
      <c r="Y367" s="905"/>
      <c r="Z367" s="1"/>
      <c r="AA367" s="1"/>
      <c r="AB367" s="1"/>
      <c r="AC367" s="1"/>
      <c r="AD367" s="1"/>
      <c r="AE367" s="1"/>
      <c r="AF367" s="1"/>
      <c r="AG367" s="1"/>
      <c r="AH367" s="1"/>
      <c r="AI367" s="1"/>
      <c r="AJ367" s="1"/>
      <c r="AK367" s="1"/>
      <c r="AL367" s="1"/>
      <c r="AM367" s="1"/>
      <c r="AN367" s="1"/>
    </row>
    <row r="368" spans="1:40" ht="15.6" hidden="1" customHeight="1" outlineLevel="1" thickBot="1">
      <c r="A368" s="127"/>
      <c r="B368" s="773"/>
      <c r="C368" s="878"/>
      <c r="D368" s="881"/>
      <c r="E368" s="866"/>
      <c r="F368" s="867"/>
      <c r="G368" s="782"/>
      <c r="H368" s="782"/>
      <c r="I368" s="217" t="s">
        <v>190</v>
      </c>
      <c r="J368" s="218"/>
      <c r="K368" s="874"/>
      <c r="L368" s="875"/>
      <c r="M368" s="794"/>
      <c r="N368" s="863"/>
      <c r="O368" s="864"/>
      <c r="P368" s="863"/>
      <c r="Q368" s="864"/>
      <c r="R368" s="794"/>
      <c r="S368" s="900"/>
      <c r="T368" s="794"/>
      <c r="U368" s="881"/>
      <c r="V368" s="903"/>
      <c r="W368" s="794"/>
      <c r="X368" s="794"/>
      <c r="Y368" s="906"/>
      <c r="Z368" s="1"/>
      <c r="AA368" s="1"/>
      <c r="AB368" s="1"/>
      <c r="AC368" s="1"/>
      <c r="AD368" s="1"/>
      <c r="AE368" s="1"/>
      <c r="AF368" s="1"/>
      <c r="AG368" s="1"/>
      <c r="AH368" s="1"/>
      <c r="AI368" s="1"/>
      <c r="AJ368" s="1"/>
      <c r="AK368" s="1"/>
      <c r="AL368" s="1"/>
      <c r="AM368" s="1"/>
      <c r="AN368" s="1"/>
    </row>
    <row r="369" spans="1:40" ht="15" hidden="1" outlineLevel="1" thickTop="1">
      <c r="A369" s="127"/>
      <c r="B369" s="773"/>
      <c r="C369" s="876"/>
      <c r="D369" s="879"/>
      <c r="E369" s="868"/>
      <c r="F369" s="869"/>
      <c r="G369" s="772"/>
      <c r="H369" s="772"/>
      <c r="I369" s="213" t="s">
        <v>188</v>
      </c>
      <c r="J369" s="214"/>
      <c r="K369" s="870"/>
      <c r="L369" s="871"/>
      <c r="M369" s="792"/>
      <c r="N369" s="835"/>
      <c r="O369" s="836"/>
      <c r="P369" s="835"/>
      <c r="Q369" s="836"/>
      <c r="R369" s="792"/>
      <c r="S369" s="898"/>
      <c r="T369" s="792"/>
      <c r="U369" s="879"/>
      <c r="V369" s="901"/>
      <c r="W369" s="792"/>
      <c r="X369" s="792"/>
      <c r="Y369" s="904"/>
      <c r="Z369" s="1"/>
      <c r="AA369" s="1"/>
      <c r="AB369" s="1"/>
      <c r="AC369" s="1"/>
      <c r="AD369" s="1"/>
      <c r="AE369" s="1"/>
      <c r="AF369" s="1"/>
      <c r="AG369" s="1"/>
      <c r="AH369" s="1"/>
      <c r="AI369" s="1"/>
      <c r="AJ369" s="1"/>
      <c r="AK369" s="1"/>
      <c r="AL369" s="1"/>
      <c r="AM369" s="1"/>
      <c r="AN369" s="1"/>
    </row>
    <row r="370" spans="1:40" hidden="1" outlineLevel="1">
      <c r="A370" s="127"/>
      <c r="B370" s="773"/>
      <c r="C370" s="877"/>
      <c r="D370" s="880"/>
      <c r="E370" s="801"/>
      <c r="F370" s="802"/>
      <c r="G370" s="781"/>
      <c r="H370" s="781"/>
      <c r="I370" s="215" t="s">
        <v>189</v>
      </c>
      <c r="J370" s="216"/>
      <c r="K370" s="872"/>
      <c r="L370" s="873"/>
      <c r="M370" s="793"/>
      <c r="N370" s="837"/>
      <c r="O370" s="838"/>
      <c r="P370" s="837"/>
      <c r="Q370" s="838"/>
      <c r="R370" s="793"/>
      <c r="S370" s="899"/>
      <c r="T370" s="793"/>
      <c r="U370" s="880"/>
      <c r="V370" s="902"/>
      <c r="W370" s="793"/>
      <c r="X370" s="793"/>
      <c r="Y370" s="905"/>
      <c r="Z370" s="1"/>
      <c r="AA370" s="1"/>
      <c r="AB370" s="1"/>
      <c r="AC370" s="1"/>
      <c r="AD370" s="1"/>
      <c r="AE370" s="1"/>
      <c r="AF370" s="1"/>
      <c r="AG370" s="1"/>
      <c r="AH370" s="1"/>
      <c r="AI370" s="1"/>
      <c r="AJ370" s="1"/>
      <c r="AK370" s="1"/>
      <c r="AL370" s="1"/>
      <c r="AM370" s="1"/>
      <c r="AN370" s="1"/>
    </row>
    <row r="371" spans="1:40" ht="15.6" hidden="1" customHeight="1" outlineLevel="1" thickBot="1">
      <c r="A371" s="127"/>
      <c r="B371" s="773"/>
      <c r="C371" s="878"/>
      <c r="D371" s="881"/>
      <c r="E371" s="866"/>
      <c r="F371" s="867"/>
      <c r="G371" s="782"/>
      <c r="H371" s="782"/>
      <c r="I371" s="217" t="s">
        <v>190</v>
      </c>
      <c r="J371" s="218"/>
      <c r="K371" s="874"/>
      <c r="L371" s="875"/>
      <c r="M371" s="794"/>
      <c r="N371" s="863"/>
      <c r="O371" s="864"/>
      <c r="P371" s="863"/>
      <c r="Q371" s="864"/>
      <c r="R371" s="794"/>
      <c r="S371" s="900"/>
      <c r="T371" s="794"/>
      <c r="U371" s="881"/>
      <c r="V371" s="903"/>
      <c r="W371" s="794"/>
      <c r="X371" s="794"/>
      <c r="Y371" s="906"/>
      <c r="Z371" s="1"/>
      <c r="AA371" s="1"/>
      <c r="AB371" s="1"/>
      <c r="AC371" s="1"/>
      <c r="AD371" s="1"/>
      <c r="AE371" s="1"/>
      <c r="AF371" s="1"/>
      <c r="AG371" s="1"/>
      <c r="AH371" s="1"/>
      <c r="AI371" s="1"/>
      <c r="AJ371" s="1"/>
      <c r="AK371" s="1"/>
      <c r="AL371" s="1"/>
      <c r="AM371" s="1"/>
      <c r="AN371" s="1"/>
    </row>
    <row r="372" spans="1:40" ht="15" hidden="1" outlineLevel="1" thickTop="1">
      <c r="A372" s="127"/>
      <c r="B372" s="773"/>
      <c r="C372" s="876"/>
      <c r="D372" s="879"/>
      <c r="E372" s="868"/>
      <c r="F372" s="869"/>
      <c r="G372" s="772"/>
      <c r="H372" s="772"/>
      <c r="I372" s="213" t="s">
        <v>188</v>
      </c>
      <c r="J372" s="214"/>
      <c r="K372" s="870"/>
      <c r="L372" s="871"/>
      <c r="M372" s="792"/>
      <c r="N372" s="835"/>
      <c r="O372" s="836"/>
      <c r="P372" s="835"/>
      <c r="Q372" s="836"/>
      <c r="R372" s="792"/>
      <c r="S372" s="898"/>
      <c r="T372" s="792"/>
      <c r="U372" s="879"/>
      <c r="V372" s="901"/>
      <c r="W372" s="792"/>
      <c r="X372" s="792"/>
      <c r="Y372" s="904"/>
      <c r="Z372" s="1"/>
      <c r="AA372" s="1"/>
      <c r="AB372" s="1"/>
      <c r="AC372" s="1"/>
      <c r="AD372" s="1"/>
      <c r="AE372" s="1"/>
      <c r="AF372" s="1"/>
      <c r="AG372" s="1"/>
      <c r="AH372" s="1"/>
      <c r="AI372" s="1"/>
      <c r="AJ372" s="1"/>
      <c r="AK372" s="1"/>
      <c r="AL372" s="1"/>
      <c r="AM372" s="1"/>
      <c r="AN372" s="1"/>
    </row>
    <row r="373" spans="1:40" hidden="1" outlineLevel="1">
      <c r="A373" s="127"/>
      <c r="B373" s="773"/>
      <c r="C373" s="877"/>
      <c r="D373" s="880"/>
      <c r="E373" s="801"/>
      <c r="F373" s="802"/>
      <c r="G373" s="781"/>
      <c r="H373" s="781"/>
      <c r="I373" s="215" t="s">
        <v>189</v>
      </c>
      <c r="J373" s="216"/>
      <c r="K373" s="872"/>
      <c r="L373" s="873"/>
      <c r="M373" s="793"/>
      <c r="N373" s="837"/>
      <c r="O373" s="838"/>
      <c r="P373" s="837"/>
      <c r="Q373" s="838"/>
      <c r="R373" s="793"/>
      <c r="S373" s="899"/>
      <c r="T373" s="793"/>
      <c r="U373" s="880"/>
      <c r="V373" s="902"/>
      <c r="W373" s="793"/>
      <c r="X373" s="793"/>
      <c r="Y373" s="905"/>
      <c r="Z373" s="1"/>
      <c r="AA373" s="1"/>
      <c r="AB373" s="1"/>
      <c r="AC373" s="1"/>
      <c r="AD373" s="1"/>
      <c r="AE373" s="1"/>
      <c r="AF373" s="1"/>
      <c r="AG373" s="1"/>
      <c r="AH373" s="1"/>
      <c r="AI373" s="1"/>
      <c r="AJ373" s="1"/>
      <c r="AK373" s="1"/>
      <c r="AL373" s="1"/>
      <c r="AM373" s="1"/>
      <c r="AN373" s="1"/>
    </row>
    <row r="374" spans="1:40" ht="15.6" hidden="1" customHeight="1" outlineLevel="1" thickBot="1">
      <c r="A374" s="127"/>
      <c r="B374" s="773"/>
      <c r="C374" s="878"/>
      <c r="D374" s="881"/>
      <c r="E374" s="866"/>
      <c r="F374" s="867"/>
      <c r="G374" s="782"/>
      <c r="H374" s="782"/>
      <c r="I374" s="217" t="s">
        <v>190</v>
      </c>
      <c r="J374" s="218"/>
      <c r="K374" s="874"/>
      <c r="L374" s="875"/>
      <c r="M374" s="794"/>
      <c r="N374" s="863"/>
      <c r="O374" s="864"/>
      <c r="P374" s="863"/>
      <c r="Q374" s="864"/>
      <c r="R374" s="794"/>
      <c r="S374" s="900"/>
      <c r="T374" s="794"/>
      <c r="U374" s="881"/>
      <c r="V374" s="903"/>
      <c r="W374" s="794"/>
      <c r="X374" s="794"/>
      <c r="Y374" s="906"/>
      <c r="Z374" s="1"/>
      <c r="AA374" s="1"/>
      <c r="AB374" s="1"/>
      <c r="AC374" s="1"/>
      <c r="AD374" s="1"/>
      <c r="AE374" s="1"/>
      <c r="AF374" s="1"/>
      <c r="AG374" s="1"/>
      <c r="AH374" s="1"/>
      <c r="AI374" s="1"/>
      <c r="AJ374" s="1"/>
      <c r="AK374" s="1"/>
      <c r="AL374" s="1"/>
      <c r="AM374" s="1"/>
      <c r="AN374" s="1"/>
    </row>
    <row r="375" spans="1:40" ht="15" hidden="1" outlineLevel="1" thickTop="1">
      <c r="A375" s="127"/>
      <c r="B375" s="773"/>
      <c r="C375" s="776"/>
      <c r="D375" s="761"/>
      <c r="E375" s="882"/>
      <c r="F375" s="882"/>
      <c r="G375" s="853"/>
      <c r="H375" s="854"/>
      <c r="I375" s="219" t="s">
        <v>188</v>
      </c>
      <c r="J375" s="220"/>
      <c r="K375" s="851"/>
      <c r="L375" s="852"/>
      <c r="M375" s="792"/>
      <c r="N375" s="851"/>
      <c r="O375" s="852"/>
      <c r="P375" s="835"/>
      <c r="Q375" s="836"/>
      <c r="R375" s="889"/>
      <c r="S375" s="792"/>
      <c r="T375" s="795"/>
      <c r="U375" s="889"/>
      <c r="V375" s="889"/>
      <c r="W375" s="795"/>
      <c r="X375" s="792"/>
      <c r="Y375" s="907"/>
      <c r="Z375" s="1"/>
      <c r="AA375" s="1"/>
      <c r="AB375" s="1"/>
      <c r="AC375" s="1"/>
      <c r="AD375" s="1"/>
      <c r="AE375" s="1"/>
      <c r="AF375" s="1"/>
      <c r="AG375" s="1"/>
      <c r="AH375" s="1"/>
      <c r="AI375" s="1"/>
      <c r="AJ375" s="1"/>
      <c r="AK375" s="1"/>
      <c r="AL375" s="1"/>
      <c r="AM375" s="1"/>
      <c r="AN375" s="1"/>
    </row>
    <row r="376" spans="1:40" ht="15.6" hidden="1" customHeight="1" outlineLevel="1">
      <c r="A376" s="127"/>
      <c r="B376" s="773"/>
      <c r="C376" s="776"/>
      <c r="D376" s="761"/>
      <c r="E376" s="883"/>
      <c r="F376" s="883"/>
      <c r="G376" s="853"/>
      <c r="H376" s="854"/>
      <c r="I376" s="215" t="s">
        <v>189</v>
      </c>
      <c r="J376" s="216"/>
      <c r="K376" s="853"/>
      <c r="L376" s="854"/>
      <c r="M376" s="793"/>
      <c r="N376" s="853"/>
      <c r="O376" s="854"/>
      <c r="P376" s="837"/>
      <c r="Q376" s="838"/>
      <c r="R376" s="761"/>
      <c r="S376" s="793"/>
      <c r="T376" s="796"/>
      <c r="U376" s="761"/>
      <c r="V376" s="761"/>
      <c r="W376" s="796"/>
      <c r="X376" s="793"/>
      <c r="Y376" s="908"/>
      <c r="Z376" s="1"/>
      <c r="AA376" s="1"/>
      <c r="AB376" s="1"/>
      <c r="AC376" s="1"/>
      <c r="AD376" s="1"/>
      <c r="AE376" s="1"/>
      <c r="AF376" s="1"/>
      <c r="AG376" s="1"/>
      <c r="AH376" s="1"/>
      <c r="AI376" s="1"/>
      <c r="AJ376" s="1"/>
      <c r="AK376" s="1"/>
      <c r="AL376" s="1"/>
      <c r="AM376" s="1"/>
      <c r="AN376" s="1"/>
    </row>
    <row r="377" spans="1:40" ht="15.6" hidden="1" customHeight="1" outlineLevel="1" thickBot="1">
      <c r="A377" s="127"/>
      <c r="B377" s="588"/>
      <c r="C377" s="777"/>
      <c r="D377" s="888"/>
      <c r="E377" s="846"/>
      <c r="F377" s="846"/>
      <c r="G377" s="855"/>
      <c r="H377" s="856"/>
      <c r="I377" s="217" t="s">
        <v>190</v>
      </c>
      <c r="J377" s="218"/>
      <c r="K377" s="855"/>
      <c r="L377" s="856"/>
      <c r="M377" s="794"/>
      <c r="N377" s="855"/>
      <c r="O377" s="856"/>
      <c r="P377" s="863"/>
      <c r="Q377" s="864"/>
      <c r="R377" s="888"/>
      <c r="S377" s="794"/>
      <c r="T377" s="797"/>
      <c r="U377" s="888"/>
      <c r="V377" s="888"/>
      <c r="W377" s="797"/>
      <c r="X377" s="794"/>
      <c r="Y377" s="909"/>
      <c r="Z377" s="1"/>
      <c r="AA377" s="1"/>
      <c r="AB377" s="1"/>
      <c r="AC377" s="1"/>
      <c r="AD377" s="1"/>
      <c r="AE377" s="1"/>
      <c r="AF377" s="1"/>
      <c r="AG377" s="1"/>
      <c r="AH377" s="1"/>
      <c r="AI377" s="1"/>
      <c r="AJ377" s="1"/>
      <c r="AK377" s="1"/>
      <c r="AL377" s="1"/>
      <c r="AM377" s="1"/>
      <c r="AN377" s="1"/>
    </row>
    <row r="378" spans="1:40" ht="15.6" hidden="1" customHeight="1" outlineLevel="1" thickTop="1">
      <c r="A378" s="127"/>
      <c r="B378" s="127"/>
      <c r="C378" s="127"/>
      <c r="D378" s="127"/>
      <c r="E378" s="127"/>
      <c r="F378" s="127"/>
      <c r="G378" s="127"/>
      <c r="H378" s="127"/>
      <c r="I378" s="127"/>
      <c r="J378" s="127"/>
      <c r="K378" s="127"/>
      <c r="L378" s="127"/>
      <c r="M378" s="127"/>
      <c r="N378" s="127"/>
      <c r="O378" s="127"/>
      <c r="P378" s="127"/>
      <c r="Q378" s="127"/>
      <c r="R378" s="127"/>
      <c r="S378" s="127"/>
      <c r="T378" s="127"/>
      <c r="U378" s="938" t="s">
        <v>191</v>
      </c>
      <c r="V378" s="940">
        <f>SUM(V78:V377)</f>
        <v>0</v>
      </c>
      <c r="W378" s="127"/>
      <c r="X378" s="127"/>
      <c r="Y378" s="127"/>
      <c r="Z378" s="1"/>
      <c r="AA378" s="1"/>
      <c r="AB378" s="1"/>
      <c r="AC378" s="1"/>
      <c r="AD378" s="1"/>
      <c r="AE378" s="1"/>
      <c r="AF378" s="1"/>
      <c r="AG378" s="1"/>
      <c r="AH378" s="1"/>
      <c r="AI378" s="1"/>
      <c r="AJ378" s="1"/>
      <c r="AK378" s="1"/>
      <c r="AL378" s="1"/>
      <c r="AM378" s="1"/>
      <c r="AN378" s="1"/>
    </row>
    <row r="379" spans="1:40" ht="15.6" hidden="1" customHeight="1" outlineLevel="1">
      <c r="A379" s="127"/>
      <c r="B379" s="127"/>
      <c r="C379" s="127"/>
      <c r="D379" s="127"/>
      <c r="E379" s="127"/>
      <c r="F379" s="127"/>
      <c r="G379" s="127"/>
      <c r="H379" s="127"/>
      <c r="I379" s="127"/>
      <c r="J379" s="127"/>
      <c r="K379" s="127"/>
      <c r="L379" s="127"/>
      <c r="M379" s="127"/>
      <c r="N379" s="127"/>
      <c r="O379" s="127"/>
      <c r="P379" s="127"/>
      <c r="Q379" s="127"/>
      <c r="R379" s="127"/>
      <c r="S379" s="127"/>
      <c r="T379" s="127"/>
      <c r="U379" s="939"/>
      <c r="V379" s="941"/>
      <c r="W379" s="127"/>
      <c r="X379" s="127"/>
      <c r="Y379" s="127"/>
      <c r="Z379" s="1"/>
      <c r="AA379" s="1"/>
      <c r="AB379" s="1"/>
      <c r="AC379" s="1"/>
      <c r="AD379" s="1"/>
      <c r="AE379" s="1"/>
      <c r="AF379" s="1"/>
      <c r="AG379" s="1"/>
      <c r="AH379" s="1"/>
      <c r="AI379" s="1"/>
      <c r="AJ379" s="1"/>
      <c r="AK379" s="1"/>
      <c r="AL379" s="1"/>
      <c r="AM379" s="1"/>
      <c r="AN379" s="1"/>
    </row>
    <row r="380" spans="1:40" ht="15.6" customHeight="1" collapsed="1" thickTop="1">
      <c r="A380" s="937"/>
      <c r="B380" s="689" t="s">
        <v>192</v>
      </c>
      <c r="C380" s="689"/>
      <c r="D380" s="127"/>
      <c r="E380" s="127"/>
      <c r="F380" s="127"/>
      <c r="G380" s="127"/>
      <c r="H380" s="127"/>
      <c r="I380" s="127"/>
      <c r="J380" s="127"/>
      <c r="K380" s="127"/>
      <c r="L380" s="127"/>
      <c r="M380" s="127"/>
      <c r="N380" s="127"/>
      <c r="O380" s="127"/>
      <c r="P380" s="127"/>
      <c r="Q380" s="127"/>
      <c r="R380" s="127"/>
      <c r="S380" s="127"/>
      <c r="T380" s="127"/>
      <c r="U380" s="939"/>
      <c r="V380" s="941"/>
      <c r="W380" s="127"/>
      <c r="X380" s="127"/>
      <c r="Y380" s="127"/>
      <c r="Z380" s="1"/>
      <c r="AA380" s="1"/>
      <c r="AB380" s="1"/>
      <c r="AC380" s="1"/>
      <c r="AD380" s="1"/>
      <c r="AE380" s="1"/>
      <c r="AF380" s="1"/>
      <c r="AG380" s="1"/>
      <c r="AH380" s="1"/>
      <c r="AI380" s="1"/>
      <c r="AJ380" s="1"/>
      <c r="AK380" s="1"/>
      <c r="AL380" s="1"/>
      <c r="AM380" s="1"/>
      <c r="AN380" s="1"/>
    </row>
    <row r="381" spans="1:40" ht="15" thickBot="1">
      <c r="A381" s="937"/>
      <c r="B381" s="942"/>
      <c r="C381" s="942"/>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
      <c r="AA381" s="1"/>
      <c r="AB381" s="1"/>
      <c r="AC381" s="1"/>
      <c r="AD381" s="1"/>
      <c r="AE381" s="1"/>
      <c r="AF381" s="1"/>
      <c r="AG381" s="1"/>
      <c r="AH381" s="1"/>
      <c r="AI381" s="1"/>
      <c r="AJ381" s="1"/>
      <c r="AK381" s="1"/>
      <c r="AL381" s="1"/>
      <c r="AM381" s="1"/>
      <c r="AN381" s="1"/>
    </row>
    <row r="382" spans="1:40" ht="15.6" customHeight="1" thickTop="1" thickBot="1">
      <c r="A382" s="127"/>
      <c r="B382" s="574" t="s">
        <v>1572</v>
      </c>
      <c r="C382" s="585"/>
      <c r="D382" s="585"/>
      <c r="E382" s="585"/>
      <c r="F382" s="585"/>
      <c r="G382" s="585"/>
      <c r="H382" s="585"/>
      <c r="I382" s="585"/>
      <c r="J382" s="585"/>
      <c r="K382" s="585"/>
      <c r="L382" s="585"/>
      <c r="M382" s="585"/>
      <c r="N382" s="585"/>
      <c r="O382" s="585"/>
      <c r="P382" s="585"/>
      <c r="Q382" s="585"/>
      <c r="R382" s="585"/>
      <c r="S382" s="585"/>
      <c r="T382" s="585"/>
      <c r="U382" s="585"/>
      <c r="V382" s="585"/>
      <c r="W382" s="585"/>
      <c r="X382" s="585"/>
      <c r="Y382" s="586"/>
      <c r="Z382" s="1"/>
      <c r="AA382" s="1"/>
      <c r="AB382" s="1"/>
      <c r="AC382" s="1"/>
      <c r="AD382" s="1"/>
      <c r="AE382" s="1"/>
      <c r="AF382" s="1"/>
      <c r="AG382" s="1"/>
      <c r="AH382" s="1"/>
      <c r="AI382" s="1"/>
      <c r="AJ382" s="1"/>
      <c r="AK382" s="1"/>
      <c r="AL382" s="1"/>
      <c r="AM382" s="1"/>
      <c r="AN382" s="1"/>
    </row>
    <row r="383" spans="1:40" ht="15" customHeight="1" thickTop="1">
      <c r="A383" s="127"/>
      <c r="B383" s="890"/>
      <c r="C383" s="773" t="s">
        <v>1562</v>
      </c>
      <c r="D383" s="773" t="s">
        <v>1563</v>
      </c>
      <c r="E383" s="773" t="s">
        <v>1564</v>
      </c>
      <c r="F383" s="773"/>
      <c r="G383" s="774" t="s">
        <v>1565</v>
      </c>
      <c r="H383" s="774"/>
      <c r="I383" s="774" t="s">
        <v>1566</v>
      </c>
      <c r="J383" s="774"/>
      <c r="K383" s="892" t="s">
        <v>1567</v>
      </c>
      <c r="L383" s="893"/>
      <c r="M383" s="774" t="s">
        <v>1569</v>
      </c>
      <c r="N383" s="774" t="s">
        <v>1570</v>
      </c>
      <c r="O383" s="774"/>
      <c r="P383" s="774" t="s">
        <v>179</v>
      </c>
      <c r="Q383" s="774"/>
      <c r="R383" s="774" t="s">
        <v>180</v>
      </c>
      <c r="S383" s="774" t="s">
        <v>1573</v>
      </c>
      <c r="T383" s="774" t="s">
        <v>182</v>
      </c>
      <c r="U383" s="774" t="s">
        <v>183</v>
      </c>
      <c r="V383" s="774" t="s">
        <v>1571</v>
      </c>
      <c r="W383" s="774" t="s">
        <v>1574</v>
      </c>
      <c r="X383" s="774" t="s">
        <v>1575</v>
      </c>
      <c r="Y383" s="774" t="s">
        <v>1576</v>
      </c>
      <c r="Z383" s="1"/>
      <c r="AA383" s="1"/>
      <c r="AB383" s="1"/>
      <c r="AC383" s="1"/>
      <c r="AD383" s="1"/>
      <c r="AE383" s="1"/>
      <c r="AF383" s="1"/>
      <c r="AG383" s="1"/>
      <c r="AH383" s="1"/>
      <c r="AI383" s="1"/>
      <c r="AJ383" s="1"/>
      <c r="AK383" s="1"/>
      <c r="AL383" s="1"/>
      <c r="AM383" s="1"/>
      <c r="AN383" s="1"/>
    </row>
    <row r="384" spans="1:40" ht="47.1" customHeight="1" thickBot="1">
      <c r="A384" s="127"/>
      <c r="B384" s="891"/>
      <c r="C384" s="773"/>
      <c r="D384" s="773"/>
      <c r="E384" s="773"/>
      <c r="F384" s="773"/>
      <c r="G384" s="774"/>
      <c r="H384" s="774"/>
      <c r="I384" s="774"/>
      <c r="J384" s="774"/>
      <c r="K384" s="892"/>
      <c r="L384" s="893"/>
      <c r="M384" s="774"/>
      <c r="N384" s="774"/>
      <c r="O384" s="774"/>
      <c r="P384" s="774"/>
      <c r="Q384" s="774"/>
      <c r="R384" s="774"/>
      <c r="S384" s="774"/>
      <c r="T384" s="774"/>
      <c r="U384" s="774"/>
      <c r="V384" s="774"/>
      <c r="W384" s="774"/>
      <c r="X384" s="774"/>
      <c r="Y384" s="774"/>
      <c r="Z384" s="1"/>
      <c r="AA384" s="1"/>
      <c r="AB384" s="1"/>
      <c r="AC384" s="1"/>
      <c r="AD384" s="1"/>
      <c r="AE384" s="1"/>
      <c r="AF384" s="1"/>
      <c r="AG384" s="1"/>
      <c r="AH384" s="1"/>
      <c r="AI384" s="1"/>
      <c r="AJ384" s="1"/>
      <c r="AK384" s="1"/>
      <c r="AL384" s="1"/>
      <c r="AM384" s="1"/>
      <c r="AN384" s="1"/>
    </row>
    <row r="385" spans="1:40" ht="14.45" customHeight="1" thickTop="1">
      <c r="A385" s="127"/>
      <c r="B385" s="848" t="s">
        <v>1577</v>
      </c>
      <c r="C385" s="764"/>
      <c r="D385" s="889"/>
      <c r="E385" s="865"/>
      <c r="F385" s="865"/>
      <c r="G385" s="851"/>
      <c r="H385" s="852"/>
      <c r="I385" s="213" t="s">
        <v>188</v>
      </c>
      <c r="J385" s="214"/>
      <c r="K385" s="835"/>
      <c r="L385" s="836"/>
      <c r="M385" s="792"/>
      <c r="N385" s="851"/>
      <c r="O385" s="852"/>
      <c r="P385" s="835"/>
      <c r="Q385" s="836"/>
      <c r="R385" s="889"/>
      <c r="S385" s="792"/>
      <c r="T385" s="792"/>
      <c r="U385" s="889"/>
      <c r="V385" s="910"/>
      <c r="W385" s="889"/>
      <c r="X385" s="792"/>
      <c r="Y385" s="907"/>
      <c r="Z385" s="1"/>
      <c r="AA385" s="1"/>
      <c r="AB385" s="1"/>
      <c r="AC385" s="1"/>
      <c r="AD385" s="1"/>
      <c r="AE385" s="1"/>
      <c r="AF385" s="1"/>
      <c r="AG385" s="1"/>
      <c r="AH385" s="1"/>
      <c r="AI385" s="1"/>
      <c r="AJ385" s="1"/>
      <c r="AK385" s="1"/>
      <c r="AL385" s="1"/>
      <c r="AM385" s="1"/>
      <c r="AN385" s="1"/>
    </row>
    <row r="386" spans="1:40" ht="15.6" customHeight="1">
      <c r="A386" s="127"/>
      <c r="B386" s="849"/>
      <c r="C386" s="765"/>
      <c r="D386" s="761"/>
      <c r="E386" s="883"/>
      <c r="F386" s="883"/>
      <c r="G386" s="853"/>
      <c r="H386" s="854"/>
      <c r="I386" s="215" t="s">
        <v>189</v>
      </c>
      <c r="J386" s="216"/>
      <c r="K386" s="837"/>
      <c r="L386" s="838"/>
      <c r="M386" s="793"/>
      <c r="N386" s="853"/>
      <c r="O386" s="854"/>
      <c r="P386" s="837"/>
      <c r="Q386" s="838"/>
      <c r="R386" s="761"/>
      <c r="S386" s="793"/>
      <c r="T386" s="793"/>
      <c r="U386" s="761"/>
      <c r="V386" s="911"/>
      <c r="W386" s="761"/>
      <c r="X386" s="793"/>
      <c r="Y386" s="908"/>
      <c r="Z386" s="1"/>
      <c r="AA386" s="1"/>
      <c r="AB386" s="1"/>
      <c r="AC386" s="1"/>
      <c r="AD386" s="1"/>
      <c r="AE386" s="1"/>
      <c r="AF386" s="1"/>
      <c r="AG386" s="1"/>
      <c r="AH386" s="1"/>
      <c r="AI386" s="1"/>
      <c r="AJ386" s="1"/>
      <c r="AK386" s="1"/>
      <c r="AL386" s="1"/>
      <c r="AM386" s="1"/>
      <c r="AN386" s="1"/>
    </row>
    <row r="387" spans="1:40" ht="15.6" customHeight="1" thickBot="1">
      <c r="A387" s="127"/>
      <c r="B387" s="849"/>
      <c r="C387" s="766"/>
      <c r="D387" s="888"/>
      <c r="E387" s="846"/>
      <c r="F387" s="846"/>
      <c r="G387" s="855"/>
      <c r="H387" s="856"/>
      <c r="I387" s="217" t="s">
        <v>190</v>
      </c>
      <c r="J387" s="218"/>
      <c r="K387" s="863"/>
      <c r="L387" s="864"/>
      <c r="M387" s="794"/>
      <c r="N387" s="855"/>
      <c r="O387" s="856"/>
      <c r="P387" s="863"/>
      <c r="Q387" s="864"/>
      <c r="R387" s="888"/>
      <c r="S387" s="794"/>
      <c r="T387" s="794"/>
      <c r="U387" s="888"/>
      <c r="V387" s="912"/>
      <c r="W387" s="888"/>
      <c r="X387" s="794"/>
      <c r="Y387" s="909"/>
      <c r="Z387" s="1"/>
      <c r="AA387" s="1"/>
      <c r="AB387" s="1"/>
      <c r="AC387" s="1"/>
      <c r="AD387" s="1"/>
      <c r="AE387" s="1"/>
      <c r="AF387" s="1"/>
      <c r="AG387" s="1"/>
      <c r="AH387" s="1"/>
      <c r="AI387" s="1"/>
      <c r="AJ387" s="1"/>
      <c r="AK387" s="1"/>
      <c r="AL387" s="1"/>
      <c r="AM387" s="1"/>
      <c r="AN387" s="1"/>
    </row>
    <row r="388" spans="1:40" ht="15" thickTop="1">
      <c r="A388" s="127"/>
      <c r="B388" s="849"/>
      <c r="C388" s="764"/>
      <c r="D388" s="761"/>
      <c r="E388" s="882"/>
      <c r="F388" s="882"/>
      <c r="G388" s="837"/>
      <c r="H388" s="838"/>
      <c r="I388" s="219" t="s">
        <v>188</v>
      </c>
      <c r="J388" s="220"/>
      <c r="K388" s="835"/>
      <c r="L388" s="836"/>
      <c r="M388" s="792"/>
      <c r="N388" s="835"/>
      <c r="O388" s="836"/>
      <c r="P388" s="835"/>
      <c r="Q388" s="836"/>
      <c r="R388" s="792"/>
      <c r="S388" s="792"/>
      <c r="T388" s="792"/>
      <c r="U388" s="792"/>
      <c r="V388" s="913"/>
      <c r="W388" s="792"/>
      <c r="X388" s="792"/>
      <c r="Y388" s="907"/>
      <c r="Z388" s="1"/>
      <c r="AA388" s="1"/>
      <c r="AB388" s="1"/>
      <c r="AC388" s="1"/>
      <c r="AD388" s="1"/>
      <c r="AE388" s="1"/>
      <c r="AF388" s="1"/>
      <c r="AG388" s="1"/>
      <c r="AH388" s="1"/>
      <c r="AI388" s="1"/>
      <c r="AJ388" s="1"/>
      <c r="AK388" s="1"/>
      <c r="AL388" s="1"/>
      <c r="AM388" s="1"/>
      <c r="AN388" s="1"/>
    </row>
    <row r="389" spans="1:40" ht="15.6" customHeight="1">
      <c r="A389" s="127"/>
      <c r="B389" s="849"/>
      <c r="C389" s="765"/>
      <c r="D389" s="761"/>
      <c r="E389" s="883"/>
      <c r="F389" s="883"/>
      <c r="G389" s="837"/>
      <c r="H389" s="838"/>
      <c r="I389" s="215" t="s">
        <v>189</v>
      </c>
      <c r="J389" s="216"/>
      <c r="K389" s="837"/>
      <c r="L389" s="838"/>
      <c r="M389" s="793"/>
      <c r="N389" s="837"/>
      <c r="O389" s="838"/>
      <c r="P389" s="837"/>
      <c r="Q389" s="838"/>
      <c r="R389" s="793"/>
      <c r="S389" s="793"/>
      <c r="T389" s="793"/>
      <c r="U389" s="793"/>
      <c r="V389" s="914"/>
      <c r="W389" s="793"/>
      <c r="X389" s="793"/>
      <c r="Y389" s="908"/>
      <c r="Z389" s="1"/>
      <c r="AA389" s="1"/>
      <c r="AB389" s="1"/>
      <c r="AC389" s="1"/>
      <c r="AD389" s="1"/>
      <c r="AE389" s="1"/>
      <c r="AF389" s="1"/>
      <c r="AG389" s="1"/>
      <c r="AH389" s="1"/>
      <c r="AI389" s="1"/>
      <c r="AJ389" s="1"/>
      <c r="AK389" s="1"/>
      <c r="AL389" s="1"/>
      <c r="AM389" s="1"/>
      <c r="AN389" s="1"/>
    </row>
    <row r="390" spans="1:40" ht="15.6" customHeight="1" thickBot="1">
      <c r="A390" s="127"/>
      <c r="B390" s="849"/>
      <c r="C390" s="766"/>
      <c r="D390" s="761"/>
      <c r="E390" s="884"/>
      <c r="F390" s="884"/>
      <c r="G390" s="837"/>
      <c r="H390" s="838"/>
      <c r="I390" s="221" t="s">
        <v>190</v>
      </c>
      <c r="J390" s="222"/>
      <c r="K390" s="863"/>
      <c r="L390" s="864"/>
      <c r="M390" s="794"/>
      <c r="N390" s="863"/>
      <c r="O390" s="864"/>
      <c r="P390" s="863"/>
      <c r="Q390" s="864"/>
      <c r="R390" s="794"/>
      <c r="S390" s="794"/>
      <c r="T390" s="794"/>
      <c r="U390" s="794"/>
      <c r="V390" s="915"/>
      <c r="W390" s="794"/>
      <c r="X390" s="794"/>
      <c r="Y390" s="909"/>
      <c r="Z390" s="1"/>
      <c r="AA390" s="1"/>
      <c r="AB390" s="1"/>
      <c r="AC390" s="1"/>
      <c r="AD390" s="1"/>
      <c r="AE390" s="1"/>
      <c r="AF390" s="1"/>
      <c r="AG390" s="1"/>
      <c r="AH390" s="1"/>
      <c r="AI390" s="1"/>
      <c r="AJ390" s="1"/>
      <c r="AK390" s="1"/>
      <c r="AL390" s="1"/>
      <c r="AM390" s="1"/>
      <c r="AN390" s="1"/>
    </row>
    <row r="391" spans="1:40" ht="15" thickTop="1">
      <c r="A391" s="127"/>
      <c r="B391" s="849"/>
      <c r="C391" s="764"/>
      <c r="D391" s="889"/>
      <c r="E391" s="865"/>
      <c r="F391" s="865"/>
      <c r="G391" s="857"/>
      <c r="H391" s="858"/>
      <c r="I391" s="213" t="s">
        <v>188</v>
      </c>
      <c r="J391" s="214"/>
      <c r="K391" s="839"/>
      <c r="L391" s="840"/>
      <c r="M391" s="885"/>
      <c r="N391" s="839"/>
      <c r="O391" s="840"/>
      <c r="P391" s="839"/>
      <c r="Q391" s="840"/>
      <c r="R391" s="885"/>
      <c r="S391" s="885"/>
      <c r="T391" s="885"/>
      <c r="U391" s="885"/>
      <c r="V391" s="916"/>
      <c r="W391" s="885"/>
      <c r="X391" s="885"/>
      <c r="Y391" s="907"/>
      <c r="Z391" s="1"/>
      <c r="AA391" s="1"/>
      <c r="AB391" s="1"/>
      <c r="AC391" s="1"/>
      <c r="AD391" s="1"/>
      <c r="AE391" s="1"/>
      <c r="AF391" s="1"/>
      <c r="AG391" s="1"/>
      <c r="AH391" s="1"/>
      <c r="AI391" s="1"/>
      <c r="AJ391" s="1"/>
      <c r="AK391" s="1"/>
      <c r="AL391" s="1"/>
      <c r="AM391" s="1"/>
      <c r="AN391" s="1"/>
    </row>
    <row r="392" spans="1:40">
      <c r="A392" s="127"/>
      <c r="B392" s="849"/>
      <c r="C392" s="765"/>
      <c r="D392" s="761"/>
      <c r="E392" s="883"/>
      <c r="F392" s="883"/>
      <c r="G392" s="859"/>
      <c r="H392" s="860"/>
      <c r="I392" s="215" t="s">
        <v>189</v>
      </c>
      <c r="J392" s="216"/>
      <c r="K392" s="841"/>
      <c r="L392" s="842"/>
      <c r="M392" s="886"/>
      <c r="N392" s="841"/>
      <c r="O392" s="842"/>
      <c r="P392" s="841"/>
      <c r="Q392" s="842"/>
      <c r="R392" s="886"/>
      <c r="S392" s="886"/>
      <c r="T392" s="886"/>
      <c r="U392" s="886"/>
      <c r="V392" s="917"/>
      <c r="W392" s="886"/>
      <c r="X392" s="886"/>
      <c r="Y392" s="908"/>
      <c r="Z392" s="1"/>
      <c r="AA392" s="1"/>
      <c r="AB392" s="1"/>
      <c r="AC392" s="1"/>
      <c r="AD392" s="1"/>
      <c r="AE392" s="1"/>
      <c r="AF392" s="1"/>
      <c r="AG392" s="1"/>
      <c r="AH392" s="1"/>
      <c r="AI392" s="1"/>
      <c r="AJ392" s="1"/>
      <c r="AK392" s="1"/>
      <c r="AL392" s="1"/>
      <c r="AM392" s="1"/>
      <c r="AN392" s="1"/>
    </row>
    <row r="393" spans="1:40" ht="15" thickBot="1">
      <c r="A393" s="127"/>
      <c r="B393" s="849"/>
      <c r="C393" s="766"/>
      <c r="D393" s="888"/>
      <c r="E393" s="846"/>
      <c r="F393" s="846"/>
      <c r="G393" s="861"/>
      <c r="H393" s="862"/>
      <c r="I393" s="217" t="s">
        <v>190</v>
      </c>
      <c r="J393" s="218"/>
      <c r="K393" s="843"/>
      <c r="L393" s="844"/>
      <c r="M393" s="887"/>
      <c r="N393" s="843"/>
      <c r="O393" s="844"/>
      <c r="P393" s="843"/>
      <c r="Q393" s="844"/>
      <c r="R393" s="887"/>
      <c r="S393" s="887"/>
      <c r="T393" s="887"/>
      <c r="U393" s="887"/>
      <c r="V393" s="918"/>
      <c r="W393" s="887"/>
      <c r="X393" s="887"/>
      <c r="Y393" s="909"/>
      <c r="Z393" s="1"/>
      <c r="AA393" s="1"/>
      <c r="AB393" s="1"/>
      <c r="AC393" s="1"/>
      <c r="AD393" s="1"/>
      <c r="AE393" s="1"/>
      <c r="AF393" s="1"/>
      <c r="AG393" s="1"/>
      <c r="AH393" s="1"/>
      <c r="AI393" s="1"/>
      <c r="AJ393" s="1"/>
      <c r="AK393" s="1"/>
      <c r="AL393" s="1"/>
      <c r="AM393" s="1"/>
      <c r="AN393" s="1"/>
    </row>
    <row r="394" spans="1:40" ht="15" thickTop="1">
      <c r="A394" s="127"/>
      <c r="B394" s="849"/>
      <c r="C394" s="764"/>
      <c r="D394" s="761"/>
      <c r="E394" s="882"/>
      <c r="F394" s="882"/>
      <c r="G394" s="837"/>
      <c r="H394" s="838"/>
      <c r="I394" s="219" t="s">
        <v>188</v>
      </c>
      <c r="J394" s="220"/>
      <c r="K394" s="835"/>
      <c r="L394" s="836"/>
      <c r="M394" s="792"/>
      <c r="N394" s="835"/>
      <c r="O394" s="836"/>
      <c r="P394" s="835"/>
      <c r="Q394" s="836"/>
      <c r="R394" s="792"/>
      <c r="S394" s="792"/>
      <c r="T394" s="792"/>
      <c r="U394" s="792"/>
      <c r="V394" s="913"/>
      <c r="W394" s="792"/>
      <c r="X394" s="792"/>
      <c r="Y394" s="907"/>
      <c r="Z394" s="1"/>
      <c r="AA394" s="1"/>
      <c r="AB394" s="1"/>
      <c r="AC394" s="1"/>
      <c r="AD394" s="1"/>
      <c r="AE394" s="1"/>
      <c r="AF394" s="1"/>
      <c r="AG394" s="1"/>
      <c r="AH394" s="1"/>
      <c r="AI394" s="1"/>
      <c r="AJ394" s="1"/>
      <c r="AK394" s="1"/>
      <c r="AL394" s="1"/>
      <c r="AM394" s="1"/>
      <c r="AN394" s="1"/>
    </row>
    <row r="395" spans="1:40" ht="15.6" customHeight="1">
      <c r="A395" s="127"/>
      <c r="B395" s="849"/>
      <c r="C395" s="765"/>
      <c r="D395" s="761"/>
      <c r="E395" s="883"/>
      <c r="F395" s="883"/>
      <c r="G395" s="837"/>
      <c r="H395" s="838"/>
      <c r="I395" s="215" t="s">
        <v>189</v>
      </c>
      <c r="J395" s="216"/>
      <c r="K395" s="837"/>
      <c r="L395" s="838"/>
      <c r="M395" s="793"/>
      <c r="N395" s="837"/>
      <c r="O395" s="838"/>
      <c r="P395" s="837"/>
      <c r="Q395" s="838"/>
      <c r="R395" s="793"/>
      <c r="S395" s="793"/>
      <c r="T395" s="793"/>
      <c r="U395" s="793"/>
      <c r="V395" s="914"/>
      <c r="W395" s="793"/>
      <c r="X395" s="793"/>
      <c r="Y395" s="908"/>
      <c r="Z395" s="1"/>
      <c r="AA395" s="1"/>
      <c r="AB395" s="1"/>
      <c r="AC395" s="1"/>
      <c r="AD395" s="1"/>
      <c r="AE395" s="1"/>
      <c r="AF395" s="1"/>
      <c r="AG395" s="1"/>
      <c r="AH395" s="1"/>
      <c r="AI395" s="1"/>
      <c r="AJ395" s="1"/>
      <c r="AK395" s="1"/>
      <c r="AL395" s="1"/>
      <c r="AM395" s="1"/>
      <c r="AN395" s="1"/>
    </row>
    <row r="396" spans="1:40" ht="15.6" customHeight="1" thickBot="1">
      <c r="A396" s="127"/>
      <c r="B396" s="849"/>
      <c r="C396" s="766"/>
      <c r="D396" s="761"/>
      <c r="E396" s="884"/>
      <c r="F396" s="884"/>
      <c r="G396" s="837"/>
      <c r="H396" s="838"/>
      <c r="I396" s="221" t="s">
        <v>190</v>
      </c>
      <c r="J396" s="222"/>
      <c r="K396" s="863"/>
      <c r="L396" s="864"/>
      <c r="M396" s="794"/>
      <c r="N396" s="863"/>
      <c r="O396" s="864"/>
      <c r="P396" s="863"/>
      <c r="Q396" s="864"/>
      <c r="R396" s="794"/>
      <c r="S396" s="794"/>
      <c r="T396" s="794"/>
      <c r="U396" s="794"/>
      <c r="V396" s="915"/>
      <c r="W396" s="794"/>
      <c r="X396" s="794"/>
      <c r="Y396" s="909"/>
      <c r="Z396" s="1"/>
      <c r="AA396" s="1"/>
      <c r="AB396" s="1"/>
      <c r="AC396" s="1"/>
      <c r="AD396" s="1"/>
      <c r="AE396" s="1"/>
      <c r="AF396" s="1"/>
      <c r="AG396" s="1"/>
      <c r="AH396" s="1"/>
      <c r="AI396" s="1"/>
      <c r="AJ396" s="1"/>
      <c r="AK396" s="1"/>
      <c r="AL396" s="1"/>
      <c r="AM396" s="1"/>
      <c r="AN396" s="1"/>
    </row>
    <row r="397" spans="1:40" ht="15" thickTop="1">
      <c r="A397" s="127"/>
      <c r="B397" s="849"/>
      <c r="C397" s="764"/>
      <c r="D397" s="889"/>
      <c r="E397" s="865"/>
      <c r="F397" s="865"/>
      <c r="G397" s="857"/>
      <c r="H397" s="858"/>
      <c r="I397" s="213" t="s">
        <v>188</v>
      </c>
      <c r="J397" s="214"/>
      <c r="K397" s="839"/>
      <c r="L397" s="840"/>
      <c r="M397" s="885"/>
      <c r="N397" s="839"/>
      <c r="O397" s="840"/>
      <c r="P397" s="839"/>
      <c r="Q397" s="840"/>
      <c r="R397" s="885"/>
      <c r="S397" s="885"/>
      <c r="T397" s="885"/>
      <c r="U397" s="885"/>
      <c r="V397" s="916"/>
      <c r="W397" s="885"/>
      <c r="X397" s="885"/>
      <c r="Y397" s="907"/>
      <c r="Z397" s="1"/>
      <c r="AA397" s="1"/>
      <c r="AB397" s="1"/>
      <c r="AC397" s="1"/>
      <c r="AD397" s="1"/>
      <c r="AE397" s="1"/>
      <c r="AF397" s="1"/>
      <c r="AG397" s="1"/>
      <c r="AH397" s="1"/>
      <c r="AI397" s="1"/>
      <c r="AJ397" s="1"/>
      <c r="AK397" s="1"/>
      <c r="AL397" s="1"/>
      <c r="AM397" s="1"/>
      <c r="AN397" s="1"/>
    </row>
    <row r="398" spans="1:40">
      <c r="A398" s="127"/>
      <c r="B398" s="849"/>
      <c r="C398" s="765"/>
      <c r="D398" s="761"/>
      <c r="E398" s="883"/>
      <c r="F398" s="883"/>
      <c r="G398" s="859"/>
      <c r="H398" s="860"/>
      <c r="I398" s="215" t="s">
        <v>189</v>
      </c>
      <c r="J398" s="216"/>
      <c r="K398" s="841"/>
      <c r="L398" s="842"/>
      <c r="M398" s="886"/>
      <c r="N398" s="841"/>
      <c r="O398" s="842"/>
      <c r="P398" s="841"/>
      <c r="Q398" s="842"/>
      <c r="R398" s="886"/>
      <c r="S398" s="886"/>
      <c r="T398" s="886"/>
      <c r="U398" s="886"/>
      <c r="V398" s="917"/>
      <c r="W398" s="886"/>
      <c r="X398" s="886"/>
      <c r="Y398" s="908"/>
      <c r="Z398" s="1"/>
      <c r="AA398" s="1"/>
      <c r="AB398" s="1"/>
      <c r="AC398" s="1"/>
      <c r="AD398" s="1"/>
      <c r="AE398" s="1"/>
      <c r="AF398" s="1"/>
      <c r="AG398" s="1"/>
      <c r="AH398" s="1"/>
      <c r="AI398" s="1"/>
      <c r="AJ398" s="1"/>
      <c r="AK398" s="1"/>
      <c r="AL398" s="1"/>
      <c r="AM398" s="1"/>
      <c r="AN398" s="1"/>
    </row>
    <row r="399" spans="1:40" ht="15" thickBot="1">
      <c r="A399" s="127"/>
      <c r="B399" s="849"/>
      <c r="C399" s="766"/>
      <c r="D399" s="888"/>
      <c r="E399" s="846"/>
      <c r="F399" s="846"/>
      <c r="G399" s="861"/>
      <c r="H399" s="862"/>
      <c r="I399" s="217" t="s">
        <v>190</v>
      </c>
      <c r="J399" s="218"/>
      <c r="K399" s="843"/>
      <c r="L399" s="844"/>
      <c r="M399" s="887"/>
      <c r="N399" s="843"/>
      <c r="O399" s="844"/>
      <c r="P399" s="843"/>
      <c r="Q399" s="844"/>
      <c r="R399" s="887"/>
      <c r="S399" s="887"/>
      <c r="T399" s="887"/>
      <c r="U399" s="887"/>
      <c r="V399" s="918"/>
      <c r="W399" s="887"/>
      <c r="X399" s="887"/>
      <c r="Y399" s="909"/>
      <c r="Z399" s="1"/>
      <c r="AA399" s="1"/>
      <c r="AB399" s="1"/>
      <c r="AC399" s="1"/>
      <c r="AD399" s="1"/>
      <c r="AE399" s="1"/>
      <c r="AF399" s="1"/>
      <c r="AG399" s="1"/>
      <c r="AH399" s="1"/>
      <c r="AI399" s="1"/>
      <c r="AJ399" s="1"/>
      <c r="AK399" s="1"/>
      <c r="AL399" s="1"/>
      <c r="AM399" s="1"/>
      <c r="AN399" s="1"/>
    </row>
    <row r="400" spans="1:40" ht="15" thickTop="1">
      <c r="A400" s="127"/>
      <c r="B400" s="849"/>
      <c r="C400" s="764"/>
      <c r="D400" s="761"/>
      <c r="E400" s="882"/>
      <c r="F400" s="882"/>
      <c r="G400" s="837"/>
      <c r="H400" s="838"/>
      <c r="I400" s="219" t="s">
        <v>188</v>
      </c>
      <c r="J400" s="220"/>
      <c r="K400" s="835"/>
      <c r="L400" s="836"/>
      <c r="M400" s="792"/>
      <c r="N400" s="835"/>
      <c r="O400" s="836"/>
      <c r="P400" s="835"/>
      <c r="Q400" s="836"/>
      <c r="R400" s="792"/>
      <c r="S400" s="792"/>
      <c r="T400" s="792"/>
      <c r="U400" s="792"/>
      <c r="V400" s="913"/>
      <c r="W400" s="792"/>
      <c r="X400" s="792"/>
      <c r="Y400" s="907"/>
      <c r="Z400" s="1"/>
      <c r="AA400" s="1"/>
      <c r="AB400" s="1"/>
      <c r="AC400" s="1"/>
      <c r="AD400" s="1"/>
      <c r="AE400" s="1"/>
      <c r="AF400" s="1"/>
      <c r="AG400" s="1"/>
      <c r="AH400" s="1"/>
      <c r="AI400" s="1"/>
      <c r="AJ400" s="1"/>
      <c r="AK400" s="1"/>
      <c r="AL400" s="1"/>
      <c r="AM400" s="1"/>
      <c r="AN400" s="1"/>
    </row>
    <row r="401" spans="1:40" ht="15.6" customHeight="1">
      <c r="A401" s="127"/>
      <c r="B401" s="849"/>
      <c r="C401" s="765"/>
      <c r="D401" s="761"/>
      <c r="E401" s="883"/>
      <c r="F401" s="883"/>
      <c r="G401" s="837"/>
      <c r="H401" s="838"/>
      <c r="I401" s="215" t="s">
        <v>189</v>
      </c>
      <c r="J401" s="216"/>
      <c r="K401" s="837"/>
      <c r="L401" s="838"/>
      <c r="M401" s="793"/>
      <c r="N401" s="837"/>
      <c r="O401" s="838"/>
      <c r="P401" s="837"/>
      <c r="Q401" s="838"/>
      <c r="R401" s="793"/>
      <c r="S401" s="793"/>
      <c r="T401" s="793"/>
      <c r="U401" s="793"/>
      <c r="V401" s="914"/>
      <c r="W401" s="793"/>
      <c r="X401" s="793"/>
      <c r="Y401" s="908"/>
      <c r="Z401" s="1"/>
      <c r="AA401" s="1"/>
      <c r="AB401" s="1"/>
      <c r="AC401" s="1"/>
      <c r="AD401" s="1"/>
      <c r="AE401" s="1"/>
      <c r="AF401" s="1"/>
      <c r="AG401" s="1"/>
      <c r="AH401" s="1"/>
      <c r="AI401" s="1"/>
      <c r="AJ401" s="1"/>
      <c r="AK401" s="1"/>
      <c r="AL401" s="1"/>
      <c r="AM401" s="1"/>
      <c r="AN401" s="1"/>
    </row>
    <row r="402" spans="1:40" ht="15.6" customHeight="1" thickBot="1">
      <c r="A402" s="127"/>
      <c r="B402" s="849"/>
      <c r="C402" s="765"/>
      <c r="D402" s="761"/>
      <c r="E402" s="884"/>
      <c r="F402" s="884"/>
      <c r="G402" s="837"/>
      <c r="H402" s="838"/>
      <c r="I402" s="221" t="s">
        <v>190</v>
      </c>
      <c r="J402" s="222"/>
      <c r="K402" s="863"/>
      <c r="L402" s="864"/>
      <c r="M402" s="794"/>
      <c r="N402" s="863"/>
      <c r="O402" s="864"/>
      <c r="P402" s="863"/>
      <c r="Q402" s="864"/>
      <c r="R402" s="794"/>
      <c r="S402" s="794"/>
      <c r="T402" s="794"/>
      <c r="U402" s="794"/>
      <c r="V402" s="915"/>
      <c r="W402" s="794"/>
      <c r="X402" s="794"/>
      <c r="Y402" s="909"/>
      <c r="Z402" s="1"/>
      <c r="AA402" s="1"/>
      <c r="AB402" s="1"/>
      <c r="AC402" s="1"/>
      <c r="AD402" s="1"/>
      <c r="AE402" s="1"/>
      <c r="AF402" s="1"/>
      <c r="AG402" s="1"/>
      <c r="AH402" s="1"/>
      <c r="AI402" s="1"/>
      <c r="AJ402" s="1"/>
      <c r="AK402" s="1"/>
      <c r="AL402" s="1"/>
      <c r="AM402" s="1"/>
      <c r="AN402" s="1"/>
    </row>
    <row r="403" spans="1:40" ht="15" outlineLevel="1" thickTop="1">
      <c r="A403" s="127"/>
      <c r="B403" s="849"/>
      <c r="C403" s="764"/>
      <c r="D403" s="889"/>
      <c r="E403" s="865"/>
      <c r="F403" s="865"/>
      <c r="G403" s="835"/>
      <c r="H403" s="836"/>
      <c r="I403" s="213" t="s">
        <v>188</v>
      </c>
      <c r="J403" s="214"/>
      <c r="K403" s="835"/>
      <c r="L403" s="836"/>
      <c r="M403" s="792"/>
      <c r="N403" s="835"/>
      <c r="O403" s="836"/>
      <c r="P403" s="835"/>
      <c r="Q403" s="836"/>
      <c r="R403" s="792"/>
      <c r="S403" s="792"/>
      <c r="T403" s="792"/>
      <c r="U403" s="792"/>
      <c r="V403" s="913"/>
      <c r="W403" s="792"/>
      <c r="X403" s="792"/>
      <c r="Y403" s="907"/>
      <c r="Z403" s="1"/>
      <c r="AA403" s="1"/>
      <c r="AB403" s="1"/>
      <c r="AC403" s="1"/>
      <c r="AD403" s="1"/>
      <c r="AE403" s="1"/>
      <c r="AF403" s="1"/>
      <c r="AG403" s="1"/>
      <c r="AH403" s="1"/>
      <c r="AI403" s="1"/>
      <c r="AJ403" s="1"/>
      <c r="AK403" s="1"/>
      <c r="AL403" s="1"/>
      <c r="AM403" s="1"/>
      <c r="AN403" s="1"/>
    </row>
    <row r="404" spans="1:40" ht="15.6" customHeight="1" outlineLevel="1">
      <c r="A404" s="127"/>
      <c r="B404" s="849"/>
      <c r="C404" s="765"/>
      <c r="D404" s="761"/>
      <c r="E404" s="883"/>
      <c r="F404" s="883"/>
      <c r="G404" s="837"/>
      <c r="H404" s="838"/>
      <c r="I404" s="215" t="s">
        <v>189</v>
      </c>
      <c r="J404" s="216"/>
      <c r="K404" s="837"/>
      <c r="L404" s="838"/>
      <c r="M404" s="793"/>
      <c r="N404" s="837"/>
      <c r="O404" s="838"/>
      <c r="P404" s="837"/>
      <c r="Q404" s="838"/>
      <c r="R404" s="793"/>
      <c r="S404" s="793"/>
      <c r="T404" s="793"/>
      <c r="U404" s="793"/>
      <c r="V404" s="914"/>
      <c r="W404" s="793"/>
      <c r="X404" s="793"/>
      <c r="Y404" s="908"/>
      <c r="Z404" s="1"/>
      <c r="AA404" s="1"/>
      <c r="AB404" s="1"/>
      <c r="AC404" s="1"/>
      <c r="AD404" s="1"/>
      <c r="AE404" s="1"/>
      <c r="AF404" s="1"/>
      <c r="AG404" s="1"/>
      <c r="AH404" s="1"/>
      <c r="AI404" s="1"/>
      <c r="AJ404" s="1"/>
      <c r="AK404" s="1"/>
      <c r="AL404" s="1"/>
      <c r="AM404" s="1"/>
      <c r="AN404" s="1"/>
    </row>
    <row r="405" spans="1:40" ht="15.6" customHeight="1" outlineLevel="1" thickBot="1">
      <c r="A405" s="127"/>
      <c r="B405" s="849"/>
      <c r="C405" s="766"/>
      <c r="D405" s="888"/>
      <c r="E405" s="846"/>
      <c r="F405" s="846"/>
      <c r="G405" s="863"/>
      <c r="H405" s="864"/>
      <c r="I405" s="217" t="s">
        <v>190</v>
      </c>
      <c r="J405" s="218"/>
      <c r="K405" s="863"/>
      <c r="L405" s="864"/>
      <c r="M405" s="794"/>
      <c r="N405" s="863"/>
      <c r="O405" s="864"/>
      <c r="P405" s="863"/>
      <c r="Q405" s="864"/>
      <c r="R405" s="794"/>
      <c r="S405" s="794"/>
      <c r="T405" s="794"/>
      <c r="U405" s="794"/>
      <c r="V405" s="915"/>
      <c r="W405" s="794"/>
      <c r="X405" s="794"/>
      <c r="Y405" s="909"/>
      <c r="Z405" s="1"/>
      <c r="AA405" s="1"/>
      <c r="AB405" s="1"/>
      <c r="AC405" s="1"/>
      <c r="AD405" s="1"/>
      <c r="AE405" s="1"/>
      <c r="AF405" s="1"/>
      <c r="AG405" s="1"/>
      <c r="AH405" s="1"/>
      <c r="AI405" s="1"/>
      <c r="AJ405" s="1"/>
      <c r="AK405" s="1"/>
      <c r="AL405" s="1"/>
      <c r="AM405" s="1"/>
      <c r="AN405" s="1"/>
    </row>
    <row r="406" spans="1:40" ht="15" outlineLevel="1" thickTop="1">
      <c r="A406" s="127"/>
      <c r="B406" s="849"/>
      <c r="C406" s="764"/>
      <c r="D406" s="889"/>
      <c r="E406" s="865"/>
      <c r="F406" s="865"/>
      <c r="G406" s="857"/>
      <c r="H406" s="858"/>
      <c r="I406" s="213" t="s">
        <v>188</v>
      </c>
      <c r="J406" s="214"/>
      <c r="K406" s="839"/>
      <c r="L406" s="840"/>
      <c r="M406" s="885"/>
      <c r="N406" s="839"/>
      <c r="O406" s="840"/>
      <c r="P406" s="839"/>
      <c r="Q406" s="840"/>
      <c r="R406" s="885"/>
      <c r="S406" s="885"/>
      <c r="T406" s="885"/>
      <c r="U406" s="885"/>
      <c r="V406" s="916"/>
      <c r="W406" s="885"/>
      <c r="X406" s="885"/>
      <c r="Y406" s="907"/>
      <c r="Z406" s="1"/>
      <c r="AA406" s="1"/>
      <c r="AB406" s="1"/>
      <c r="AC406" s="1"/>
      <c r="AD406" s="1"/>
      <c r="AE406" s="1"/>
      <c r="AF406" s="1"/>
      <c r="AG406" s="1"/>
      <c r="AH406" s="1"/>
      <c r="AI406" s="1"/>
      <c r="AJ406" s="1"/>
      <c r="AK406" s="1"/>
      <c r="AL406" s="1"/>
      <c r="AM406" s="1"/>
      <c r="AN406" s="1"/>
    </row>
    <row r="407" spans="1:40" outlineLevel="1">
      <c r="A407" s="127"/>
      <c r="B407" s="849"/>
      <c r="C407" s="765"/>
      <c r="D407" s="761"/>
      <c r="E407" s="883"/>
      <c r="F407" s="883"/>
      <c r="G407" s="859"/>
      <c r="H407" s="860"/>
      <c r="I407" s="215" t="s">
        <v>189</v>
      </c>
      <c r="J407" s="216"/>
      <c r="K407" s="841"/>
      <c r="L407" s="842"/>
      <c r="M407" s="886"/>
      <c r="N407" s="841"/>
      <c r="O407" s="842"/>
      <c r="P407" s="841"/>
      <c r="Q407" s="842"/>
      <c r="R407" s="886"/>
      <c r="S407" s="886"/>
      <c r="T407" s="886"/>
      <c r="U407" s="886"/>
      <c r="V407" s="917"/>
      <c r="W407" s="886"/>
      <c r="X407" s="886"/>
      <c r="Y407" s="908"/>
      <c r="Z407" s="1"/>
      <c r="AA407" s="1"/>
      <c r="AB407" s="1"/>
      <c r="AC407" s="1"/>
      <c r="AD407" s="1"/>
      <c r="AE407" s="1"/>
      <c r="AF407" s="1"/>
      <c r="AG407" s="1"/>
      <c r="AH407" s="1"/>
      <c r="AI407" s="1"/>
      <c r="AJ407" s="1"/>
      <c r="AK407" s="1"/>
      <c r="AL407" s="1"/>
      <c r="AM407" s="1"/>
      <c r="AN407" s="1"/>
    </row>
    <row r="408" spans="1:40" ht="15" outlineLevel="1" thickBot="1">
      <c r="A408" s="127"/>
      <c r="B408" s="849"/>
      <c r="C408" s="766"/>
      <c r="D408" s="888"/>
      <c r="E408" s="846"/>
      <c r="F408" s="846"/>
      <c r="G408" s="861"/>
      <c r="H408" s="862"/>
      <c r="I408" s="217" t="s">
        <v>190</v>
      </c>
      <c r="J408" s="218"/>
      <c r="K408" s="843"/>
      <c r="L408" s="844"/>
      <c r="M408" s="887"/>
      <c r="N408" s="843"/>
      <c r="O408" s="844"/>
      <c r="P408" s="843"/>
      <c r="Q408" s="844"/>
      <c r="R408" s="887"/>
      <c r="S408" s="887"/>
      <c r="T408" s="887"/>
      <c r="U408" s="887"/>
      <c r="V408" s="918"/>
      <c r="W408" s="887"/>
      <c r="X408" s="887"/>
      <c r="Y408" s="909"/>
      <c r="Z408" s="1"/>
      <c r="AA408" s="1"/>
      <c r="AB408" s="1"/>
      <c r="AC408" s="1"/>
      <c r="AD408" s="1"/>
      <c r="AE408" s="1"/>
      <c r="AF408" s="1"/>
      <c r="AG408" s="1"/>
      <c r="AH408" s="1"/>
      <c r="AI408" s="1"/>
      <c r="AJ408" s="1"/>
      <c r="AK408" s="1"/>
      <c r="AL408" s="1"/>
      <c r="AM408" s="1"/>
      <c r="AN408" s="1"/>
    </row>
    <row r="409" spans="1:40" ht="15" outlineLevel="1" thickTop="1">
      <c r="A409" s="127"/>
      <c r="B409" s="849"/>
      <c r="C409" s="764"/>
      <c r="D409" s="761"/>
      <c r="E409" s="882"/>
      <c r="F409" s="882"/>
      <c r="G409" s="837"/>
      <c r="H409" s="838"/>
      <c r="I409" s="219" t="s">
        <v>188</v>
      </c>
      <c r="J409" s="220"/>
      <c r="K409" s="835"/>
      <c r="L409" s="836"/>
      <c r="M409" s="792"/>
      <c r="N409" s="835"/>
      <c r="O409" s="836"/>
      <c r="P409" s="835"/>
      <c r="Q409" s="836"/>
      <c r="R409" s="792"/>
      <c r="S409" s="792"/>
      <c r="T409" s="792"/>
      <c r="U409" s="792"/>
      <c r="V409" s="913"/>
      <c r="W409" s="792"/>
      <c r="X409" s="792"/>
      <c r="Y409" s="907"/>
      <c r="Z409" s="1"/>
      <c r="AA409" s="1"/>
      <c r="AB409" s="1"/>
      <c r="AC409" s="1"/>
      <c r="AD409" s="1"/>
      <c r="AE409" s="1"/>
      <c r="AF409" s="1"/>
      <c r="AG409" s="1"/>
      <c r="AH409" s="1"/>
      <c r="AI409" s="1"/>
      <c r="AJ409" s="1"/>
      <c r="AK409" s="1"/>
      <c r="AL409" s="1"/>
      <c r="AM409" s="1"/>
      <c r="AN409" s="1"/>
    </row>
    <row r="410" spans="1:40" ht="15.6" customHeight="1" outlineLevel="1">
      <c r="A410" s="127"/>
      <c r="B410" s="849"/>
      <c r="C410" s="765"/>
      <c r="D410" s="761"/>
      <c r="E410" s="883"/>
      <c r="F410" s="883"/>
      <c r="G410" s="837"/>
      <c r="H410" s="838"/>
      <c r="I410" s="215" t="s">
        <v>189</v>
      </c>
      <c r="J410" s="216"/>
      <c r="K410" s="837"/>
      <c r="L410" s="838"/>
      <c r="M410" s="793"/>
      <c r="N410" s="837"/>
      <c r="O410" s="838"/>
      <c r="P410" s="837"/>
      <c r="Q410" s="838"/>
      <c r="R410" s="793"/>
      <c r="S410" s="793"/>
      <c r="T410" s="793"/>
      <c r="U410" s="793"/>
      <c r="V410" s="914"/>
      <c r="W410" s="793"/>
      <c r="X410" s="793"/>
      <c r="Y410" s="908"/>
      <c r="Z410" s="1"/>
      <c r="AA410" s="1"/>
      <c r="AB410" s="1"/>
      <c r="AC410" s="1"/>
      <c r="AD410" s="1"/>
      <c r="AE410" s="1"/>
      <c r="AF410" s="1"/>
      <c r="AG410" s="1"/>
      <c r="AH410" s="1"/>
      <c r="AI410" s="1"/>
      <c r="AJ410" s="1"/>
      <c r="AK410" s="1"/>
      <c r="AL410" s="1"/>
      <c r="AM410" s="1"/>
      <c r="AN410" s="1"/>
    </row>
    <row r="411" spans="1:40" ht="15.6" customHeight="1" outlineLevel="1" thickBot="1">
      <c r="A411" s="127"/>
      <c r="B411" s="849"/>
      <c r="C411" s="766"/>
      <c r="D411" s="761"/>
      <c r="E411" s="884"/>
      <c r="F411" s="884"/>
      <c r="G411" s="837"/>
      <c r="H411" s="838"/>
      <c r="I411" s="221" t="s">
        <v>190</v>
      </c>
      <c r="J411" s="222"/>
      <c r="K411" s="863"/>
      <c r="L411" s="864"/>
      <c r="M411" s="794"/>
      <c r="N411" s="863"/>
      <c r="O411" s="864"/>
      <c r="P411" s="863"/>
      <c r="Q411" s="864"/>
      <c r="R411" s="794"/>
      <c r="S411" s="794"/>
      <c r="T411" s="794"/>
      <c r="U411" s="794"/>
      <c r="V411" s="915"/>
      <c r="W411" s="794"/>
      <c r="X411" s="794"/>
      <c r="Y411" s="909"/>
      <c r="Z411" s="1"/>
      <c r="AA411" s="1"/>
      <c r="AB411" s="1"/>
      <c r="AC411" s="1"/>
      <c r="AD411" s="1"/>
      <c r="AE411" s="1"/>
      <c r="AF411" s="1"/>
      <c r="AG411" s="1"/>
      <c r="AH411" s="1"/>
      <c r="AI411" s="1"/>
      <c r="AJ411" s="1"/>
      <c r="AK411" s="1"/>
      <c r="AL411" s="1"/>
      <c r="AM411" s="1"/>
      <c r="AN411" s="1"/>
    </row>
    <row r="412" spans="1:40" ht="15" outlineLevel="1" thickTop="1">
      <c r="A412" s="127"/>
      <c r="B412" s="849"/>
      <c r="C412" s="764"/>
      <c r="D412" s="889"/>
      <c r="E412" s="865"/>
      <c r="F412" s="865"/>
      <c r="G412" s="857"/>
      <c r="H412" s="858"/>
      <c r="I412" s="213" t="s">
        <v>188</v>
      </c>
      <c r="J412" s="214"/>
      <c r="K412" s="839"/>
      <c r="L412" s="840"/>
      <c r="M412" s="885"/>
      <c r="N412" s="839"/>
      <c r="O412" s="840"/>
      <c r="P412" s="839"/>
      <c r="Q412" s="840"/>
      <c r="R412" s="885"/>
      <c r="S412" s="885"/>
      <c r="T412" s="885"/>
      <c r="U412" s="885"/>
      <c r="V412" s="916"/>
      <c r="W412" s="885"/>
      <c r="X412" s="885"/>
      <c r="Y412" s="907"/>
      <c r="Z412" s="1"/>
      <c r="AA412" s="1"/>
      <c r="AB412" s="1"/>
      <c r="AC412" s="1"/>
      <c r="AD412" s="1"/>
      <c r="AE412" s="1"/>
      <c r="AF412" s="1"/>
      <c r="AG412" s="1"/>
      <c r="AH412" s="1"/>
      <c r="AI412" s="1"/>
      <c r="AJ412" s="1"/>
      <c r="AK412" s="1"/>
      <c r="AL412" s="1"/>
      <c r="AM412" s="1"/>
      <c r="AN412" s="1"/>
    </row>
    <row r="413" spans="1:40" outlineLevel="1">
      <c r="A413" s="127"/>
      <c r="B413" s="849"/>
      <c r="C413" s="765"/>
      <c r="D413" s="761"/>
      <c r="E413" s="883"/>
      <c r="F413" s="883"/>
      <c r="G413" s="859"/>
      <c r="H413" s="860"/>
      <c r="I413" s="215" t="s">
        <v>189</v>
      </c>
      <c r="J413" s="216"/>
      <c r="K413" s="841"/>
      <c r="L413" s="842"/>
      <c r="M413" s="886"/>
      <c r="N413" s="841"/>
      <c r="O413" s="842"/>
      <c r="P413" s="841"/>
      <c r="Q413" s="842"/>
      <c r="R413" s="886"/>
      <c r="S413" s="886"/>
      <c r="T413" s="886"/>
      <c r="U413" s="886"/>
      <c r="V413" s="917"/>
      <c r="W413" s="886"/>
      <c r="X413" s="886"/>
      <c r="Y413" s="908"/>
      <c r="Z413" s="1"/>
      <c r="AA413" s="1"/>
      <c r="AB413" s="1"/>
      <c r="AC413" s="1"/>
      <c r="AD413" s="1"/>
      <c r="AE413" s="1"/>
      <c r="AF413" s="1"/>
      <c r="AG413" s="1"/>
      <c r="AH413" s="1"/>
      <c r="AI413" s="1"/>
      <c r="AJ413" s="1"/>
      <c r="AK413" s="1"/>
      <c r="AL413" s="1"/>
      <c r="AM413" s="1"/>
      <c r="AN413" s="1"/>
    </row>
    <row r="414" spans="1:40" ht="15" outlineLevel="1" thickBot="1">
      <c r="A414" s="127"/>
      <c r="B414" s="849"/>
      <c r="C414" s="766"/>
      <c r="D414" s="888"/>
      <c r="E414" s="846"/>
      <c r="F414" s="846"/>
      <c r="G414" s="861"/>
      <c r="H414" s="862"/>
      <c r="I414" s="217" t="s">
        <v>190</v>
      </c>
      <c r="J414" s="218"/>
      <c r="K414" s="843"/>
      <c r="L414" s="844"/>
      <c r="M414" s="887"/>
      <c r="N414" s="843"/>
      <c r="O414" s="844"/>
      <c r="P414" s="843"/>
      <c r="Q414" s="844"/>
      <c r="R414" s="887"/>
      <c r="S414" s="887"/>
      <c r="T414" s="887"/>
      <c r="U414" s="887"/>
      <c r="V414" s="918"/>
      <c r="W414" s="887"/>
      <c r="X414" s="887"/>
      <c r="Y414" s="909"/>
      <c r="Z414" s="1"/>
      <c r="AA414" s="1"/>
      <c r="AB414" s="1"/>
      <c r="AC414" s="1"/>
      <c r="AD414" s="1"/>
      <c r="AE414" s="1"/>
      <c r="AF414" s="1"/>
      <c r="AG414" s="1"/>
      <c r="AH414" s="1"/>
      <c r="AI414" s="1"/>
      <c r="AJ414" s="1"/>
      <c r="AK414" s="1"/>
      <c r="AL414" s="1"/>
      <c r="AM414" s="1"/>
      <c r="AN414" s="1"/>
    </row>
    <row r="415" spans="1:40" ht="15" outlineLevel="1" thickTop="1">
      <c r="A415" s="127"/>
      <c r="B415" s="849"/>
      <c r="C415" s="764"/>
      <c r="D415" s="761"/>
      <c r="E415" s="882"/>
      <c r="F415" s="882"/>
      <c r="G415" s="837"/>
      <c r="H415" s="838"/>
      <c r="I415" s="219" t="s">
        <v>188</v>
      </c>
      <c r="J415" s="220"/>
      <c r="K415" s="835"/>
      <c r="L415" s="836"/>
      <c r="M415" s="792"/>
      <c r="N415" s="835"/>
      <c r="O415" s="836"/>
      <c r="P415" s="835"/>
      <c r="Q415" s="836"/>
      <c r="R415" s="792"/>
      <c r="S415" s="792"/>
      <c r="T415" s="792"/>
      <c r="U415" s="792"/>
      <c r="V415" s="913"/>
      <c r="W415" s="792"/>
      <c r="X415" s="792"/>
      <c r="Y415" s="907"/>
      <c r="Z415" s="1"/>
      <c r="AA415" s="1"/>
      <c r="AB415" s="1"/>
      <c r="AC415" s="1"/>
      <c r="AD415" s="1"/>
      <c r="AE415" s="1"/>
      <c r="AF415" s="1"/>
      <c r="AG415" s="1"/>
      <c r="AH415" s="1"/>
      <c r="AI415" s="1"/>
      <c r="AJ415" s="1"/>
      <c r="AK415" s="1"/>
      <c r="AL415" s="1"/>
      <c r="AM415" s="1"/>
      <c r="AN415" s="1"/>
    </row>
    <row r="416" spans="1:40" ht="15.6" customHeight="1" outlineLevel="1">
      <c r="A416" s="127"/>
      <c r="B416" s="849"/>
      <c r="C416" s="765"/>
      <c r="D416" s="761"/>
      <c r="E416" s="883"/>
      <c r="F416" s="883"/>
      <c r="G416" s="837"/>
      <c r="H416" s="838"/>
      <c r="I416" s="215" t="s">
        <v>189</v>
      </c>
      <c r="J416" s="216"/>
      <c r="K416" s="837"/>
      <c r="L416" s="838"/>
      <c r="M416" s="793"/>
      <c r="N416" s="837"/>
      <c r="O416" s="838"/>
      <c r="P416" s="837"/>
      <c r="Q416" s="838"/>
      <c r="R416" s="793"/>
      <c r="S416" s="793"/>
      <c r="T416" s="793"/>
      <c r="U416" s="793"/>
      <c r="V416" s="914"/>
      <c r="W416" s="793"/>
      <c r="X416" s="793"/>
      <c r="Y416" s="908"/>
      <c r="Z416" s="1"/>
      <c r="AA416" s="1"/>
      <c r="AB416" s="1"/>
      <c r="AC416" s="1"/>
      <c r="AD416" s="1"/>
      <c r="AE416" s="1"/>
      <c r="AF416" s="1"/>
      <c r="AG416" s="1"/>
      <c r="AH416" s="1"/>
      <c r="AI416" s="1"/>
      <c r="AJ416" s="1"/>
      <c r="AK416" s="1"/>
      <c r="AL416" s="1"/>
      <c r="AM416" s="1"/>
      <c r="AN416" s="1"/>
    </row>
    <row r="417" spans="1:40" ht="15.6" customHeight="1" outlineLevel="1" thickBot="1">
      <c r="A417" s="127"/>
      <c r="B417" s="849"/>
      <c r="C417" s="765"/>
      <c r="D417" s="761"/>
      <c r="E417" s="884"/>
      <c r="F417" s="884"/>
      <c r="G417" s="837"/>
      <c r="H417" s="838"/>
      <c r="I417" s="221" t="s">
        <v>190</v>
      </c>
      <c r="J417" s="222"/>
      <c r="K417" s="863"/>
      <c r="L417" s="864"/>
      <c r="M417" s="794"/>
      <c r="N417" s="863"/>
      <c r="O417" s="864"/>
      <c r="P417" s="863"/>
      <c r="Q417" s="864"/>
      <c r="R417" s="794"/>
      <c r="S417" s="794"/>
      <c r="T417" s="794"/>
      <c r="U417" s="794"/>
      <c r="V417" s="915"/>
      <c r="W417" s="794"/>
      <c r="X417" s="794"/>
      <c r="Y417" s="909"/>
      <c r="Z417" s="1"/>
      <c r="AA417" s="1"/>
      <c r="AB417" s="1"/>
      <c r="AC417" s="1"/>
      <c r="AD417" s="1"/>
      <c r="AE417" s="1"/>
      <c r="AF417" s="1"/>
      <c r="AG417" s="1"/>
      <c r="AH417" s="1"/>
      <c r="AI417" s="1"/>
      <c r="AJ417" s="1"/>
      <c r="AK417" s="1"/>
      <c r="AL417" s="1"/>
      <c r="AM417" s="1"/>
      <c r="AN417" s="1"/>
    </row>
    <row r="418" spans="1:40" ht="15" outlineLevel="1" thickTop="1">
      <c r="A418" s="127"/>
      <c r="B418" s="849"/>
      <c r="C418" s="764"/>
      <c r="D418" s="889"/>
      <c r="E418" s="865"/>
      <c r="F418" s="865"/>
      <c r="G418" s="835"/>
      <c r="H418" s="836"/>
      <c r="I418" s="213" t="s">
        <v>188</v>
      </c>
      <c r="J418" s="214"/>
      <c r="K418" s="835"/>
      <c r="L418" s="836"/>
      <c r="M418" s="792"/>
      <c r="N418" s="835"/>
      <c r="O418" s="836"/>
      <c r="P418" s="835"/>
      <c r="Q418" s="836"/>
      <c r="R418" s="792"/>
      <c r="S418" s="792"/>
      <c r="T418" s="792"/>
      <c r="U418" s="792"/>
      <c r="V418" s="913"/>
      <c r="W418" s="792"/>
      <c r="X418" s="792"/>
      <c r="Y418" s="907"/>
      <c r="Z418" s="1"/>
      <c r="AA418" s="1"/>
      <c r="AB418" s="1"/>
      <c r="AC418" s="1"/>
      <c r="AD418" s="1"/>
      <c r="AE418" s="1"/>
      <c r="AF418" s="1"/>
      <c r="AG418" s="1"/>
      <c r="AH418" s="1"/>
      <c r="AI418" s="1"/>
      <c r="AJ418" s="1"/>
      <c r="AK418" s="1"/>
      <c r="AL418" s="1"/>
      <c r="AM418" s="1"/>
      <c r="AN418" s="1"/>
    </row>
    <row r="419" spans="1:40" ht="15.6" customHeight="1" outlineLevel="1">
      <c r="A419" s="127"/>
      <c r="B419" s="849"/>
      <c r="C419" s="765"/>
      <c r="D419" s="761"/>
      <c r="E419" s="883"/>
      <c r="F419" s="883"/>
      <c r="G419" s="837"/>
      <c r="H419" s="838"/>
      <c r="I419" s="215" t="s">
        <v>189</v>
      </c>
      <c r="J419" s="216"/>
      <c r="K419" s="837"/>
      <c r="L419" s="838"/>
      <c r="M419" s="793"/>
      <c r="N419" s="837"/>
      <c r="O419" s="838"/>
      <c r="P419" s="837"/>
      <c r="Q419" s="838"/>
      <c r="R419" s="793"/>
      <c r="S419" s="793"/>
      <c r="T419" s="793"/>
      <c r="U419" s="793"/>
      <c r="V419" s="914"/>
      <c r="W419" s="793"/>
      <c r="X419" s="793"/>
      <c r="Y419" s="908"/>
      <c r="Z419" s="1"/>
      <c r="AA419" s="1"/>
      <c r="AB419" s="1"/>
      <c r="AC419" s="1"/>
      <c r="AD419" s="1"/>
      <c r="AE419" s="1"/>
      <c r="AF419" s="1"/>
      <c r="AG419" s="1"/>
      <c r="AH419" s="1"/>
      <c r="AI419" s="1"/>
      <c r="AJ419" s="1"/>
      <c r="AK419" s="1"/>
      <c r="AL419" s="1"/>
      <c r="AM419" s="1"/>
      <c r="AN419" s="1"/>
    </row>
    <row r="420" spans="1:40" ht="15.6" customHeight="1" outlineLevel="1" thickBot="1">
      <c r="A420" s="127"/>
      <c r="B420" s="849"/>
      <c r="C420" s="766"/>
      <c r="D420" s="888"/>
      <c r="E420" s="846"/>
      <c r="F420" s="846"/>
      <c r="G420" s="863"/>
      <c r="H420" s="864"/>
      <c r="I420" s="217" t="s">
        <v>190</v>
      </c>
      <c r="J420" s="218"/>
      <c r="K420" s="863"/>
      <c r="L420" s="864"/>
      <c r="M420" s="794"/>
      <c r="N420" s="863"/>
      <c r="O420" s="864"/>
      <c r="P420" s="863"/>
      <c r="Q420" s="864"/>
      <c r="R420" s="794"/>
      <c r="S420" s="794"/>
      <c r="T420" s="794"/>
      <c r="U420" s="794"/>
      <c r="V420" s="915"/>
      <c r="W420" s="794"/>
      <c r="X420" s="794"/>
      <c r="Y420" s="909"/>
      <c r="Z420" s="1"/>
      <c r="AA420" s="1"/>
      <c r="AB420" s="1"/>
      <c r="AC420" s="1"/>
      <c r="AD420" s="1"/>
      <c r="AE420" s="1"/>
      <c r="AF420" s="1"/>
      <c r="AG420" s="1"/>
      <c r="AH420" s="1"/>
      <c r="AI420" s="1"/>
      <c r="AJ420" s="1"/>
      <c r="AK420" s="1"/>
      <c r="AL420" s="1"/>
      <c r="AM420" s="1"/>
      <c r="AN420" s="1"/>
    </row>
    <row r="421" spans="1:40" ht="15" outlineLevel="1" thickTop="1">
      <c r="A421" s="127"/>
      <c r="B421" s="849"/>
      <c r="C421" s="764"/>
      <c r="D421" s="889"/>
      <c r="E421" s="865"/>
      <c r="F421" s="865"/>
      <c r="G421" s="857"/>
      <c r="H421" s="858"/>
      <c r="I421" s="213" t="s">
        <v>188</v>
      </c>
      <c r="J421" s="214"/>
      <c r="K421" s="839"/>
      <c r="L421" s="840"/>
      <c r="M421" s="885"/>
      <c r="N421" s="839"/>
      <c r="O421" s="840"/>
      <c r="P421" s="839"/>
      <c r="Q421" s="840"/>
      <c r="R421" s="885"/>
      <c r="S421" s="885"/>
      <c r="T421" s="885"/>
      <c r="U421" s="885"/>
      <c r="V421" s="916"/>
      <c r="W421" s="885"/>
      <c r="X421" s="885"/>
      <c r="Y421" s="907"/>
      <c r="Z421" s="1"/>
      <c r="AA421" s="1"/>
      <c r="AB421" s="1"/>
      <c r="AC421" s="1"/>
      <c r="AD421" s="1"/>
      <c r="AE421" s="1"/>
      <c r="AF421" s="1"/>
      <c r="AG421" s="1"/>
      <c r="AH421" s="1"/>
      <c r="AI421" s="1"/>
      <c r="AJ421" s="1"/>
      <c r="AK421" s="1"/>
      <c r="AL421" s="1"/>
      <c r="AM421" s="1"/>
      <c r="AN421" s="1"/>
    </row>
    <row r="422" spans="1:40" outlineLevel="1">
      <c r="A422" s="127"/>
      <c r="B422" s="849"/>
      <c r="C422" s="765"/>
      <c r="D422" s="761"/>
      <c r="E422" s="883"/>
      <c r="F422" s="883"/>
      <c r="G422" s="859"/>
      <c r="H422" s="860"/>
      <c r="I422" s="215" t="s">
        <v>189</v>
      </c>
      <c r="J422" s="216"/>
      <c r="K422" s="841"/>
      <c r="L422" s="842"/>
      <c r="M422" s="886"/>
      <c r="N422" s="841"/>
      <c r="O422" s="842"/>
      <c r="P422" s="841"/>
      <c r="Q422" s="842"/>
      <c r="R422" s="886"/>
      <c r="S422" s="886"/>
      <c r="T422" s="886"/>
      <c r="U422" s="886"/>
      <c r="V422" s="917"/>
      <c r="W422" s="886"/>
      <c r="X422" s="886"/>
      <c r="Y422" s="908"/>
      <c r="Z422" s="1"/>
      <c r="AA422" s="1"/>
      <c r="AB422" s="1"/>
      <c r="AC422" s="1"/>
      <c r="AD422" s="1"/>
      <c r="AE422" s="1"/>
      <c r="AF422" s="1"/>
      <c r="AG422" s="1"/>
      <c r="AH422" s="1"/>
      <c r="AI422" s="1"/>
      <c r="AJ422" s="1"/>
      <c r="AK422" s="1"/>
      <c r="AL422" s="1"/>
      <c r="AM422" s="1"/>
      <c r="AN422" s="1"/>
    </row>
    <row r="423" spans="1:40" ht="15" outlineLevel="1" thickBot="1">
      <c r="A423" s="127"/>
      <c r="B423" s="849"/>
      <c r="C423" s="766"/>
      <c r="D423" s="888"/>
      <c r="E423" s="846"/>
      <c r="F423" s="846"/>
      <c r="G423" s="861"/>
      <c r="H423" s="862"/>
      <c r="I423" s="217" t="s">
        <v>190</v>
      </c>
      <c r="J423" s="218"/>
      <c r="K423" s="843"/>
      <c r="L423" s="844"/>
      <c r="M423" s="887"/>
      <c r="N423" s="843"/>
      <c r="O423" s="844"/>
      <c r="P423" s="843"/>
      <c r="Q423" s="844"/>
      <c r="R423" s="887"/>
      <c r="S423" s="887"/>
      <c r="T423" s="887"/>
      <c r="U423" s="887"/>
      <c r="V423" s="918"/>
      <c r="W423" s="887"/>
      <c r="X423" s="887"/>
      <c r="Y423" s="909"/>
      <c r="Z423" s="1"/>
      <c r="AA423" s="1"/>
      <c r="AB423" s="1"/>
      <c r="AC423" s="1"/>
      <c r="AD423" s="1"/>
      <c r="AE423" s="1"/>
      <c r="AF423" s="1"/>
      <c r="AG423" s="1"/>
      <c r="AH423" s="1"/>
      <c r="AI423" s="1"/>
      <c r="AJ423" s="1"/>
      <c r="AK423" s="1"/>
      <c r="AL423" s="1"/>
      <c r="AM423" s="1"/>
      <c r="AN423" s="1"/>
    </row>
    <row r="424" spans="1:40" ht="15" outlineLevel="1" thickTop="1">
      <c r="A424" s="127"/>
      <c r="B424" s="849"/>
      <c r="C424" s="764"/>
      <c r="D424" s="761"/>
      <c r="E424" s="882"/>
      <c r="F424" s="882"/>
      <c r="G424" s="837"/>
      <c r="H424" s="838"/>
      <c r="I424" s="219" t="s">
        <v>188</v>
      </c>
      <c r="J424" s="220"/>
      <c r="K424" s="835"/>
      <c r="L424" s="836"/>
      <c r="M424" s="792"/>
      <c r="N424" s="835"/>
      <c r="O424" s="836"/>
      <c r="P424" s="835"/>
      <c r="Q424" s="836"/>
      <c r="R424" s="792"/>
      <c r="S424" s="792"/>
      <c r="T424" s="792"/>
      <c r="U424" s="792"/>
      <c r="V424" s="913"/>
      <c r="W424" s="792"/>
      <c r="X424" s="792"/>
      <c r="Y424" s="907"/>
      <c r="Z424" s="1"/>
      <c r="AA424" s="1"/>
      <c r="AB424" s="1"/>
      <c r="AC424" s="1"/>
      <c r="AD424" s="1"/>
      <c r="AE424" s="1"/>
      <c r="AF424" s="1"/>
      <c r="AG424" s="1"/>
      <c r="AH424" s="1"/>
      <c r="AI424" s="1"/>
      <c r="AJ424" s="1"/>
      <c r="AK424" s="1"/>
      <c r="AL424" s="1"/>
      <c r="AM424" s="1"/>
      <c r="AN424" s="1"/>
    </row>
    <row r="425" spans="1:40" ht="15.6" customHeight="1" outlineLevel="1">
      <c r="A425" s="127"/>
      <c r="B425" s="849"/>
      <c r="C425" s="765"/>
      <c r="D425" s="761"/>
      <c r="E425" s="883"/>
      <c r="F425" s="883"/>
      <c r="G425" s="837"/>
      <c r="H425" s="838"/>
      <c r="I425" s="215" t="s">
        <v>189</v>
      </c>
      <c r="J425" s="216"/>
      <c r="K425" s="837"/>
      <c r="L425" s="838"/>
      <c r="M425" s="793"/>
      <c r="N425" s="837"/>
      <c r="O425" s="838"/>
      <c r="P425" s="837"/>
      <c r="Q425" s="838"/>
      <c r="R425" s="793"/>
      <c r="S425" s="793"/>
      <c r="T425" s="793"/>
      <c r="U425" s="793"/>
      <c r="V425" s="914"/>
      <c r="W425" s="793"/>
      <c r="X425" s="793"/>
      <c r="Y425" s="908"/>
      <c r="Z425" s="1"/>
      <c r="AA425" s="1"/>
      <c r="AB425" s="1"/>
      <c r="AC425" s="1"/>
      <c r="AD425" s="1"/>
      <c r="AE425" s="1"/>
      <c r="AF425" s="1"/>
      <c r="AG425" s="1"/>
      <c r="AH425" s="1"/>
      <c r="AI425" s="1"/>
      <c r="AJ425" s="1"/>
      <c r="AK425" s="1"/>
      <c r="AL425" s="1"/>
      <c r="AM425" s="1"/>
      <c r="AN425" s="1"/>
    </row>
    <row r="426" spans="1:40" ht="15.6" customHeight="1" outlineLevel="1" thickBot="1">
      <c r="A426" s="127"/>
      <c r="B426" s="849"/>
      <c r="C426" s="766"/>
      <c r="D426" s="761"/>
      <c r="E426" s="884"/>
      <c r="F426" s="884"/>
      <c r="G426" s="837"/>
      <c r="H426" s="838"/>
      <c r="I426" s="221" t="s">
        <v>190</v>
      </c>
      <c r="J426" s="222"/>
      <c r="K426" s="863"/>
      <c r="L426" s="864"/>
      <c r="M426" s="794"/>
      <c r="N426" s="863"/>
      <c r="O426" s="864"/>
      <c r="P426" s="863"/>
      <c r="Q426" s="864"/>
      <c r="R426" s="794"/>
      <c r="S426" s="794"/>
      <c r="T426" s="794"/>
      <c r="U426" s="794"/>
      <c r="V426" s="915"/>
      <c r="W426" s="794"/>
      <c r="X426" s="794"/>
      <c r="Y426" s="909"/>
      <c r="Z426" s="1"/>
      <c r="AA426" s="1"/>
      <c r="AB426" s="1"/>
      <c r="AC426" s="1"/>
      <c r="AD426" s="1"/>
      <c r="AE426" s="1"/>
      <c r="AF426" s="1"/>
      <c r="AG426" s="1"/>
      <c r="AH426" s="1"/>
      <c r="AI426" s="1"/>
      <c r="AJ426" s="1"/>
      <c r="AK426" s="1"/>
      <c r="AL426" s="1"/>
      <c r="AM426" s="1"/>
      <c r="AN426" s="1"/>
    </row>
    <row r="427" spans="1:40" ht="15" outlineLevel="1" thickTop="1">
      <c r="A427" s="127"/>
      <c r="B427" s="849"/>
      <c r="C427" s="764"/>
      <c r="D427" s="889"/>
      <c r="E427" s="865"/>
      <c r="F427" s="865"/>
      <c r="G427" s="857"/>
      <c r="H427" s="858"/>
      <c r="I427" s="213" t="s">
        <v>188</v>
      </c>
      <c r="J427" s="214"/>
      <c r="K427" s="839"/>
      <c r="L427" s="840"/>
      <c r="M427" s="885"/>
      <c r="N427" s="839"/>
      <c r="O427" s="840"/>
      <c r="P427" s="839"/>
      <c r="Q427" s="840"/>
      <c r="R427" s="885"/>
      <c r="S427" s="885"/>
      <c r="T427" s="885"/>
      <c r="U427" s="885"/>
      <c r="V427" s="916"/>
      <c r="W427" s="885"/>
      <c r="X427" s="885"/>
      <c r="Y427" s="907"/>
      <c r="Z427" s="1"/>
      <c r="AA427" s="1"/>
      <c r="AB427" s="1"/>
      <c r="AC427" s="1"/>
      <c r="AD427" s="1"/>
      <c r="AE427" s="1"/>
      <c r="AF427" s="1"/>
      <c r="AG427" s="1"/>
      <c r="AH427" s="1"/>
      <c r="AI427" s="1"/>
      <c r="AJ427" s="1"/>
      <c r="AK427" s="1"/>
      <c r="AL427" s="1"/>
      <c r="AM427" s="1"/>
      <c r="AN427" s="1"/>
    </row>
    <row r="428" spans="1:40" outlineLevel="1">
      <c r="A428" s="127"/>
      <c r="B428" s="849"/>
      <c r="C428" s="765"/>
      <c r="D428" s="761"/>
      <c r="E428" s="883"/>
      <c r="F428" s="883"/>
      <c r="G428" s="859"/>
      <c r="H428" s="860"/>
      <c r="I428" s="215" t="s">
        <v>189</v>
      </c>
      <c r="J428" s="216"/>
      <c r="K428" s="841"/>
      <c r="L428" s="842"/>
      <c r="M428" s="886"/>
      <c r="N428" s="841"/>
      <c r="O428" s="842"/>
      <c r="P428" s="841"/>
      <c r="Q428" s="842"/>
      <c r="R428" s="886"/>
      <c r="S428" s="886"/>
      <c r="T428" s="886"/>
      <c r="U428" s="886"/>
      <c r="V428" s="917"/>
      <c r="W428" s="886"/>
      <c r="X428" s="886"/>
      <c r="Y428" s="908"/>
      <c r="Z428" s="1"/>
      <c r="AA428" s="1"/>
      <c r="AB428" s="1"/>
      <c r="AC428" s="1"/>
      <c r="AD428" s="1"/>
      <c r="AE428" s="1"/>
      <c r="AF428" s="1"/>
      <c r="AG428" s="1"/>
      <c r="AH428" s="1"/>
      <c r="AI428" s="1"/>
      <c r="AJ428" s="1"/>
      <c r="AK428" s="1"/>
      <c r="AL428" s="1"/>
      <c r="AM428" s="1"/>
      <c r="AN428" s="1"/>
    </row>
    <row r="429" spans="1:40" ht="15" outlineLevel="1" thickBot="1">
      <c r="A429" s="127"/>
      <c r="B429" s="849"/>
      <c r="C429" s="766"/>
      <c r="D429" s="888"/>
      <c r="E429" s="846"/>
      <c r="F429" s="846"/>
      <c r="G429" s="861"/>
      <c r="H429" s="862"/>
      <c r="I429" s="217" t="s">
        <v>190</v>
      </c>
      <c r="J429" s="218"/>
      <c r="K429" s="843"/>
      <c r="L429" s="844"/>
      <c r="M429" s="887"/>
      <c r="N429" s="843"/>
      <c r="O429" s="844"/>
      <c r="P429" s="843"/>
      <c r="Q429" s="844"/>
      <c r="R429" s="887"/>
      <c r="S429" s="887"/>
      <c r="T429" s="887"/>
      <c r="U429" s="887"/>
      <c r="V429" s="918"/>
      <c r="W429" s="887"/>
      <c r="X429" s="887"/>
      <c r="Y429" s="909"/>
      <c r="Z429" s="1"/>
      <c r="AA429" s="1"/>
      <c r="AB429" s="1"/>
      <c r="AC429" s="1"/>
      <c r="AD429" s="1"/>
      <c r="AE429" s="1"/>
      <c r="AF429" s="1"/>
      <c r="AG429" s="1"/>
      <c r="AH429" s="1"/>
      <c r="AI429" s="1"/>
      <c r="AJ429" s="1"/>
      <c r="AK429" s="1"/>
      <c r="AL429" s="1"/>
      <c r="AM429" s="1"/>
      <c r="AN429" s="1"/>
    </row>
    <row r="430" spans="1:40" ht="15" outlineLevel="1" thickTop="1">
      <c r="A430" s="127"/>
      <c r="B430" s="849"/>
      <c r="C430" s="764"/>
      <c r="D430" s="761"/>
      <c r="E430" s="882"/>
      <c r="F430" s="882"/>
      <c r="G430" s="837"/>
      <c r="H430" s="838"/>
      <c r="I430" s="219" t="s">
        <v>188</v>
      </c>
      <c r="J430" s="220"/>
      <c r="K430" s="835"/>
      <c r="L430" s="836"/>
      <c r="M430" s="792"/>
      <c r="N430" s="835"/>
      <c r="O430" s="836"/>
      <c r="P430" s="835"/>
      <c r="Q430" s="836"/>
      <c r="R430" s="792"/>
      <c r="S430" s="792"/>
      <c r="T430" s="792"/>
      <c r="U430" s="792"/>
      <c r="V430" s="913"/>
      <c r="W430" s="792"/>
      <c r="X430" s="792"/>
      <c r="Y430" s="907"/>
      <c r="Z430" s="1"/>
      <c r="AA430" s="1"/>
      <c r="AB430" s="1"/>
      <c r="AC430" s="1"/>
      <c r="AD430" s="1"/>
      <c r="AE430" s="1"/>
      <c r="AF430" s="1"/>
      <c r="AG430" s="1"/>
      <c r="AH430" s="1"/>
      <c r="AI430" s="1"/>
      <c r="AJ430" s="1"/>
      <c r="AK430" s="1"/>
      <c r="AL430" s="1"/>
      <c r="AM430" s="1"/>
      <c r="AN430" s="1"/>
    </row>
    <row r="431" spans="1:40" ht="15.6" customHeight="1" outlineLevel="1">
      <c r="A431" s="127"/>
      <c r="B431" s="849"/>
      <c r="C431" s="765"/>
      <c r="D431" s="761"/>
      <c r="E431" s="883"/>
      <c r="F431" s="883"/>
      <c r="G431" s="837"/>
      <c r="H431" s="838"/>
      <c r="I431" s="215" t="s">
        <v>189</v>
      </c>
      <c r="J431" s="216"/>
      <c r="K431" s="837"/>
      <c r="L431" s="838"/>
      <c r="M431" s="793"/>
      <c r="N431" s="837"/>
      <c r="O431" s="838"/>
      <c r="P431" s="837"/>
      <c r="Q431" s="838"/>
      <c r="R431" s="793"/>
      <c r="S431" s="793"/>
      <c r="T431" s="793"/>
      <c r="U431" s="793"/>
      <c r="V431" s="914"/>
      <c r="W431" s="793"/>
      <c r="X431" s="793"/>
      <c r="Y431" s="908"/>
      <c r="Z431" s="1"/>
      <c r="AA431" s="1"/>
      <c r="AB431" s="1"/>
      <c r="AC431" s="1"/>
      <c r="AD431" s="1"/>
      <c r="AE431" s="1"/>
      <c r="AF431" s="1"/>
      <c r="AG431" s="1"/>
      <c r="AH431" s="1"/>
      <c r="AI431" s="1"/>
      <c r="AJ431" s="1"/>
      <c r="AK431" s="1"/>
      <c r="AL431" s="1"/>
      <c r="AM431" s="1"/>
      <c r="AN431" s="1"/>
    </row>
    <row r="432" spans="1:40" ht="15.6" customHeight="1" outlineLevel="1" thickBot="1">
      <c r="A432" s="127"/>
      <c r="B432" s="849"/>
      <c r="C432" s="765"/>
      <c r="D432" s="761"/>
      <c r="E432" s="884"/>
      <c r="F432" s="884"/>
      <c r="G432" s="837"/>
      <c r="H432" s="838"/>
      <c r="I432" s="221" t="s">
        <v>190</v>
      </c>
      <c r="J432" s="222"/>
      <c r="K432" s="863"/>
      <c r="L432" s="864"/>
      <c r="M432" s="794"/>
      <c r="N432" s="863"/>
      <c r="O432" s="864"/>
      <c r="P432" s="863"/>
      <c r="Q432" s="864"/>
      <c r="R432" s="794"/>
      <c r="S432" s="794"/>
      <c r="T432" s="794"/>
      <c r="U432" s="794"/>
      <c r="V432" s="915"/>
      <c r="W432" s="794"/>
      <c r="X432" s="794"/>
      <c r="Y432" s="909"/>
      <c r="Z432" s="1"/>
      <c r="AA432" s="1"/>
      <c r="AB432" s="1"/>
      <c r="AC432" s="1"/>
      <c r="AD432" s="1"/>
      <c r="AE432" s="1"/>
      <c r="AF432" s="1"/>
      <c r="AG432" s="1"/>
      <c r="AH432" s="1"/>
      <c r="AI432" s="1"/>
      <c r="AJ432" s="1"/>
      <c r="AK432" s="1"/>
      <c r="AL432" s="1"/>
      <c r="AM432" s="1"/>
      <c r="AN432" s="1"/>
    </row>
    <row r="433" spans="1:40" ht="15" outlineLevel="1" thickTop="1">
      <c r="A433" s="127"/>
      <c r="B433" s="849"/>
      <c r="C433" s="764"/>
      <c r="D433" s="889"/>
      <c r="E433" s="865"/>
      <c r="F433" s="865"/>
      <c r="G433" s="835"/>
      <c r="H433" s="836"/>
      <c r="I433" s="213" t="s">
        <v>188</v>
      </c>
      <c r="J433" s="214"/>
      <c r="K433" s="835"/>
      <c r="L433" s="836"/>
      <c r="M433" s="792"/>
      <c r="N433" s="835"/>
      <c r="O433" s="836"/>
      <c r="P433" s="835"/>
      <c r="Q433" s="836"/>
      <c r="R433" s="792"/>
      <c r="S433" s="792"/>
      <c r="T433" s="792"/>
      <c r="U433" s="792"/>
      <c r="V433" s="913"/>
      <c r="W433" s="792"/>
      <c r="X433" s="792"/>
      <c r="Y433" s="907"/>
      <c r="Z433" s="1"/>
      <c r="AA433" s="1"/>
      <c r="AB433" s="1"/>
      <c r="AC433" s="1"/>
      <c r="AD433" s="1"/>
      <c r="AE433" s="1"/>
      <c r="AF433" s="1"/>
      <c r="AG433" s="1"/>
      <c r="AH433" s="1"/>
      <c r="AI433" s="1"/>
      <c r="AJ433" s="1"/>
      <c r="AK433" s="1"/>
      <c r="AL433" s="1"/>
      <c r="AM433" s="1"/>
      <c r="AN433" s="1"/>
    </row>
    <row r="434" spans="1:40" ht="15.6" customHeight="1" outlineLevel="1">
      <c r="A434" s="127"/>
      <c r="B434" s="849"/>
      <c r="C434" s="765"/>
      <c r="D434" s="761"/>
      <c r="E434" s="883"/>
      <c r="F434" s="883"/>
      <c r="G434" s="837"/>
      <c r="H434" s="838"/>
      <c r="I434" s="215" t="s">
        <v>189</v>
      </c>
      <c r="J434" s="216"/>
      <c r="K434" s="837"/>
      <c r="L434" s="838"/>
      <c r="M434" s="793"/>
      <c r="N434" s="837"/>
      <c r="O434" s="838"/>
      <c r="P434" s="837"/>
      <c r="Q434" s="838"/>
      <c r="R434" s="793"/>
      <c r="S434" s="793"/>
      <c r="T434" s="793"/>
      <c r="U434" s="793"/>
      <c r="V434" s="914"/>
      <c r="W434" s="793"/>
      <c r="X434" s="793"/>
      <c r="Y434" s="908"/>
      <c r="Z434" s="1"/>
      <c r="AA434" s="1"/>
      <c r="AB434" s="1"/>
      <c r="AC434" s="1"/>
      <c r="AD434" s="1"/>
      <c r="AE434" s="1"/>
      <c r="AF434" s="1"/>
      <c r="AG434" s="1"/>
      <c r="AH434" s="1"/>
      <c r="AI434" s="1"/>
      <c r="AJ434" s="1"/>
      <c r="AK434" s="1"/>
      <c r="AL434" s="1"/>
      <c r="AM434" s="1"/>
      <c r="AN434" s="1"/>
    </row>
    <row r="435" spans="1:40" ht="15.6" customHeight="1" outlineLevel="1" thickBot="1">
      <c r="A435" s="127"/>
      <c r="B435" s="849"/>
      <c r="C435" s="766"/>
      <c r="D435" s="888"/>
      <c r="E435" s="846"/>
      <c r="F435" s="846"/>
      <c r="G435" s="863"/>
      <c r="H435" s="864"/>
      <c r="I435" s="221" t="s">
        <v>190</v>
      </c>
      <c r="J435" s="222"/>
      <c r="K435" s="863"/>
      <c r="L435" s="864"/>
      <c r="M435" s="794"/>
      <c r="N435" s="863"/>
      <c r="O435" s="864"/>
      <c r="P435" s="863"/>
      <c r="Q435" s="864"/>
      <c r="R435" s="794"/>
      <c r="S435" s="794"/>
      <c r="T435" s="794"/>
      <c r="U435" s="794"/>
      <c r="V435" s="915"/>
      <c r="W435" s="794"/>
      <c r="X435" s="794"/>
      <c r="Y435" s="909"/>
      <c r="Z435" s="1"/>
      <c r="AA435" s="1"/>
      <c r="AB435" s="1"/>
      <c r="AC435" s="1"/>
      <c r="AD435" s="1"/>
      <c r="AE435" s="1"/>
      <c r="AF435" s="1"/>
      <c r="AG435" s="1"/>
      <c r="AH435" s="1"/>
      <c r="AI435" s="1"/>
      <c r="AJ435" s="1"/>
      <c r="AK435" s="1"/>
      <c r="AL435" s="1"/>
      <c r="AM435" s="1"/>
      <c r="AN435" s="1"/>
    </row>
    <row r="436" spans="1:40" ht="15" outlineLevel="1" thickTop="1">
      <c r="A436" s="127"/>
      <c r="B436" s="849"/>
      <c r="C436" s="764"/>
      <c r="D436" s="889"/>
      <c r="E436" s="865"/>
      <c r="F436" s="865"/>
      <c r="G436" s="857"/>
      <c r="H436" s="858"/>
      <c r="I436" s="213" t="s">
        <v>188</v>
      </c>
      <c r="J436" s="214"/>
      <c r="K436" s="839"/>
      <c r="L436" s="840"/>
      <c r="M436" s="885"/>
      <c r="N436" s="839"/>
      <c r="O436" s="840"/>
      <c r="P436" s="839"/>
      <c r="Q436" s="840"/>
      <c r="R436" s="885"/>
      <c r="S436" s="885"/>
      <c r="T436" s="885"/>
      <c r="U436" s="885"/>
      <c r="V436" s="916"/>
      <c r="W436" s="885"/>
      <c r="X436" s="885"/>
      <c r="Y436" s="907"/>
      <c r="Z436" s="1"/>
      <c r="AA436" s="1"/>
      <c r="AB436" s="1"/>
      <c r="AC436" s="1"/>
      <c r="AD436" s="1"/>
      <c r="AE436" s="1"/>
      <c r="AF436" s="1"/>
      <c r="AG436" s="1"/>
      <c r="AH436" s="1"/>
      <c r="AI436" s="1"/>
      <c r="AJ436" s="1"/>
      <c r="AK436" s="1"/>
      <c r="AL436" s="1"/>
      <c r="AM436" s="1"/>
      <c r="AN436" s="1"/>
    </row>
    <row r="437" spans="1:40" outlineLevel="1">
      <c r="A437" s="127"/>
      <c r="B437" s="849"/>
      <c r="C437" s="765"/>
      <c r="D437" s="761"/>
      <c r="E437" s="883"/>
      <c r="F437" s="883"/>
      <c r="G437" s="859"/>
      <c r="H437" s="860"/>
      <c r="I437" s="215" t="s">
        <v>189</v>
      </c>
      <c r="J437" s="216"/>
      <c r="K437" s="841"/>
      <c r="L437" s="842"/>
      <c r="M437" s="886"/>
      <c r="N437" s="841"/>
      <c r="O437" s="842"/>
      <c r="P437" s="841"/>
      <c r="Q437" s="842"/>
      <c r="R437" s="886"/>
      <c r="S437" s="886"/>
      <c r="T437" s="886"/>
      <c r="U437" s="886"/>
      <c r="V437" s="917"/>
      <c r="W437" s="886"/>
      <c r="X437" s="886"/>
      <c r="Y437" s="908"/>
      <c r="Z437" s="1"/>
      <c r="AA437" s="1"/>
      <c r="AB437" s="1"/>
      <c r="AC437" s="1"/>
      <c r="AD437" s="1"/>
      <c r="AE437" s="1"/>
      <c r="AF437" s="1"/>
      <c r="AG437" s="1"/>
      <c r="AH437" s="1"/>
      <c r="AI437" s="1"/>
      <c r="AJ437" s="1"/>
      <c r="AK437" s="1"/>
      <c r="AL437" s="1"/>
      <c r="AM437" s="1"/>
      <c r="AN437" s="1"/>
    </row>
    <row r="438" spans="1:40" ht="15" outlineLevel="1" thickBot="1">
      <c r="A438" s="127"/>
      <c r="B438" s="849"/>
      <c r="C438" s="766"/>
      <c r="D438" s="888"/>
      <c r="E438" s="846"/>
      <c r="F438" s="846"/>
      <c r="G438" s="861"/>
      <c r="H438" s="862"/>
      <c r="I438" s="217" t="s">
        <v>190</v>
      </c>
      <c r="J438" s="218"/>
      <c r="K438" s="843"/>
      <c r="L438" s="844"/>
      <c r="M438" s="887"/>
      <c r="N438" s="843"/>
      <c r="O438" s="844"/>
      <c r="P438" s="843"/>
      <c r="Q438" s="844"/>
      <c r="R438" s="887"/>
      <c r="S438" s="887"/>
      <c r="T438" s="887"/>
      <c r="U438" s="887"/>
      <c r="V438" s="918"/>
      <c r="W438" s="887"/>
      <c r="X438" s="887"/>
      <c r="Y438" s="909"/>
      <c r="Z438" s="1"/>
      <c r="AA438" s="1"/>
      <c r="AB438" s="1"/>
      <c r="AC438" s="1"/>
      <c r="AD438" s="1"/>
      <c r="AE438" s="1"/>
      <c r="AF438" s="1"/>
      <c r="AG438" s="1"/>
      <c r="AH438" s="1"/>
      <c r="AI438" s="1"/>
      <c r="AJ438" s="1"/>
      <c r="AK438" s="1"/>
      <c r="AL438" s="1"/>
      <c r="AM438" s="1"/>
      <c r="AN438" s="1"/>
    </row>
    <row r="439" spans="1:40" ht="15" outlineLevel="1" thickTop="1">
      <c r="A439" s="127"/>
      <c r="B439" s="849"/>
      <c r="C439" s="764"/>
      <c r="D439" s="761"/>
      <c r="E439" s="882"/>
      <c r="F439" s="882"/>
      <c r="G439" s="837"/>
      <c r="H439" s="838"/>
      <c r="I439" s="219" t="s">
        <v>188</v>
      </c>
      <c r="J439" s="220"/>
      <c r="K439" s="835"/>
      <c r="L439" s="836"/>
      <c r="M439" s="792"/>
      <c r="N439" s="835"/>
      <c r="O439" s="836"/>
      <c r="P439" s="835"/>
      <c r="Q439" s="836"/>
      <c r="R439" s="792"/>
      <c r="S439" s="792"/>
      <c r="T439" s="792"/>
      <c r="U439" s="792"/>
      <c r="V439" s="913"/>
      <c r="W439" s="792"/>
      <c r="X439" s="792"/>
      <c r="Y439" s="907"/>
      <c r="Z439" s="1"/>
      <c r="AA439" s="1"/>
      <c r="AB439" s="1"/>
      <c r="AC439" s="1"/>
      <c r="AD439" s="1"/>
      <c r="AE439" s="1"/>
      <c r="AF439" s="1"/>
      <c r="AG439" s="1"/>
      <c r="AH439" s="1"/>
      <c r="AI439" s="1"/>
      <c r="AJ439" s="1"/>
      <c r="AK439" s="1"/>
      <c r="AL439" s="1"/>
      <c r="AM439" s="1"/>
      <c r="AN439" s="1"/>
    </row>
    <row r="440" spans="1:40" ht="15.6" customHeight="1" outlineLevel="1">
      <c r="A440" s="127"/>
      <c r="B440" s="849"/>
      <c r="C440" s="765"/>
      <c r="D440" s="761"/>
      <c r="E440" s="883"/>
      <c r="F440" s="883"/>
      <c r="G440" s="837"/>
      <c r="H440" s="838"/>
      <c r="I440" s="215" t="s">
        <v>189</v>
      </c>
      <c r="J440" s="216"/>
      <c r="K440" s="837"/>
      <c r="L440" s="838"/>
      <c r="M440" s="793"/>
      <c r="N440" s="837"/>
      <c r="O440" s="838"/>
      <c r="P440" s="837"/>
      <c r="Q440" s="838"/>
      <c r="R440" s="793"/>
      <c r="S440" s="793"/>
      <c r="T440" s="793"/>
      <c r="U440" s="793"/>
      <c r="V440" s="914"/>
      <c r="W440" s="793"/>
      <c r="X440" s="793"/>
      <c r="Y440" s="908"/>
      <c r="Z440" s="1"/>
      <c r="AA440" s="1"/>
      <c r="AB440" s="1"/>
      <c r="AC440" s="1"/>
      <c r="AD440" s="1"/>
      <c r="AE440" s="1"/>
      <c r="AF440" s="1"/>
      <c r="AG440" s="1"/>
      <c r="AH440" s="1"/>
      <c r="AI440" s="1"/>
      <c r="AJ440" s="1"/>
      <c r="AK440" s="1"/>
      <c r="AL440" s="1"/>
      <c r="AM440" s="1"/>
      <c r="AN440" s="1"/>
    </row>
    <row r="441" spans="1:40" ht="15.6" customHeight="1" outlineLevel="1" thickBot="1">
      <c r="A441" s="127"/>
      <c r="B441" s="849"/>
      <c r="C441" s="766"/>
      <c r="D441" s="761"/>
      <c r="E441" s="884"/>
      <c r="F441" s="884"/>
      <c r="G441" s="837"/>
      <c r="H441" s="838"/>
      <c r="I441" s="221" t="s">
        <v>190</v>
      </c>
      <c r="J441" s="222"/>
      <c r="K441" s="863"/>
      <c r="L441" s="864"/>
      <c r="M441" s="794"/>
      <c r="N441" s="863"/>
      <c r="O441" s="864"/>
      <c r="P441" s="863"/>
      <c r="Q441" s="864"/>
      <c r="R441" s="794"/>
      <c r="S441" s="794"/>
      <c r="T441" s="794"/>
      <c r="U441" s="794"/>
      <c r="V441" s="915"/>
      <c r="W441" s="794"/>
      <c r="X441" s="794"/>
      <c r="Y441" s="909"/>
      <c r="Z441" s="1"/>
      <c r="AA441" s="1"/>
      <c r="AB441" s="1"/>
      <c r="AC441" s="1"/>
      <c r="AD441" s="1"/>
      <c r="AE441" s="1"/>
      <c r="AF441" s="1"/>
      <c r="AG441" s="1"/>
      <c r="AH441" s="1"/>
      <c r="AI441" s="1"/>
      <c r="AJ441" s="1"/>
      <c r="AK441" s="1"/>
      <c r="AL441" s="1"/>
      <c r="AM441" s="1"/>
      <c r="AN441" s="1"/>
    </row>
    <row r="442" spans="1:40" ht="15" outlineLevel="1" thickTop="1">
      <c r="A442" s="127"/>
      <c r="B442" s="849"/>
      <c r="C442" s="764"/>
      <c r="D442" s="889"/>
      <c r="E442" s="865"/>
      <c r="F442" s="865"/>
      <c r="G442" s="857"/>
      <c r="H442" s="858"/>
      <c r="I442" s="213" t="s">
        <v>188</v>
      </c>
      <c r="J442" s="214"/>
      <c r="K442" s="839"/>
      <c r="L442" s="840"/>
      <c r="M442" s="885"/>
      <c r="N442" s="839"/>
      <c r="O442" s="840"/>
      <c r="P442" s="839"/>
      <c r="Q442" s="840"/>
      <c r="R442" s="885"/>
      <c r="S442" s="885"/>
      <c r="T442" s="885"/>
      <c r="U442" s="885"/>
      <c r="V442" s="916"/>
      <c r="W442" s="885"/>
      <c r="X442" s="885"/>
      <c r="Y442" s="907"/>
      <c r="Z442" s="1"/>
      <c r="AA442" s="1"/>
      <c r="AB442" s="1"/>
      <c r="AC442" s="1"/>
      <c r="AD442" s="1"/>
      <c r="AE442" s="1"/>
      <c r="AF442" s="1"/>
      <c r="AG442" s="1"/>
      <c r="AH442" s="1"/>
      <c r="AI442" s="1"/>
      <c r="AJ442" s="1"/>
      <c r="AK442" s="1"/>
      <c r="AL442" s="1"/>
      <c r="AM442" s="1"/>
      <c r="AN442" s="1"/>
    </row>
    <row r="443" spans="1:40" outlineLevel="1">
      <c r="A443" s="127"/>
      <c r="B443" s="849"/>
      <c r="C443" s="765"/>
      <c r="D443" s="761"/>
      <c r="E443" s="883"/>
      <c r="F443" s="883"/>
      <c r="G443" s="859"/>
      <c r="H443" s="860"/>
      <c r="I443" s="215" t="s">
        <v>189</v>
      </c>
      <c r="J443" s="216"/>
      <c r="K443" s="841"/>
      <c r="L443" s="842"/>
      <c r="M443" s="886"/>
      <c r="N443" s="841"/>
      <c r="O443" s="842"/>
      <c r="P443" s="841"/>
      <c r="Q443" s="842"/>
      <c r="R443" s="886"/>
      <c r="S443" s="886"/>
      <c r="T443" s="886"/>
      <c r="U443" s="886"/>
      <c r="V443" s="917"/>
      <c r="W443" s="886"/>
      <c r="X443" s="886"/>
      <c r="Y443" s="908"/>
      <c r="Z443" s="1"/>
      <c r="AA443" s="1"/>
      <c r="AB443" s="1"/>
      <c r="AC443" s="1"/>
      <c r="AD443" s="1"/>
      <c r="AE443" s="1"/>
      <c r="AF443" s="1"/>
      <c r="AG443" s="1"/>
      <c r="AH443" s="1"/>
      <c r="AI443" s="1"/>
      <c r="AJ443" s="1"/>
      <c r="AK443" s="1"/>
      <c r="AL443" s="1"/>
      <c r="AM443" s="1"/>
      <c r="AN443" s="1"/>
    </row>
    <row r="444" spans="1:40" ht="15" outlineLevel="1" thickBot="1">
      <c r="A444" s="127"/>
      <c r="B444" s="849"/>
      <c r="C444" s="766"/>
      <c r="D444" s="888"/>
      <c r="E444" s="846"/>
      <c r="F444" s="846"/>
      <c r="G444" s="861"/>
      <c r="H444" s="862"/>
      <c r="I444" s="217" t="s">
        <v>190</v>
      </c>
      <c r="J444" s="218"/>
      <c r="K444" s="843"/>
      <c r="L444" s="844"/>
      <c r="M444" s="887"/>
      <c r="N444" s="843"/>
      <c r="O444" s="844"/>
      <c r="P444" s="843"/>
      <c r="Q444" s="844"/>
      <c r="R444" s="887"/>
      <c r="S444" s="887"/>
      <c r="T444" s="887"/>
      <c r="U444" s="887"/>
      <c r="V444" s="918"/>
      <c r="W444" s="887"/>
      <c r="X444" s="887"/>
      <c r="Y444" s="909"/>
      <c r="Z444" s="1"/>
      <c r="AA444" s="1"/>
      <c r="AB444" s="1"/>
      <c r="AC444" s="1"/>
      <c r="AD444" s="1"/>
      <c r="AE444" s="1"/>
      <c r="AF444" s="1"/>
      <c r="AG444" s="1"/>
      <c r="AH444" s="1"/>
      <c r="AI444" s="1"/>
      <c r="AJ444" s="1"/>
      <c r="AK444" s="1"/>
      <c r="AL444" s="1"/>
      <c r="AM444" s="1"/>
      <c r="AN444" s="1"/>
    </row>
    <row r="445" spans="1:40" ht="15" outlineLevel="1" thickTop="1">
      <c r="A445" s="127"/>
      <c r="B445" s="849"/>
      <c r="C445" s="764"/>
      <c r="D445" s="761"/>
      <c r="E445" s="882"/>
      <c r="F445" s="882"/>
      <c r="G445" s="837"/>
      <c r="H445" s="838"/>
      <c r="I445" s="219" t="s">
        <v>188</v>
      </c>
      <c r="J445" s="220"/>
      <c r="K445" s="835"/>
      <c r="L445" s="836"/>
      <c r="M445" s="792"/>
      <c r="N445" s="835"/>
      <c r="O445" s="836"/>
      <c r="P445" s="835"/>
      <c r="Q445" s="836"/>
      <c r="R445" s="792"/>
      <c r="S445" s="792"/>
      <c r="T445" s="792"/>
      <c r="U445" s="792"/>
      <c r="V445" s="913"/>
      <c r="W445" s="792"/>
      <c r="X445" s="792"/>
      <c r="Y445" s="907"/>
      <c r="Z445" s="1"/>
      <c r="AA445" s="1"/>
      <c r="AB445" s="1"/>
      <c r="AC445" s="1"/>
      <c r="AD445" s="1"/>
      <c r="AE445" s="1"/>
      <c r="AF445" s="1"/>
      <c r="AG445" s="1"/>
      <c r="AH445" s="1"/>
      <c r="AI445" s="1"/>
      <c r="AJ445" s="1"/>
      <c r="AK445" s="1"/>
      <c r="AL445" s="1"/>
      <c r="AM445" s="1"/>
      <c r="AN445" s="1"/>
    </row>
    <row r="446" spans="1:40" ht="15.6" customHeight="1" outlineLevel="1">
      <c r="A446" s="127"/>
      <c r="B446" s="849"/>
      <c r="C446" s="765"/>
      <c r="D446" s="761"/>
      <c r="E446" s="883"/>
      <c r="F446" s="883"/>
      <c r="G446" s="837"/>
      <c r="H446" s="838"/>
      <c r="I446" s="215" t="s">
        <v>189</v>
      </c>
      <c r="J446" s="216"/>
      <c r="K446" s="837"/>
      <c r="L446" s="838"/>
      <c r="M446" s="793"/>
      <c r="N446" s="837"/>
      <c r="O446" s="838"/>
      <c r="P446" s="837"/>
      <c r="Q446" s="838"/>
      <c r="R446" s="793"/>
      <c r="S446" s="793"/>
      <c r="T446" s="793"/>
      <c r="U446" s="793"/>
      <c r="V446" s="914"/>
      <c r="W446" s="793"/>
      <c r="X446" s="793"/>
      <c r="Y446" s="908"/>
      <c r="Z446" s="1"/>
      <c r="AA446" s="1"/>
      <c r="AB446" s="1"/>
      <c r="AC446" s="1"/>
      <c r="AD446" s="1"/>
      <c r="AE446" s="1"/>
      <c r="AF446" s="1"/>
      <c r="AG446" s="1"/>
      <c r="AH446" s="1"/>
      <c r="AI446" s="1"/>
      <c r="AJ446" s="1"/>
      <c r="AK446" s="1"/>
      <c r="AL446" s="1"/>
      <c r="AM446" s="1"/>
      <c r="AN446" s="1"/>
    </row>
    <row r="447" spans="1:40" ht="15.6" customHeight="1" outlineLevel="1" thickBot="1">
      <c r="A447" s="127"/>
      <c r="B447" s="849"/>
      <c r="C447" s="766"/>
      <c r="D447" s="761"/>
      <c r="E447" s="884"/>
      <c r="F447" s="884"/>
      <c r="G447" s="837"/>
      <c r="H447" s="838"/>
      <c r="I447" s="221" t="s">
        <v>190</v>
      </c>
      <c r="J447" s="222"/>
      <c r="K447" s="863"/>
      <c r="L447" s="864"/>
      <c r="M447" s="794"/>
      <c r="N447" s="863"/>
      <c r="O447" s="864"/>
      <c r="P447" s="863"/>
      <c r="Q447" s="864"/>
      <c r="R447" s="794"/>
      <c r="S447" s="794"/>
      <c r="T447" s="794"/>
      <c r="U447" s="794"/>
      <c r="V447" s="915"/>
      <c r="W447" s="794"/>
      <c r="X447" s="794"/>
      <c r="Y447" s="909"/>
      <c r="Z447" s="1"/>
      <c r="AA447" s="1"/>
      <c r="AB447" s="1"/>
      <c r="AC447" s="1"/>
      <c r="AD447" s="1"/>
      <c r="AE447" s="1"/>
      <c r="AF447" s="1"/>
      <c r="AG447" s="1"/>
      <c r="AH447" s="1"/>
      <c r="AI447" s="1"/>
      <c r="AJ447" s="1"/>
      <c r="AK447" s="1"/>
      <c r="AL447" s="1"/>
      <c r="AM447" s="1"/>
      <c r="AN447" s="1"/>
    </row>
    <row r="448" spans="1:40" ht="15" outlineLevel="1" thickTop="1">
      <c r="A448" s="127"/>
      <c r="B448" s="849"/>
      <c r="C448" s="764"/>
      <c r="D448" s="889"/>
      <c r="E448" s="865"/>
      <c r="F448" s="865"/>
      <c r="G448" s="857"/>
      <c r="H448" s="858"/>
      <c r="I448" s="213" t="s">
        <v>188</v>
      </c>
      <c r="J448" s="214"/>
      <c r="K448" s="839"/>
      <c r="L448" s="840"/>
      <c r="M448" s="885"/>
      <c r="N448" s="839"/>
      <c r="O448" s="840"/>
      <c r="P448" s="839"/>
      <c r="Q448" s="840"/>
      <c r="R448" s="885"/>
      <c r="S448" s="885"/>
      <c r="T448" s="885"/>
      <c r="U448" s="885"/>
      <c r="V448" s="916"/>
      <c r="W448" s="885"/>
      <c r="X448" s="885"/>
      <c r="Y448" s="907"/>
      <c r="Z448" s="1"/>
      <c r="AA448" s="1"/>
      <c r="AB448" s="1"/>
      <c r="AC448" s="1"/>
      <c r="AD448" s="1"/>
      <c r="AE448" s="1"/>
      <c r="AF448" s="1"/>
      <c r="AG448" s="1"/>
      <c r="AH448" s="1"/>
      <c r="AI448" s="1"/>
      <c r="AJ448" s="1"/>
      <c r="AK448" s="1"/>
      <c r="AL448" s="1"/>
      <c r="AM448" s="1"/>
      <c r="AN448" s="1"/>
    </row>
    <row r="449" spans="1:40" outlineLevel="1">
      <c r="A449" s="127"/>
      <c r="B449" s="849"/>
      <c r="C449" s="765"/>
      <c r="D449" s="761"/>
      <c r="E449" s="883"/>
      <c r="F449" s="883"/>
      <c r="G449" s="859"/>
      <c r="H449" s="860"/>
      <c r="I449" s="215" t="s">
        <v>189</v>
      </c>
      <c r="J449" s="216"/>
      <c r="K449" s="841"/>
      <c r="L449" s="842"/>
      <c r="M449" s="886"/>
      <c r="N449" s="841"/>
      <c r="O449" s="842"/>
      <c r="P449" s="841"/>
      <c r="Q449" s="842"/>
      <c r="R449" s="886"/>
      <c r="S449" s="886"/>
      <c r="T449" s="886"/>
      <c r="U449" s="886"/>
      <c r="V449" s="917"/>
      <c r="W449" s="886"/>
      <c r="X449" s="886"/>
      <c r="Y449" s="908"/>
      <c r="Z449" s="1"/>
      <c r="AA449" s="1"/>
      <c r="AB449" s="1"/>
      <c r="AC449" s="1"/>
      <c r="AD449" s="1"/>
      <c r="AE449" s="1"/>
      <c r="AF449" s="1"/>
      <c r="AG449" s="1"/>
      <c r="AH449" s="1"/>
      <c r="AI449" s="1"/>
      <c r="AJ449" s="1"/>
      <c r="AK449" s="1"/>
      <c r="AL449" s="1"/>
      <c r="AM449" s="1"/>
      <c r="AN449" s="1"/>
    </row>
    <row r="450" spans="1:40" ht="15" outlineLevel="1" thickBot="1">
      <c r="A450" s="127"/>
      <c r="B450" s="849"/>
      <c r="C450" s="766"/>
      <c r="D450" s="888"/>
      <c r="E450" s="846"/>
      <c r="F450" s="846"/>
      <c r="G450" s="861"/>
      <c r="H450" s="862"/>
      <c r="I450" s="217" t="s">
        <v>190</v>
      </c>
      <c r="J450" s="218"/>
      <c r="K450" s="843"/>
      <c r="L450" s="844"/>
      <c r="M450" s="887"/>
      <c r="N450" s="843"/>
      <c r="O450" s="844"/>
      <c r="P450" s="843"/>
      <c r="Q450" s="844"/>
      <c r="R450" s="887"/>
      <c r="S450" s="887"/>
      <c r="T450" s="887"/>
      <c r="U450" s="887"/>
      <c r="V450" s="918"/>
      <c r="W450" s="887"/>
      <c r="X450" s="887"/>
      <c r="Y450" s="909"/>
      <c r="Z450" s="1"/>
      <c r="AA450" s="1"/>
      <c r="AB450" s="1"/>
      <c r="AC450" s="1"/>
      <c r="AD450" s="1"/>
      <c r="AE450" s="1"/>
      <c r="AF450" s="1"/>
      <c r="AG450" s="1"/>
      <c r="AH450" s="1"/>
      <c r="AI450" s="1"/>
      <c r="AJ450" s="1"/>
      <c r="AK450" s="1"/>
      <c r="AL450" s="1"/>
      <c r="AM450" s="1"/>
      <c r="AN450" s="1"/>
    </row>
    <row r="451" spans="1:40" ht="15" outlineLevel="1" thickTop="1">
      <c r="A451" s="127"/>
      <c r="B451" s="849"/>
      <c r="C451" s="764"/>
      <c r="D451" s="761"/>
      <c r="E451" s="882"/>
      <c r="F451" s="882"/>
      <c r="G451" s="837"/>
      <c r="H451" s="838"/>
      <c r="I451" s="219" t="s">
        <v>188</v>
      </c>
      <c r="J451" s="220"/>
      <c r="K451" s="835"/>
      <c r="L451" s="836"/>
      <c r="M451" s="792"/>
      <c r="N451" s="835"/>
      <c r="O451" s="836"/>
      <c r="P451" s="835"/>
      <c r="Q451" s="836"/>
      <c r="R451" s="792"/>
      <c r="S451" s="792"/>
      <c r="T451" s="792"/>
      <c r="U451" s="792"/>
      <c r="V451" s="913"/>
      <c r="W451" s="792"/>
      <c r="X451" s="792"/>
      <c r="Y451" s="907"/>
      <c r="Z451" s="1"/>
      <c r="AA451" s="1"/>
      <c r="AB451" s="1"/>
      <c r="AC451" s="1"/>
      <c r="AD451" s="1"/>
      <c r="AE451" s="1"/>
      <c r="AF451" s="1"/>
      <c r="AG451" s="1"/>
      <c r="AH451" s="1"/>
      <c r="AI451" s="1"/>
      <c r="AJ451" s="1"/>
      <c r="AK451" s="1"/>
      <c r="AL451" s="1"/>
      <c r="AM451" s="1"/>
      <c r="AN451" s="1"/>
    </row>
    <row r="452" spans="1:40" ht="15.6" customHeight="1" outlineLevel="1">
      <c r="A452" s="127"/>
      <c r="B452" s="849"/>
      <c r="C452" s="765"/>
      <c r="D452" s="761"/>
      <c r="E452" s="883"/>
      <c r="F452" s="883"/>
      <c r="G452" s="837"/>
      <c r="H452" s="838"/>
      <c r="I452" s="215" t="s">
        <v>189</v>
      </c>
      <c r="J452" s="216"/>
      <c r="K452" s="837"/>
      <c r="L452" s="838"/>
      <c r="M452" s="793"/>
      <c r="N452" s="837"/>
      <c r="O452" s="838"/>
      <c r="P452" s="837"/>
      <c r="Q452" s="838"/>
      <c r="R452" s="793"/>
      <c r="S452" s="793"/>
      <c r="T452" s="793"/>
      <c r="U452" s="793"/>
      <c r="V452" s="914"/>
      <c r="W452" s="793"/>
      <c r="X452" s="793"/>
      <c r="Y452" s="908"/>
      <c r="Z452" s="1"/>
      <c r="AA452" s="1"/>
      <c r="AB452" s="1"/>
      <c r="AC452" s="1"/>
      <c r="AD452" s="1"/>
      <c r="AE452" s="1"/>
      <c r="AF452" s="1"/>
      <c r="AG452" s="1"/>
      <c r="AH452" s="1"/>
      <c r="AI452" s="1"/>
      <c r="AJ452" s="1"/>
      <c r="AK452" s="1"/>
      <c r="AL452" s="1"/>
      <c r="AM452" s="1"/>
      <c r="AN452" s="1"/>
    </row>
    <row r="453" spans="1:40" ht="15.6" customHeight="1" outlineLevel="1" thickBot="1">
      <c r="A453" s="127"/>
      <c r="B453" s="849"/>
      <c r="C453" s="765"/>
      <c r="D453" s="761"/>
      <c r="E453" s="884"/>
      <c r="F453" s="884"/>
      <c r="G453" s="837"/>
      <c r="H453" s="838"/>
      <c r="I453" s="221" t="s">
        <v>190</v>
      </c>
      <c r="J453" s="222"/>
      <c r="K453" s="837"/>
      <c r="L453" s="838"/>
      <c r="M453" s="794"/>
      <c r="N453" s="863"/>
      <c r="O453" s="864"/>
      <c r="P453" s="863"/>
      <c r="Q453" s="864"/>
      <c r="R453" s="794"/>
      <c r="S453" s="794"/>
      <c r="T453" s="794"/>
      <c r="U453" s="794"/>
      <c r="V453" s="915"/>
      <c r="W453" s="794"/>
      <c r="X453" s="794"/>
      <c r="Y453" s="909"/>
      <c r="Z453" s="1"/>
      <c r="AA453" s="1"/>
      <c r="AB453" s="1"/>
      <c r="AC453" s="1"/>
      <c r="AD453" s="1"/>
      <c r="AE453" s="1"/>
      <c r="AF453" s="1"/>
      <c r="AG453" s="1"/>
      <c r="AH453" s="1"/>
      <c r="AI453" s="1"/>
      <c r="AJ453" s="1"/>
      <c r="AK453" s="1"/>
      <c r="AL453" s="1"/>
      <c r="AM453" s="1"/>
      <c r="AN453" s="1"/>
    </row>
    <row r="454" spans="1:40" ht="15" outlineLevel="1" thickTop="1">
      <c r="A454" s="127"/>
      <c r="B454" s="849"/>
      <c r="C454" s="764"/>
      <c r="D454" s="889"/>
      <c r="E454" s="865"/>
      <c r="F454" s="865"/>
      <c r="G454" s="835"/>
      <c r="H454" s="836"/>
      <c r="I454" s="213" t="s">
        <v>188</v>
      </c>
      <c r="J454" s="214"/>
      <c r="K454" s="835"/>
      <c r="L454" s="836"/>
      <c r="M454" s="792"/>
      <c r="N454" s="835"/>
      <c r="O454" s="836"/>
      <c r="P454" s="835"/>
      <c r="Q454" s="836"/>
      <c r="R454" s="792"/>
      <c r="S454" s="792"/>
      <c r="T454" s="792"/>
      <c r="U454" s="792"/>
      <c r="V454" s="913"/>
      <c r="W454" s="792"/>
      <c r="X454" s="792"/>
      <c r="Y454" s="907"/>
      <c r="Z454" s="1"/>
      <c r="AA454" s="1"/>
      <c r="AB454" s="1"/>
      <c r="AC454" s="1"/>
      <c r="AD454" s="1"/>
      <c r="AE454" s="1"/>
      <c r="AF454" s="1"/>
      <c r="AG454" s="1"/>
      <c r="AH454" s="1"/>
      <c r="AI454" s="1"/>
      <c r="AJ454" s="1"/>
      <c r="AK454" s="1"/>
      <c r="AL454" s="1"/>
      <c r="AM454" s="1"/>
      <c r="AN454" s="1"/>
    </row>
    <row r="455" spans="1:40" ht="15.6" customHeight="1" outlineLevel="1">
      <c r="A455" s="127"/>
      <c r="B455" s="849"/>
      <c r="C455" s="765"/>
      <c r="D455" s="761"/>
      <c r="E455" s="883"/>
      <c r="F455" s="883"/>
      <c r="G455" s="837"/>
      <c r="H455" s="838"/>
      <c r="I455" s="215" t="s">
        <v>189</v>
      </c>
      <c r="J455" s="216"/>
      <c r="K455" s="837"/>
      <c r="L455" s="838"/>
      <c r="M455" s="793"/>
      <c r="N455" s="837"/>
      <c r="O455" s="838"/>
      <c r="P455" s="837"/>
      <c r="Q455" s="838"/>
      <c r="R455" s="793"/>
      <c r="S455" s="793"/>
      <c r="T455" s="793"/>
      <c r="U455" s="793"/>
      <c r="V455" s="914"/>
      <c r="W455" s="793"/>
      <c r="X455" s="793"/>
      <c r="Y455" s="908"/>
      <c r="Z455" s="1"/>
      <c r="AA455" s="1"/>
      <c r="AB455" s="1"/>
      <c r="AC455" s="1"/>
      <c r="AD455" s="1"/>
      <c r="AE455" s="1"/>
      <c r="AF455" s="1"/>
      <c r="AG455" s="1"/>
      <c r="AH455" s="1"/>
      <c r="AI455" s="1"/>
      <c r="AJ455" s="1"/>
      <c r="AK455" s="1"/>
      <c r="AL455" s="1"/>
      <c r="AM455" s="1"/>
      <c r="AN455" s="1"/>
    </row>
    <row r="456" spans="1:40" ht="15.6" customHeight="1" outlineLevel="1" thickBot="1">
      <c r="A456" s="127"/>
      <c r="B456" s="849"/>
      <c r="C456" s="766"/>
      <c r="D456" s="888"/>
      <c r="E456" s="846"/>
      <c r="F456" s="846"/>
      <c r="G456" s="863"/>
      <c r="H456" s="864"/>
      <c r="I456" s="217" t="s">
        <v>190</v>
      </c>
      <c r="J456" s="218"/>
      <c r="K456" s="863"/>
      <c r="L456" s="864"/>
      <c r="M456" s="794"/>
      <c r="N456" s="863"/>
      <c r="O456" s="864"/>
      <c r="P456" s="863"/>
      <c r="Q456" s="864"/>
      <c r="R456" s="794"/>
      <c r="S456" s="794"/>
      <c r="T456" s="794"/>
      <c r="U456" s="794"/>
      <c r="V456" s="915"/>
      <c r="W456" s="794"/>
      <c r="X456" s="794"/>
      <c r="Y456" s="909"/>
      <c r="Z456" s="1"/>
      <c r="AA456" s="1"/>
      <c r="AB456" s="1"/>
      <c r="AC456" s="1"/>
      <c r="AD456" s="1"/>
      <c r="AE456" s="1"/>
      <c r="AF456" s="1"/>
      <c r="AG456" s="1"/>
      <c r="AH456" s="1"/>
      <c r="AI456" s="1"/>
      <c r="AJ456" s="1"/>
      <c r="AK456" s="1"/>
      <c r="AL456" s="1"/>
      <c r="AM456" s="1"/>
      <c r="AN456" s="1"/>
    </row>
    <row r="457" spans="1:40" ht="15" outlineLevel="1" thickTop="1">
      <c r="A457" s="127"/>
      <c r="B457" s="849"/>
      <c r="C457" s="764"/>
      <c r="D457" s="889"/>
      <c r="E457" s="865"/>
      <c r="F457" s="865"/>
      <c r="G457" s="857"/>
      <c r="H457" s="858"/>
      <c r="I457" s="213" t="s">
        <v>188</v>
      </c>
      <c r="J457" s="214"/>
      <c r="K457" s="839"/>
      <c r="L457" s="840"/>
      <c r="M457" s="885"/>
      <c r="N457" s="839"/>
      <c r="O457" s="840"/>
      <c r="P457" s="839"/>
      <c r="Q457" s="840"/>
      <c r="R457" s="885"/>
      <c r="S457" s="885"/>
      <c r="T457" s="885"/>
      <c r="U457" s="885"/>
      <c r="V457" s="916"/>
      <c r="W457" s="885"/>
      <c r="X457" s="885"/>
      <c r="Y457" s="907"/>
      <c r="Z457" s="1"/>
      <c r="AA457" s="1"/>
      <c r="AB457" s="1"/>
      <c r="AC457" s="1"/>
      <c r="AD457" s="1"/>
      <c r="AE457" s="1"/>
      <c r="AF457" s="1"/>
      <c r="AG457" s="1"/>
      <c r="AH457" s="1"/>
      <c r="AI457" s="1"/>
      <c r="AJ457" s="1"/>
      <c r="AK457" s="1"/>
      <c r="AL457" s="1"/>
      <c r="AM457" s="1"/>
      <c r="AN457" s="1"/>
    </row>
    <row r="458" spans="1:40" outlineLevel="1">
      <c r="A458" s="127"/>
      <c r="B458" s="849"/>
      <c r="C458" s="765"/>
      <c r="D458" s="761"/>
      <c r="E458" s="883"/>
      <c r="F458" s="883"/>
      <c r="G458" s="859"/>
      <c r="H458" s="860"/>
      <c r="I458" s="215" t="s">
        <v>189</v>
      </c>
      <c r="J458" s="216"/>
      <c r="K458" s="841"/>
      <c r="L458" s="842"/>
      <c r="M458" s="886"/>
      <c r="N458" s="841"/>
      <c r="O458" s="842"/>
      <c r="P458" s="841"/>
      <c r="Q458" s="842"/>
      <c r="R458" s="886"/>
      <c r="S458" s="886"/>
      <c r="T458" s="886"/>
      <c r="U458" s="886"/>
      <c r="V458" s="917"/>
      <c r="W458" s="886"/>
      <c r="X458" s="886"/>
      <c r="Y458" s="908"/>
      <c r="Z458" s="1"/>
      <c r="AA458" s="1"/>
      <c r="AB458" s="1"/>
      <c r="AC458" s="1"/>
      <c r="AD458" s="1"/>
      <c r="AE458" s="1"/>
      <c r="AF458" s="1"/>
      <c r="AG458" s="1"/>
      <c r="AH458" s="1"/>
      <c r="AI458" s="1"/>
      <c r="AJ458" s="1"/>
      <c r="AK458" s="1"/>
      <c r="AL458" s="1"/>
      <c r="AM458" s="1"/>
      <c r="AN458" s="1"/>
    </row>
    <row r="459" spans="1:40" ht="15" outlineLevel="1" thickBot="1">
      <c r="A459" s="127"/>
      <c r="B459" s="849"/>
      <c r="C459" s="766"/>
      <c r="D459" s="888"/>
      <c r="E459" s="846"/>
      <c r="F459" s="846"/>
      <c r="G459" s="861"/>
      <c r="H459" s="862"/>
      <c r="I459" s="217" t="s">
        <v>190</v>
      </c>
      <c r="J459" s="218"/>
      <c r="K459" s="843"/>
      <c r="L459" s="844"/>
      <c r="M459" s="887"/>
      <c r="N459" s="843"/>
      <c r="O459" s="844"/>
      <c r="P459" s="843"/>
      <c r="Q459" s="844"/>
      <c r="R459" s="887"/>
      <c r="S459" s="887"/>
      <c r="T459" s="887"/>
      <c r="U459" s="887"/>
      <c r="V459" s="918"/>
      <c r="W459" s="887"/>
      <c r="X459" s="887"/>
      <c r="Y459" s="909"/>
      <c r="Z459" s="1"/>
      <c r="AA459" s="1"/>
      <c r="AB459" s="1"/>
      <c r="AC459" s="1"/>
      <c r="AD459" s="1"/>
      <c r="AE459" s="1"/>
      <c r="AF459" s="1"/>
      <c r="AG459" s="1"/>
      <c r="AH459" s="1"/>
      <c r="AI459" s="1"/>
      <c r="AJ459" s="1"/>
      <c r="AK459" s="1"/>
      <c r="AL459" s="1"/>
      <c r="AM459" s="1"/>
      <c r="AN459" s="1"/>
    </row>
    <row r="460" spans="1:40" ht="15" outlineLevel="1" thickTop="1">
      <c r="A460" s="127"/>
      <c r="B460" s="849"/>
      <c r="C460" s="764"/>
      <c r="D460" s="761"/>
      <c r="E460" s="882"/>
      <c r="F460" s="882"/>
      <c r="G460" s="837"/>
      <c r="H460" s="838"/>
      <c r="I460" s="219" t="s">
        <v>188</v>
      </c>
      <c r="J460" s="220"/>
      <c r="K460" s="835"/>
      <c r="L460" s="836"/>
      <c r="M460" s="792"/>
      <c r="N460" s="835"/>
      <c r="O460" s="836"/>
      <c r="P460" s="835"/>
      <c r="Q460" s="836"/>
      <c r="R460" s="792"/>
      <c r="S460" s="792"/>
      <c r="T460" s="792"/>
      <c r="U460" s="792"/>
      <c r="V460" s="913"/>
      <c r="W460" s="792"/>
      <c r="X460" s="792"/>
      <c r="Y460" s="907"/>
      <c r="Z460" s="1"/>
      <c r="AA460" s="1"/>
      <c r="AB460" s="1"/>
      <c r="AC460" s="1"/>
      <c r="AD460" s="1"/>
      <c r="AE460" s="1"/>
      <c r="AF460" s="1"/>
      <c r="AG460" s="1"/>
      <c r="AH460" s="1"/>
      <c r="AI460" s="1"/>
      <c r="AJ460" s="1"/>
      <c r="AK460" s="1"/>
      <c r="AL460" s="1"/>
      <c r="AM460" s="1"/>
      <c r="AN460" s="1"/>
    </row>
    <row r="461" spans="1:40" ht="15.6" customHeight="1" outlineLevel="1">
      <c r="A461" s="127"/>
      <c r="B461" s="849"/>
      <c r="C461" s="765"/>
      <c r="D461" s="761"/>
      <c r="E461" s="883"/>
      <c r="F461" s="883"/>
      <c r="G461" s="837"/>
      <c r="H461" s="838"/>
      <c r="I461" s="215" t="s">
        <v>189</v>
      </c>
      <c r="J461" s="216"/>
      <c r="K461" s="837"/>
      <c r="L461" s="838"/>
      <c r="M461" s="793"/>
      <c r="N461" s="837"/>
      <c r="O461" s="838"/>
      <c r="P461" s="837"/>
      <c r="Q461" s="838"/>
      <c r="R461" s="793"/>
      <c r="S461" s="793"/>
      <c r="T461" s="793"/>
      <c r="U461" s="793"/>
      <c r="V461" s="914"/>
      <c r="W461" s="793"/>
      <c r="X461" s="793"/>
      <c r="Y461" s="908"/>
      <c r="Z461" s="1"/>
      <c r="AA461" s="1"/>
      <c r="AB461" s="1"/>
      <c r="AC461" s="1"/>
      <c r="AD461" s="1"/>
      <c r="AE461" s="1"/>
      <c r="AF461" s="1"/>
      <c r="AG461" s="1"/>
      <c r="AH461" s="1"/>
      <c r="AI461" s="1"/>
      <c r="AJ461" s="1"/>
      <c r="AK461" s="1"/>
      <c r="AL461" s="1"/>
      <c r="AM461" s="1"/>
      <c r="AN461" s="1"/>
    </row>
    <row r="462" spans="1:40" ht="15.6" customHeight="1" outlineLevel="1" thickBot="1">
      <c r="A462" s="127"/>
      <c r="B462" s="849"/>
      <c r="C462" s="766"/>
      <c r="D462" s="761"/>
      <c r="E462" s="884"/>
      <c r="F462" s="884"/>
      <c r="G462" s="837"/>
      <c r="H462" s="838"/>
      <c r="I462" s="221" t="s">
        <v>190</v>
      </c>
      <c r="J462" s="222"/>
      <c r="K462" s="863"/>
      <c r="L462" s="864"/>
      <c r="M462" s="794"/>
      <c r="N462" s="863"/>
      <c r="O462" s="864"/>
      <c r="P462" s="863"/>
      <c r="Q462" s="864"/>
      <c r="R462" s="794"/>
      <c r="S462" s="794"/>
      <c r="T462" s="794"/>
      <c r="U462" s="794"/>
      <c r="V462" s="915"/>
      <c r="W462" s="794"/>
      <c r="X462" s="794"/>
      <c r="Y462" s="909"/>
      <c r="Z462" s="1"/>
      <c r="AA462" s="1"/>
      <c r="AB462" s="1"/>
      <c r="AC462" s="1"/>
      <c r="AD462" s="1"/>
      <c r="AE462" s="1"/>
      <c r="AF462" s="1"/>
      <c r="AG462" s="1"/>
      <c r="AH462" s="1"/>
      <c r="AI462" s="1"/>
      <c r="AJ462" s="1"/>
      <c r="AK462" s="1"/>
      <c r="AL462" s="1"/>
      <c r="AM462" s="1"/>
      <c r="AN462" s="1"/>
    </row>
    <row r="463" spans="1:40" ht="15" outlineLevel="1" thickTop="1">
      <c r="A463" s="127"/>
      <c r="B463" s="849"/>
      <c r="C463" s="764"/>
      <c r="D463" s="889"/>
      <c r="E463" s="865"/>
      <c r="F463" s="865"/>
      <c r="G463" s="857"/>
      <c r="H463" s="858"/>
      <c r="I463" s="213" t="s">
        <v>188</v>
      </c>
      <c r="J463" s="214"/>
      <c r="K463" s="839"/>
      <c r="L463" s="840"/>
      <c r="M463" s="885"/>
      <c r="N463" s="839"/>
      <c r="O463" s="840"/>
      <c r="P463" s="839"/>
      <c r="Q463" s="840"/>
      <c r="R463" s="885"/>
      <c r="S463" s="885"/>
      <c r="T463" s="885"/>
      <c r="U463" s="885"/>
      <c r="V463" s="916"/>
      <c r="W463" s="885"/>
      <c r="X463" s="885"/>
      <c r="Y463" s="907"/>
      <c r="Z463" s="1"/>
      <c r="AA463" s="1"/>
      <c r="AB463" s="1"/>
      <c r="AC463" s="1"/>
      <c r="AD463" s="1"/>
      <c r="AE463" s="1"/>
      <c r="AF463" s="1"/>
      <c r="AG463" s="1"/>
      <c r="AH463" s="1"/>
      <c r="AI463" s="1"/>
      <c r="AJ463" s="1"/>
      <c r="AK463" s="1"/>
      <c r="AL463" s="1"/>
      <c r="AM463" s="1"/>
      <c r="AN463" s="1"/>
    </row>
    <row r="464" spans="1:40" outlineLevel="1">
      <c r="A464" s="127"/>
      <c r="B464" s="849"/>
      <c r="C464" s="765"/>
      <c r="D464" s="761"/>
      <c r="E464" s="883"/>
      <c r="F464" s="883"/>
      <c r="G464" s="859"/>
      <c r="H464" s="860"/>
      <c r="I464" s="215" t="s">
        <v>189</v>
      </c>
      <c r="J464" s="216"/>
      <c r="K464" s="841"/>
      <c r="L464" s="842"/>
      <c r="M464" s="886"/>
      <c r="N464" s="841"/>
      <c r="O464" s="842"/>
      <c r="P464" s="841"/>
      <c r="Q464" s="842"/>
      <c r="R464" s="886"/>
      <c r="S464" s="886"/>
      <c r="T464" s="886"/>
      <c r="U464" s="886"/>
      <c r="V464" s="917"/>
      <c r="W464" s="886"/>
      <c r="X464" s="886"/>
      <c r="Y464" s="908"/>
      <c r="Z464" s="1"/>
      <c r="AA464" s="1"/>
      <c r="AB464" s="1"/>
      <c r="AC464" s="1"/>
      <c r="AD464" s="1"/>
      <c r="AE464" s="1"/>
      <c r="AF464" s="1"/>
      <c r="AG464" s="1"/>
      <c r="AH464" s="1"/>
      <c r="AI464" s="1"/>
      <c r="AJ464" s="1"/>
      <c r="AK464" s="1"/>
      <c r="AL464" s="1"/>
      <c r="AM464" s="1"/>
      <c r="AN464" s="1"/>
    </row>
    <row r="465" spans="1:40" ht="15" outlineLevel="1" thickBot="1">
      <c r="A465" s="127"/>
      <c r="B465" s="849"/>
      <c r="C465" s="766"/>
      <c r="D465" s="888"/>
      <c r="E465" s="846"/>
      <c r="F465" s="846"/>
      <c r="G465" s="861"/>
      <c r="H465" s="862"/>
      <c r="I465" s="217" t="s">
        <v>190</v>
      </c>
      <c r="J465" s="218"/>
      <c r="K465" s="843"/>
      <c r="L465" s="844"/>
      <c r="M465" s="887"/>
      <c r="N465" s="843"/>
      <c r="O465" s="844"/>
      <c r="P465" s="843"/>
      <c r="Q465" s="844"/>
      <c r="R465" s="887"/>
      <c r="S465" s="887"/>
      <c r="T465" s="887"/>
      <c r="U465" s="887"/>
      <c r="V465" s="918"/>
      <c r="W465" s="887"/>
      <c r="X465" s="887"/>
      <c r="Y465" s="909"/>
      <c r="Z465" s="1"/>
      <c r="AA465" s="1"/>
      <c r="AB465" s="1"/>
      <c r="AC465" s="1"/>
      <c r="AD465" s="1"/>
      <c r="AE465" s="1"/>
      <c r="AF465" s="1"/>
      <c r="AG465" s="1"/>
      <c r="AH465" s="1"/>
      <c r="AI465" s="1"/>
      <c r="AJ465" s="1"/>
      <c r="AK465" s="1"/>
      <c r="AL465" s="1"/>
      <c r="AM465" s="1"/>
      <c r="AN465" s="1"/>
    </row>
    <row r="466" spans="1:40" ht="15" outlineLevel="1" thickTop="1">
      <c r="A466" s="127"/>
      <c r="B466" s="849"/>
      <c r="C466" s="764"/>
      <c r="D466" s="761"/>
      <c r="E466" s="882"/>
      <c r="F466" s="882"/>
      <c r="G466" s="837"/>
      <c r="H466" s="838"/>
      <c r="I466" s="219" t="s">
        <v>188</v>
      </c>
      <c r="J466" s="220"/>
      <c r="K466" s="835"/>
      <c r="L466" s="836"/>
      <c r="M466" s="792"/>
      <c r="N466" s="835"/>
      <c r="O466" s="836"/>
      <c r="P466" s="835"/>
      <c r="Q466" s="836"/>
      <c r="R466" s="792"/>
      <c r="S466" s="792"/>
      <c r="T466" s="792"/>
      <c r="U466" s="792"/>
      <c r="V466" s="913"/>
      <c r="W466" s="792"/>
      <c r="X466" s="792"/>
      <c r="Y466" s="907"/>
      <c r="Z466" s="1"/>
      <c r="AA466" s="1"/>
      <c r="AB466" s="1"/>
      <c r="AC466" s="1"/>
      <c r="AD466" s="1"/>
      <c r="AE466" s="1"/>
      <c r="AF466" s="1"/>
      <c r="AG466" s="1"/>
      <c r="AH466" s="1"/>
      <c r="AI466" s="1"/>
      <c r="AJ466" s="1"/>
      <c r="AK466" s="1"/>
      <c r="AL466" s="1"/>
      <c r="AM466" s="1"/>
      <c r="AN466" s="1"/>
    </row>
    <row r="467" spans="1:40" ht="15.6" customHeight="1" outlineLevel="1">
      <c r="A467" s="127"/>
      <c r="B467" s="849"/>
      <c r="C467" s="765"/>
      <c r="D467" s="761"/>
      <c r="E467" s="883"/>
      <c r="F467" s="883"/>
      <c r="G467" s="837"/>
      <c r="H467" s="838"/>
      <c r="I467" s="215" t="s">
        <v>189</v>
      </c>
      <c r="J467" s="216"/>
      <c r="K467" s="837"/>
      <c r="L467" s="838"/>
      <c r="M467" s="793"/>
      <c r="N467" s="837"/>
      <c r="O467" s="838"/>
      <c r="P467" s="837"/>
      <c r="Q467" s="838"/>
      <c r="R467" s="793"/>
      <c r="S467" s="793"/>
      <c r="T467" s="793"/>
      <c r="U467" s="793"/>
      <c r="V467" s="914"/>
      <c r="W467" s="793"/>
      <c r="X467" s="793"/>
      <c r="Y467" s="908"/>
      <c r="Z467" s="1"/>
      <c r="AA467" s="1"/>
      <c r="AB467" s="1"/>
      <c r="AC467" s="1"/>
      <c r="AD467" s="1"/>
      <c r="AE467" s="1"/>
      <c r="AF467" s="1"/>
      <c r="AG467" s="1"/>
      <c r="AH467" s="1"/>
      <c r="AI467" s="1"/>
      <c r="AJ467" s="1"/>
      <c r="AK467" s="1"/>
      <c r="AL467" s="1"/>
      <c r="AM467" s="1"/>
      <c r="AN467" s="1"/>
    </row>
    <row r="468" spans="1:40" ht="15.6" customHeight="1" outlineLevel="1" thickBot="1">
      <c r="A468" s="127"/>
      <c r="B468" s="849"/>
      <c r="C468" s="766"/>
      <c r="D468" s="761"/>
      <c r="E468" s="884"/>
      <c r="F468" s="884"/>
      <c r="G468" s="837"/>
      <c r="H468" s="838"/>
      <c r="I468" s="221" t="s">
        <v>190</v>
      </c>
      <c r="J468" s="222"/>
      <c r="K468" s="863"/>
      <c r="L468" s="864"/>
      <c r="M468" s="794"/>
      <c r="N468" s="863"/>
      <c r="O468" s="864"/>
      <c r="P468" s="863"/>
      <c r="Q468" s="864"/>
      <c r="R468" s="794"/>
      <c r="S468" s="794"/>
      <c r="T468" s="794"/>
      <c r="U468" s="794"/>
      <c r="V468" s="915"/>
      <c r="W468" s="794"/>
      <c r="X468" s="794"/>
      <c r="Y468" s="909"/>
      <c r="Z468" s="1"/>
      <c r="AA468" s="1"/>
      <c r="AB468" s="1"/>
      <c r="AC468" s="1"/>
      <c r="AD468" s="1"/>
      <c r="AE468" s="1"/>
      <c r="AF468" s="1"/>
      <c r="AG468" s="1"/>
      <c r="AH468" s="1"/>
      <c r="AI468" s="1"/>
      <c r="AJ468" s="1"/>
      <c r="AK468" s="1"/>
      <c r="AL468" s="1"/>
      <c r="AM468" s="1"/>
      <c r="AN468" s="1"/>
    </row>
    <row r="469" spans="1:40" ht="15" outlineLevel="1" thickTop="1">
      <c r="A469" s="127"/>
      <c r="B469" s="849"/>
      <c r="C469" s="764"/>
      <c r="D469" s="889"/>
      <c r="E469" s="865"/>
      <c r="F469" s="865"/>
      <c r="G469" s="857"/>
      <c r="H469" s="858"/>
      <c r="I469" s="213" t="s">
        <v>188</v>
      </c>
      <c r="J469" s="214"/>
      <c r="K469" s="839"/>
      <c r="L469" s="840"/>
      <c r="M469" s="885"/>
      <c r="N469" s="839"/>
      <c r="O469" s="840"/>
      <c r="P469" s="839"/>
      <c r="Q469" s="840"/>
      <c r="R469" s="885"/>
      <c r="S469" s="885"/>
      <c r="T469" s="885"/>
      <c r="U469" s="885"/>
      <c r="V469" s="916"/>
      <c r="W469" s="885"/>
      <c r="X469" s="885"/>
      <c r="Y469" s="907"/>
      <c r="Z469" s="1"/>
      <c r="AA469" s="1"/>
      <c r="AB469" s="1"/>
      <c r="AC469" s="1"/>
      <c r="AD469" s="1"/>
      <c r="AE469" s="1"/>
      <c r="AF469" s="1"/>
      <c r="AG469" s="1"/>
      <c r="AH469" s="1"/>
      <c r="AI469" s="1"/>
      <c r="AJ469" s="1"/>
      <c r="AK469" s="1"/>
      <c r="AL469" s="1"/>
      <c r="AM469" s="1"/>
      <c r="AN469" s="1"/>
    </row>
    <row r="470" spans="1:40" outlineLevel="1">
      <c r="A470" s="127"/>
      <c r="B470" s="849"/>
      <c r="C470" s="765"/>
      <c r="D470" s="761"/>
      <c r="E470" s="883"/>
      <c r="F470" s="883"/>
      <c r="G470" s="859"/>
      <c r="H470" s="860"/>
      <c r="I470" s="215" t="s">
        <v>189</v>
      </c>
      <c r="J470" s="216"/>
      <c r="K470" s="841"/>
      <c r="L470" s="842"/>
      <c r="M470" s="886"/>
      <c r="N470" s="841"/>
      <c r="O470" s="842"/>
      <c r="P470" s="841"/>
      <c r="Q470" s="842"/>
      <c r="R470" s="886"/>
      <c r="S470" s="886"/>
      <c r="T470" s="886"/>
      <c r="U470" s="886"/>
      <c r="V470" s="917"/>
      <c r="W470" s="886"/>
      <c r="X470" s="886"/>
      <c r="Y470" s="908"/>
      <c r="Z470" s="1"/>
      <c r="AA470" s="1"/>
      <c r="AB470" s="1"/>
      <c r="AC470" s="1"/>
      <c r="AD470" s="1"/>
      <c r="AE470" s="1"/>
      <c r="AF470" s="1"/>
      <c r="AG470" s="1"/>
      <c r="AH470" s="1"/>
      <c r="AI470" s="1"/>
      <c r="AJ470" s="1"/>
      <c r="AK470" s="1"/>
      <c r="AL470" s="1"/>
      <c r="AM470" s="1"/>
      <c r="AN470" s="1"/>
    </row>
    <row r="471" spans="1:40" ht="15" outlineLevel="1" thickBot="1">
      <c r="A471" s="127"/>
      <c r="B471" s="849"/>
      <c r="C471" s="766"/>
      <c r="D471" s="888"/>
      <c r="E471" s="846"/>
      <c r="F471" s="846"/>
      <c r="G471" s="861"/>
      <c r="H471" s="862"/>
      <c r="I471" s="217" t="s">
        <v>190</v>
      </c>
      <c r="J471" s="218"/>
      <c r="K471" s="843"/>
      <c r="L471" s="844"/>
      <c r="M471" s="887"/>
      <c r="N471" s="843"/>
      <c r="O471" s="844"/>
      <c r="P471" s="843"/>
      <c r="Q471" s="844"/>
      <c r="R471" s="887"/>
      <c r="S471" s="887"/>
      <c r="T471" s="887"/>
      <c r="U471" s="887"/>
      <c r="V471" s="918"/>
      <c r="W471" s="887"/>
      <c r="X471" s="887"/>
      <c r="Y471" s="909"/>
      <c r="Z471" s="1"/>
      <c r="AA471" s="1"/>
      <c r="AB471" s="1"/>
      <c r="AC471" s="1"/>
      <c r="AD471" s="1"/>
      <c r="AE471" s="1"/>
      <c r="AF471" s="1"/>
      <c r="AG471" s="1"/>
      <c r="AH471" s="1"/>
      <c r="AI471" s="1"/>
      <c r="AJ471" s="1"/>
      <c r="AK471" s="1"/>
      <c r="AL471" s="1"/>
      <c r="AM471" s="1"/>
      <c r="AN471" s="1"/>
    </row>
    <row r="472" spans="1:40" ht="15" outlineLevel="1" thickTop="1">
      <c r="A472" s="127"/>
      <c r="B472" s="849"/>
      <c r="C472" s="764"/>
      <c r="D472" s="889"/>
      <c r="E472" s="943"/>
      <c r="F472" s="943"/>
      <c r="G472" s="857"/>
      <c r="H472" s="858"/>
      <c r="I472" s="213" t="s">
        <v>188</v>
      </c>
      <c r="J472" s="214"/>
      <c r="K472" s="839"/>
      <c r="L472" s="840"/>
      <c r="M472" s="885"/>
      <c r="N472" s="839"/>
      <c r="O472" s="840"/>
      <c r="P472" s="839"/>
      <c r="Q472" s="840"/>
      <c r="R472" s="885"/>
      <c r="S472" s="885"/>
      <c r="T472" s="885"/>
      <c r="U472" s="885"/>
      <c r="V472" s="916"/>
      <c r="W472" s="885"/>
      <c r="X472" s="885"/>
      <c r="Y472" s="907"/>
      <c r="Z472" s="1"/>
      <c r="AA472" s="1"/>
      <c r="AB472" s="1"/>
      <c r="AC472" s="1"/>
      <c r="AD472" s="1"/>
      <c r="AE472" s="1"/>
      <c r="AF472" s="1"/>
      <c r="AG472" s="1"/>
      <c r="AH472" s="1"/>
      <c r="AI472" s="1"/>
      <c r="AJ472" s="1"/>
      <c r="AK472" s="1"/>
      <c r="AL472" s="1"/>
      <c r="AM472" s="1"/>
      <c r="AN472" s="1"/>
    </row>
    <row r="473" spans="1:40" ht="15.6" customHeight="1" outlineLevel="1">
      <c r="A473" s="127"/>
      <c r="B473" s="849"/>
      <c r="C473" s="765"/>
      <c r="D473" s="761"/>
      <c r="E473" s="847"/>
      <c r="F473" s="847"/>
      <c r="G473" s="859"/>
      <c r="H473" s="860"/>
      <c r="I473" s="215" t="s">
        <v>189</v>
      </c>
      <c r="J473" s="216"/>
      <c r="K473" s="841"/>
      <c r="L473" s="842"/>
      <c r="M473" s="886"/>
      <c r="N473" s="841"/>
      <c r="O473" s="842"/>
      <c r="P473" s="841"/>
      <c r="Q473" s="842"/>
      <c r="R473" s="886"/>
      <c r="S473" s="886"/>
      <c r="T473" s="886"/>
      <c r="U473" s="886"/>
      <c r="V473" s="917"/>
      <c r="W473" s="886"/>
      <c r="X473" s="886"/>
      <c r="Y473" s="908"/>
      <c r="Z473" s="1"/>
      <c r="AA473" s="1"/>
      <c r="AB473" s="1"/>
      <c r="AC473" s="1"/>
      <c r="AD473" s="1"/>
      <c r="AE473" s="1"/>
      <c r="AF473" s="1"/>
      <c r="AG473" s="1"/>
      <c r="AH473" s="1"/>
      <c r="AI473" s="1"/>
      <c r="AJ473" s="1"/>
      <c r="AK473" s="1"/>
      <c r="AL473" s="1"/>
      <c r="AM473" s="1"/>
      <c r="AN473" s="1"/>
    </row>
    <row r="474" spans="1:40" ht="15" outlineLevel="1" thickBot="1">
      <c r="A474" s="127"/>
      <c r="B474" s="850"/>
      <c r="C474" s="766"/>
      <c r="D474" s="888"/>
      <c r="E474" s="845"/>
      <c r="F474" s="845"/>
      <c r="G474" s="861"/>
      <c r="H474" s="862"/>
      <c r="I474" s="217" t="s">
        <v>190</v>
      </c>
      <c r="J474" s="218"/>
      <c r="K474" s="843"/>
      <c r="L474" s="844"/>
      <c r="M474" s="887"/>
      <c r="N474" s="843"/>
      <c r="O474" s="844"/>
      <c r="P474" s="843"/>
      <c r="Q474" s="844"/>
      <c r="R474" s="887"/>
      <c r="S474" s="887"/>
      <c r="T474" s="887"/>
      <c r="U474" s="887"/>
      <c r="V474" s="918"/>
      <c r="W474" s="887"/>
      <c r="X474" s="887"/>
      <c r="Y474" s="909"/>
      <c r="Z474" s="1"/>
      <c r="AA474" s="1"/>
      <c r="AB474" s="1"/>
      <c r="AC474" s="1"/>
      <c r="AD474" s="1"/>
      <c r="AE474" s="1"/>
      <c r="AF474" s="1"/>
      <c r="AG474" s="1"/>
      <c r="AH474" s="1"/>
      <c r="AI474" s="1"/>
      <c r="AJ474" s="1"/>
      <c r="AK474" s="1"/>
      <c r="AL474" s="1"/>
      <c r="AM474" s="1"/>
      <c r="AN474" s="1"/>
    </row>
    <row r="475" spans="1:40" ht="16.5" outlineLevel="1" thickTop="1">
      <c r="A475" s="127"/>
      <c r="B475" s="127"/>
      <c r="C475" s="127"/>
      <c r="D475" s="127"/>
      <c r="E475" s="127"/>
      <c r="F475" s="127"/>
      <c r="G475" s="127"/>
      <c r="H475" s="127"/>
      <c r="I475" s="127"/>
      <c r="J475" s="127"/>
      <c r="K475" s="127"/>
      <c r="L475" s="127"/>
      <c r="M475" s="127"/>
      <c r="N475" s="127"/>
      <c r="O475" s="127"/>
      <c r="P475" s="127"/>
      <c r="Q475" s="127"/>
      <c r="R475" s="127"/>
      <c r="S475" s="127"/>
      <c r="T475" s="125"/>
      <c r="U475" s="277" t="s">
        <v>191</v>
      </c>
      <c r="V475" s="276">
        <f>SUM(V385:V474)</f>
        <v>0</v>
      </c>
      <c r="W475" s="125"/>
      <c r="X475" s="144"/>
      <c r="Y475" s="125"/>
      <c r="Z475" s="1"/>
      <c r="AA475" s="1"/>
      <c r="AB475" s="1"/>
      <c r="AC475" s="1"/>
      <c r="AD475" s="1"/>
      <c r="AE475" s="1"/>
      <c r="AF475" s="1"/>
      <c r="AG475" s="1"/>
      <c r="AH475" s="1"/>
      <c r="AI475" s="1"/>
      <c r="AJ475" s="1"/>
      <c r="AK475" s="1"/>
      <c r="AL475" s="1"/>
      <c r="AM475" s="1"/>
    </row>
    <row r="476" spans="1:40" ht="15.75" outlineLevel="1">
      <c r="A476" s="127"/>
      <c r="B476" s="127"/>
      <c r="C476" s="127"/>
      <c r="D476" s="127"/>
      <c r="E476" s="127"/>
      <c r="F476" s="127"/>
      <c r="G476" s="127"/>
      <c r="H476" s="127"/>
      <c r="I476" s="127"/>
      <c r="J476" s="127"/>
      <c r="K476" s="127"/>
      <c r="L476" s="127"/>
      <c r="M476" s="127"/>
      <c r="N476" s="127"/>
      <c r="O476" s="127"/>
      <c r="P476" s="127"/>
      <c r="Q476" s="127"/>
      <c r="R476" s="127"/>
      <c r="S476" s="127"/>
      <c r="T476" s="125"/>
      <c r="U476" s="277"/>
      <c r="V476" s="276"/>
      <c r="W476" s="125"/>
      <c r="X476" s="144"/>
      <c r="Y476" s="125"/>
      <c r="Z476" s="1"/>
      <c r="AA476" s="1"/>
      <c r="AB476" s="1"/>
      <c r="AC476" s="1"/>
      <c r="AD476" s="1"/>
      <c r="AE476" s="1"/>
      <c r="AF476" s="1"/>
      <c r="AG476" s="1"/>
      <c r="AH476" s="1"/>
      <c r="AI476" s="1"/>
      <c r="AJ476" s="1"/>
      <c r="AK476" s="1"/>
      <c r="AL476" s="1"/>
      <c r="AM476" s="1"/>
    </row>
    <row r="477" spans="1:40" ht="15.75">
      <c r="A477" s="937"/>
      <c r="B477" s="689" t="s">
        <v>192</v>
      </c>
      <c r="C477" s="689"/>
      <c r="D477" s="127"/>
      <c r="E477" s="127"/>
      <c r="F477" s="127"/>
      <c r="G477" s="127"/>
      <c r="H477" s="127"/>
      <c r="I477" s="127"/>
      <c r="J477" s="127"/>
      <c r="K477" s="127"/>
      <c r="L477" s="127"/>
      <c r="M477" s="127"/>
      <c r="N477" s="127"/>
      <c r="O477" s="127"/>
      <c r="P477" s="127"/>
      <c r="Q477" s="127"/>
      <c r="R477" s="127"/>
      <c r="S477" s="127"/>
      <c r="T477" s="125"/>
      <c r="U477" s="277"/>
      <c r="V477" s="276"/>
      <c r="W477" s="125"/>
      <c r="X477" s="144"/>
      <c r="Y477" s="125"/>
      <c r="Z477" s="1"/>
      <c r="AA477" s="1"/>
      <c r="AB477" s="1"/>
      <c r="AC477" s="1"/>
      <c r="AD477" s="1"/>
      <c r="AE477" s="1"/>
      <c r="AF477" s="1"/>
      <c r="AG477" s="1"/>
      <c r="AH477" s="1"/>
      <c r="AI477" s="1"/>
      <c r="AJ477" s="1"/>
      <c r="AK477" s="1"/>
      <c r="AL477" s="1"/>
      <c r="AM477" s="1"/>
    </row>
    <row r="478" spans="1:40" ht="15" thickBot="1">
      <c r="A478" s="937"/>
      <c r="B478" s="942"/>
      <c r="C478" s="942"/>
      <c r="D478" s="127"/>
      <c r="E478" s="127"/>
      <c r="F478" s="127"/>
      <c r="G478" s="127"/>
      <c r="H478" s="127"/>
      <c r="I478" s="127"/>
      <c r="J478" s="127"/>
      <c r="K478" s="127"/>
      <c r="L478" s="127"/>
      <c r="M478" s="127"/>
      <c r="N478" s="127"/>
      <c r="O478" s="127"/>
      <c r="P478" s="127"/>
      <c r="Q478" s="127"/>
      <c r="R478" s="127"/>
      <c r="S478" s="127"/>
      <c r="T478" s="125"/>
      <c r="U478" s="125"/>
      <c r="V478" s="125"/>
      <c r="W478" s="125"/>
      <c r="X478" s="144"/>
      <c r="Y478" s="125"/>
      <c r="Z478" s="1"/>
      <c r="AA478" s="1"/>
      <c r="AB478" s="1"/>
      <c r="AC478" s="1"/>
      <c r="AD478" s="1"/>
      <c r="AE478" s="1"/>
      <c r="AF478" s="1"/>
      <c r="AG478" s="1"/>
      <c r="AH478" s="1"/>
      <c r="AI478" s="1"/>
      <c r="AJ478" s="1"/>
      <c r="AK478" s="1"/>
      <c r="AL478" s="1"/>
      <c r="AM478" s="1"/>
    </row>
    <row r="479" spans="1:40" ht="15" thickTop="1">
      <c r="A479" s="127"/>
      <c r="B479" s="127"/>
      <c r="C479" s="127"/>
      <c r="D479" s="127"/>
      <c r="E479" s="127"/>
      <c r="F479" s="127"/>
      <c r="G479" s="127"/>
      <c r="H479" s="127"/>
      <c r="I479" s="127"/>
      <c r="J479" s="127"/>
      <c r="K479" s="127"/>
      <c r="L479" s="127"/>
      <c r="M479" s="127"/>
      <c r="N479" s="127"/>
      <c r="O479" s="127"/>
      <c r="P479" s="127"/>
      <c r="Q479" s="127"/>
      <c r="R479" s="127"/>
      <c r="S479" s="127"/>
      <c r="T479" s="19"/>
      <c r="U479" s="19"/>
      <c r="V479" s="19"/>
      <c r="W479" s="19"/>
      <c r="X479" s="223"/>
      <c r="Y479" s="19"/>
      <c r="Z479" s="16"/>
      <c r="AA479" s="16"/>
      <c r="AB479" s="16"/>
      <c r="AC479" s="1"/>
      <c r="AD479" s="1"/>
      <c r="AE479" s="1"/>
      <c r="AF479" s="1"/>
      <c r="AG479" s="1"/>
      <c r="AH479" s="1"/>
      <c r="AI479" s="1"/>
      <c r="AJ479" s="1"/>
      <c r="AK479" s="1"/>
      <c r="AL479" s="1"/>
      <c r="AM479" s="1"/>
    </row>
    <row r="480" spans="1:40" ht="15" thickBot="1">
      <c r="A480" s="127"/>
      <c r="B480" s="127"/>
      <c r="C480" s="127"/>
      <c r="D480" s="127"/>
      <c r="E480" s="127"/>
      <c r="F480" s="127"/>
      <c r="G480" s="127"/>
      <c r="H480" s="127"/>
      <c r="I480" s="127"/>
      <c r="J480" s="127"/>
      <c r="K480" s="127"/>
      <c r="L480" s="127"/>
      <c r="M480" s="127"/>
      <c r="N480" s="127"/>
      <c r="O480" s="127"/>
      <c r="P480" s="127"/>
      <c r="Q480" s="127"/>
      <c r="R480" s="127"/>
      <c r="S480" s="127"/>
      <c r="T480" s="125"/>
      <c r="U480" s="125"/>
      <c r="V480" s="125"/>
      <c r="W480" s="125"/>
      <c r="X480" s="144"/>
      <c r="Y480" s="125"/>
      <c r="Z480" s="1"/>
      <c r="AA480" s="1"/>
      <c r="AB480" s="1"/>
      <c r="AC480" s="1"/>
      <c r="AD480" s="1"/>
      <c r="AE480" s="1"/>
      <c r="AF480" s="1"/>
      <c r="AG480" s="1"/>
      <c r="AH480" s="1"/>
      <c r="AI480" s="1"/>
      <c r="AJ480" s="1"/>
      <c r="AK480" s="1"/>
      <c r="AL480" s="1"/>
      <c r="AM480" s="1"/>
    </row>
    <row r="481" spans="1:40" ht="24.95" customHeight="1" thickTop="1" thickBot="1">
      <c r="A481" s="127"/>
      <c r="B481" s="202"/>
      <c r="C481" s="202"/>
      <c r="D481" s="574" t="s">
        <v>193</v>
      </c>
      <c r="E481" s="585"/>
      <c r="F481" s="585"/>
      <c r="G481" s="585"/>
      <c r="H481" s="585"/>
      <c r="I481" s="585"/>
      <c r="J481" s="585"/>
      <c r="K481" s="585"/>
      <c r="L481" s="585"/>
      <c r="M481" s="585"/>
      <c r="N481" s="422"/>
      <c r="O481" s="127"/>
      <c r="P481" s="127"/>
      <c r="Q481" s="127"/>
      <c r="R481" s="127"/>
      <c r="S481" s="127"/>
      <c r="T481" s="18"/>
      <c r="U481" s="18"/>
      <c r="V481" s="18"/>
      <c r="W481" s="18"/>
      <c r="X481" s="18"/>
      <c r="Y481" s="18"/>
      <c r="Z481" s="203"/>
      <c r="AA481" s="203"/>
      <c r="AB481" s="203"/>
      <c r="AC481" s="203"/>
      <c r="AD481" s="203"/>
      <c r="AE481" s="203"/>
      <c r="AF481" s="16"/>
      <c r="AG481" s="16"/>
      <c r="AH481" s="16"/>
      <c r="AI481" s="1"/>
      <c r="AJ481" s="1"/>
      <c r="AK481" s="1"/>
      <c r="AL481" s="1"/>
      <c r="AM481" s="1"/>
    </row>
    <row r="482" spans="1:40" ht="24.75" thickTop="1" thickBot="1">
      <c r="A482" s="127"/>
      <c r="B482" s="202"/>
      <c r="C482" s="202"/>
      <c r="D482" s="690" t="s">
        <v>194</v>
      </c>
      <c r="E482" s="683"/>
      <c r="F482" s="587" t="s">
        <v>195</v>
      </c>
      <c r="G482" s="587"/>
      <c r="H482" s="685" t="s">
        <v>196</v>
      </c>
      <c r="I482" s="690"/>
      <c r="J482" s="587" t="s">
        <v>197</v>
      </c>
      <c r="K482" s="587"/>
      <c r="L482" s="587" t="s">
        <v>198</v>
      </c>
      <c r="M482" s="690"/>
      <c r="N482" s="422"/>
      <c r="O482" s="127"/>
      <c r="P482" s="127"/>
      <c r="Q482" s="127"/>
      <c r="R482" s="127"/>
      <c r="S482" s="127"/>
      <c r="T482" s="19"/>
      <c r="U482" s="19"/>
      <c r="V482" s="154"/>
      <c r="W482" s="154"/>
      <c r="X482" s="154"/>
      <c r="Y482" s="154"/>
      <c r="Z482" s="754"/>
      <c r="AA482" s="754"/>
      <c r="AB482" s="754"/>
      <c r="AC482" s="754"/>
      <c r="AD482" s="754"/>
      <c r="AE482" s="754"/>
      <c r="AF482" s="16"/>
      <c r="AG482" s="16"/>
      <c r="AH482" s="16"/>
      <c r="AI482" s="1"/>
      <c r="AJ482" s="1"/>
      <c r="AK482" s="1"/>
      <c r="AL482" s="1"/>
      <c r="AM482" s="1"/>
    </row>
    <row r="483" spans="1:40" ht="15.75" customHeight="1" thickTop="1" thickBot="1">
      <c r="A483" s="127"/>
      <c r="B483" s="756" t="s">
        <v>133</v>
      </c>
      <c r="C483" s="756" t="s">
        <v>199</v>
      </c>
      <c r="D483" s="691"/>
      <c r="E483" s="684"/>
      <c r="F483" s="588"/>
      <c r="G483" s="588"/>
      <c r="H483" s="728"/>
      <c r="I483" s="755"/>
      <c r="J483" s="588"/>
      <c r="K483" s="588"/>
      <c r="L483" s="588"/>
      <c r="M483" s="755"/>
      <c r="N483" s="422"/>
      <c r="O483" s="127"/>
      <c r="P483" s="127"/>
      <c r="Q483" s="127"/>
      <c r="R483" s="127"/>
      <c r="S483" s="127"/>
      <c r="T483" s="19"/>
      <c r="U483" s="19"/>
      <c r="V483" s="154"/>
      <c r="W483" s="154"/>
      <c r="X483" s="154"/>
      <c r="Y483" s="154"/>
      <c r="Z483" s="754"/>
      <c r="AA483" s="754"/>
      <c r="AB483" s="754"/>
      <c r="AC483" s="754"/>
      <c r="AD483" s="754"/>
      <c r="AE483" s="754"/>
      <c r="AF483" s="16"/>
      <c r="AG483" s="16"/>
      <c r="AH483" s="16"/>
      <c r="AI483" s="1"/>
      <c r="AJ483" s="1"/>
      <c r="AK483" s="1"/>
      <c r="AL483" s="1"/>
      <c r="AM483" s="1"/>
    </row>
    <row r="484" spans="1:40" ht="46.5" thickTop="1" thickBot="1">
      <c r="A484" s="127"/>
      <c r="B484" s="757"/>
      <c r="C484" s="757"/>
      <c r="D484" s="755"/>
      <c r="E484" s="746"/>
      <c r="F484" s="204" t="s">
        <v>200</v>
      </c>
      <c r="G484" s="206" t="s">
        <v>201</v>
      </c>
      <c r="H484" s="224" t="s">
        <v>202</v>
      </c>
      <c r="I484" s="225" t="s">
        <v>201</v>
      </c>
      <c r="J484" s="204" t="s">
        <v>202</v>
      </c>
      <c r="K484" s="206" t="s">
        <v>201</v>
      </c>
      <c r="L484" s="204" t="s">
        <v>202</v>
      </c>
      <c r="M484" s="225" t="s">
        <v>201</v>
      </c>
      <c r="N484" s="422"/>
      <c r="O484" s="127"/>
      <c r="P484" s="127"/>
      <c r="Q484" s="127"/>
      <c r="R484" s="127"/>
      <c r="S484" s="127"/>
      <c r="T484" s="19"/>
      <c r="U484" s="19"/>
      <c r="V484" s="226"/>
      <c r="W484" s="226"/>
      <c r="X484" s="226"/>
      <c r="Y484" s="226"/>
      <c r="Z484" s="226"/>
      <c r="AA484" s="226"/>
      <c r="AB484" s="226"/>
      <c r="AC484" s="226"/>
      <c r="AD484" s="226"/>
      <c r="AE484" s="226"/>
      <c r="AF484" s="16"/>
      <c r="AG484" s="16"/>
      <c r="AH484" s="16"/>
      <c r="AI484" s="1"/>
      <c r="AJ484" s="1"/>
      <c r="AK484" s="1"/>
      <c r="AL484" s="1"/>
      <c r="AM484" s="1"/>
    </row>
    <row r="485" spans="1:40" ht="15.75" thickTop="1">
      <c r="A485" s="127"/>
      <c r="B485" s="762" t="s">
        <v>203</v>
      </c>
      <c r="C485" s="245" t="s">
        <v>8</v>
      </c>
      <c r="D485" s="809"/>
      <c r="E485" s="810"/>
      <c r="F485" s="244"/>
      <c r="G485" s="227">
        <f>$F$485*'עלות השירותים'!$H$12*3</f>
        <v>0</v>
      </c>
      <c r="H485" s="243"/>
      <c r="I485" s="228">
        <f>$H$485*'עלות השירותים'!$H$12*3</f>
        <v>0</v>
      </c>
      <c r="J485" s="244"/>
      <c r="K485" s="257">
        <f>$J$485*'עלות השירותים'!$H$12*3</f>
        <v>0</v>
      </c>
      <c r="L485" s="244"/>
      <c r="M485" s="228">
        <f>$L$485*'עלות השירותים'!$H$12*3</f>
        <v>0</v>
      </c>
      <c r="N485" s="422"/>
      <c r="O485" s="127"/>
      <c r="P485" s="127"/>
      <c r="Q485" s="127"/>
      <c r="R485" s="127"/>
      <c r="S485" s="127"/>
      <c r="T485" s="19"/>
      <c r="U485" s="19"/>
      <c r="V485" s="154"/>
      <c r="W485" s="154"/>
      <c r="X485" s="154"/>
      <c r="Y485" s="154"/>
      <c r="Z485" s="154"/>
      <c r="AA485" s="154"/>
      <c r="AB485" s="154"/>
      <c r="AC485" s="154"/>
      <c r="AD485" s="154"/>
      <c r="AE485" s="154"/>
      <c r="AF485" s="16"/>
      <c r="AG485" s="16"/>
      <c r="AH485" s="16"/>
      <c r="AI485" s="1"/>
      <c r="AJ485" s="1"/>
      <c r="AK485" s="1"/>
      <c r="AL485" s="1"/>
      <c r="AM485" s="1"/>
    </row>
    <row r="486" spans="1:40" ht="15">
      <c r="A486" s="127"/>
      <c r="B486" s="763"/>
      <c r="C486" s="246" t="s">
        <v>17</v>
      </c>
      <c r="D486" s="811"/>
      <c r="E486" s="812"/>
      <c r="F486" s="260"/>
      <c r="G486" s="229">
        <f>$F$486*'עלות השירותים'!H19*3</f>
        <v>0</v>
      </c>
      <c r="H486" s="261"/>
      <c r="I486" s="262">
        <f>$H$486*'עלות השירותים'!H19*3</f>
        <v>0</v>
      </c>
      <c r="J486" s="263"/>
      <c r="K486" s="264">
        <f>$J$486*'עלות השירותים'!H19*3</f>
        <v>0</v>
      </c>
      <c r="L486" s="263"/>
      <c r="M486" s="262">
        <f>$L$486*'עלות השירותים'!H19*3</f>
        <v>0</v>
      </c>
      <c r="N486" s="422"/>
      <c r="O486" s="127"/>
      <c r="P486" s="127"/>
      <c r="Q486" s="127"/>
      <c r="R486" s="127"/>
      <c r="S486" s="127"/>
      <c r="T486" s="19"/>
      <c r="U486" s="19"/>
      <c r="V486" s="209"/>
      <c r="W486" s="209"/>
      <c r="X486" s="210"/>
      <c r="Y486" s="210"/>
      <c r="Z486" s="230"/>
      <c r="AA486" s="230"/>
      <c r="AB486" s="230"/>
      <c r="AC486" s="230"/>
      <c r="AD486" s="230"/>
      <c r="AE486" s="230"/>
      <c r="AF486" s="16"/>
      <c r="AG486" s="16"/>
      <c r="AH486" s="16"/>
      <c r="AI486" s="1"/>
      <c r="AJ486" s="1"/>
      <c r="AK486" s="1"/>
      <c r="AL486" s="1"/>
      <c r="AM486" s="1"/>
    </row>
    <row r="487" spans="1:40" ht="15">
      <c r="A487" s="127"/>
      <c r="B487" s="763"/>
      <c r="C487" s="246" t="s">
        <v>18</v>
      </c>
      <c r="D487" s="811"/>
      <c r="E487" s="812"/>
      <c r="F487" s="260"/>
      <c r="G487" s="229">
        <f>$F$487*'עלות השירותים'!H13*3</f>
        <v>0</v>
      </c>
      <c r="H487" s="261"/>
      <c r="I487" s="262">
        <f>$H$487*'עלות השירותים'!H13*3</f>
        <v>0</v>
      </c>
      <c r="J487" s="263"/>
      <c r="K487" s="264">
        <f>$J$487*'עלות השירותים'!H13*3</f>
        <v>0</v>
      </c>
      <c r="L487" s="263"/>
      <c r="M487" s="262">
        <f>$L$487*'עלות השירותים'!H13*3</f>
        <v>0</v>
      </c>
      <c r="N487" s="422"/>
      <c r="O487" s="127"/>
      <c r="P487" s="127"/>
      <c r="Q487" s="127"/>
      <c r="R487" s="127"/>
      <c r="S487" s="127"/>
      <c r="T487" s="19"/>
      <c r="U487" s="19"/>
      <c r="V487" s="209"/>
      <c r="W487" s="209"/>
      <c r="X487" s="210"/>
      <c r="Y487" s="210"/>
      <c r="Z487" s="230"/>
      <c r="AA487" s="230"/>
      <c r="AB487" s="230"/>
      <c r="AC487" s="230"/>
      <c r="AD487" s="230"/>
      <c r="AE487" s="230"/>
      <c r="AF487" s="16"/>
      <c r="AG487" s="16"/>
      <c r="AH487" s="16"/>
      <c r="AI487" s="1"/>
      <c r="AJ487" s="1"/>
      <c r="AK487" s="1"/>
      <c r="AL487" s="1"/>
      <c r="AM487" s="1"/>
    </row>
    <row r="488" spans="1:40" ht="15.75" thickBot="1">
      <c r="A488" s="127"/>
      <c r="B488" s="763"/>
      <c r="C488" s="246" t="s">
        <v>7</v>
      </c>
      <c r="D488" s="819"/>
      <c r="E488" s="820"/>
      <c r="F488" s="260"/>
      <c r="G488" s="231">
        <f>$F$488*'עלות השירותים'!H14*3</f>
        <v>0</v>
      </c>
      <c r="H488" s="261"/>
      <c r="I488" s="262">
        <f>$H$488*'עלות השירותים'!H14*3</f>
        <v>0</v>
      </c>
      <c r="J488" s="263"/>
      <c r="K488" s="264">
        <f>$J$488*'עלות השירותים'!H14*3</f>
        <v>0</v>
      </c>
      <c r="L488" s="263"/>
      <c r="M488" s="262">
        <f>$L$488*'עלות השירותים'!H14*3</f>
        <v>0</v>
      </c>
      <c r="N488" s="422"/>
      <c r="O488" s="127"/>
      <c r="P488" s="127"/>
      <c r="Q488" s="127"/>
      <c r="R488" s="127"/>
      <c r="S488" s="127"/>
      <c r="T488" s="19"/>
      <c r="U488" s="19"/>
      <c r="V488" s="209"/>
      <c r="W488" s="209"/>
      <c r="X488" s="210"/>
      <c r="Y488" s="210"/>
      <c r="Z488" s="230"/>
      <c r="AA488" s="230"/>
      <c r="AB488" s="230"/>
      <c r="AC488" s="230"/>
      <c r="AD488" s="230"/>
      <c r="AE488" s="230"/>
      <c r="AF488" s="16"/>
      <c r="AG488" s="16"/>
      <c r="AH488" s="16"/>
      <c r="AI488" s="1"/>
      <c r="AJ488" s="1"/>
      <c r="AK488" s="1"/>
      <c r="AL488" s="1"/>
      <c r="AM488" s="1"/>
    </row>
    <row r="489" spans="1:40" ht="16.5" thickTop="1" thickBot="1">
      <c r="A489" s="127"/>
      <c r="B489" s="762" t="s">
        <v>204</v>
      </c>
      <c r="C489" s="245" t="s">
        <v>8</v>
      </c>
      <c r="D489" s="833"/>
      <c r="E489" s="834"/>
      <c r="F489" s="265"/>
      <c r="G489" s="258">
        <f>$F$489*'עלות השירותים'!H44*3</f>
        <v>0</v>
      </c>
      <c r="H489" s="266"/>
      <c r="I489" s="267">
        <f>$H$489*'עלות השירותים'!H44*3</f>
        <v>0</v>
      </c>
      <c r="J489" s="268"/>
      <c r="K489" s="269">
        <f>$J$489*'עלות השירותים'!H44*3</f>
        <v>0</v>
      </c>
      <c r="L489" s="268"/>
      <c r="M489" s="267">
        <f>$L$489*'עלות השירותים'!H44*3</f>
        <v>0</v>
      </c>
      <c r="N489" s="423"/>
      <c r="O489" s="127"/>
      <c r="P489" s="127"/>
      <c r="Q489" s="127"/>
      <c r="R489" s="127"/>
      <c r="S489" s="127"/>
      <c r="T489" s="19"/>
      <c r="U489" s="19"/>
      <c r="V489" s="209"/>
      <c r="W489" s="209"/>
      <c r="X489" s="210"/>
      <c r="Y489" s="210"/>
      <c r="Z489" s="230"/>
      <c r="AA489" s="230"/>
      <c r="AB489" s="230"/>
      <c r="AC489" s="230"/>
      <c r="AD489" s="230"/>
      <c r="AE489" s="230"/>
      <c r="AF489" s="16"/>
      <c r="AG489" s="16"/>
      <c r="AH489" s="16"/>
      <c r="AI489" s="1"/>
      <c r="AJ489" s="1"/>
      <c r="AK489" s="1"/>
      <c r="AL489" s="1"/>
      <c r="AM489" s="1"/>
    </row>
    <row r="490" spans="1:40" ht="16.5" thickTop="1" thickBot="1">
      <c r="A490" s="127"/>
      <c r="B490" s="763"/>
      <c r="C490" s="247" t="s">
        <v>25</v>
      </c>
      <c r="D490" s="819"/>
      <c r="E490" s="820"/>
      <c r="F490" s="270"/>
      <c r="G490" s="259">
        <f>$F$490*'עלות השירותים'!H43*3</f>
        <v>0</v>
      </c>
      <c r="H490" s="271"/>
      <c r="I490" s="272">
        <f>$H$490*'עלות השירותים'!H43*3</f>
        <v>0</v>
      </c>
      <c r="J490" s="273"/>
      <c r="K490" s="274">
        <f>$J$490*'עלות השירותים'!H43*3</f>
        <v>0</v>
      </c>
      <c r="L490" s="273"/>
      <c r="M490" s="272">
        <f>$L$490*'עלות השירותים'!H43*3</f>
        <v>0</v>
      </c>
      <c r="N490" s="424" t="s">
        <v>205</v>
      </c>
      <c r="O490" s="127"/>
      <c r="P490" s="127"/>
      <c r="Q490" s="127"/>
      <c r="R490" s="127"/>
      <c r="S490" s="127"/>
      <c r="T490" s="19"/>
      <c r="U490" s="19"/>
      <c r="V490" s="209"/>
      <c r="W490" s="209"/>
      <c r="X490" s="210"/>
      <c r="Y490" s="210"/>
      <c r="Z490" s="230"/>
      <c r="AA490" s="230"/>
      <c r="AB490" s="230"/>
      <c r="AC490" s="230"/>
      <c r="AD490" s="230"/>
      <c r="AE490" s="230"/>
      <c r="AF490" s="16"/>
      <c r="AG490" s="16"/>
      <c r="AH490" s="16"/>
      <c r="AI490" s="1"/>
      <c r="AJ490" s="1"/>
      <c r="AK490" s="1"/>
      <c r="AL490" s="1"/>
      <c r="AM490" s="1"/>
    </row>
    <row r="491" spans="1:40" ht="15" thickTop="1">
      <c r="A491" s="127"/>
      <c r="B491" s="803" t="s">
        <v>206</v>
      </c>
      <c r="C491" s="804"/>
      <c r="D491" s="821">
        <f>SUM(D485:E490)</f>
        <v>0</v>
      </c>
      <c r="E491" s="822"/>
      <c r="F491" s="827">
        <f>SUM(G485:G490)</f>
        <v>0</v>
      </c>
      <c r="G491" s="828"/>
      <c r="H491" s="814">
        <f>SUM(I485:I490)</f>
        <v>0</v>
      </c>
      <c r="I491" s="814"/>
      <c r="J491" s="813">
        <f>SUM(K485:K490)</f>
        <v>0</v>
      </c>
      <c r="K491" s="895"/>
      <c r="L491" s="813">
        <f>SUM(M485:M490)</f>
        <v>0</v>
      </c>
      <c r="M491" s="814"/>
      <c r="N491" s="798">
        <f>SUM(D491:M493)</f>
        <v>0</v>
      </c>
      <c r="O491" s="127"/>
      <c r="P491" s="127"/>
      <c r="Q491" s="127"/>
      <c r="R491" s="127"/>
      <c r="S491" s="127"/>
      <c r="T491" s="19"/>
      <c r="U491" s="19"/>
      <c r="V491" s="209"/>
      <c r="W491" s="209"/>
      <c r="X491" s="210"/>
      <c r="Y491" s="210"/>
      <c r="Z491" s="894"/>
      <c r="AA491" s="894"/>
      <c r="AB491" s="894"/>
      <c r="AC491" s="894"/>
      <c r="AD491" s="894"/>
      <c r="AE491" s="894"/>
      <c r="AF491" s="16"/>
      <c r="AG491" s="16"/>
      <c r="AH491" s="16"/>
      <c r="AI491" s="1"/>
      <c r="AJ491" s="1"/>
      <c r="AK491" s="1"/>
      <c r="AL491" s="1"/>
      <c r="AM491" s="1"/>
    </row>
    <row r="492" spans="1:40">
      <c r="A492" s="127"/>
      <c r="B492" s="805"/>
      <c r="C492" s="806"/>
      <c r="D492" s="823"/>
      <c r="E492" s="824"/>
      <c r="F492" s="829"/>
      <c r="G492" s="830"/>
      <c r="H492" s="816"/>
      <c r="I492" s="816"/>
      <c r="J492" s="815"/>
      <c r="K492" s="896"/>
      <c r="L492" s="815"/>
      <c r="M492" s="816"/>
      <c r="N492" s="799"/>
      <c r="O492" s="127"/>
      <c r="P492" s="127"/>
      <c r="Q492" s="127"/>
      <c r="R492" s="127"/>
      <c r="S492" s="127"/>
      <c r="T492" s="19"/>
      <c r="U492" s="19"/>
      <c r="V492" s="209"/>
      <c r="W492" s="209"/>
      <c r="X492" s="210"/>
      <c r="Y492" s="210"/>
      <c r="Z492" s="894"/>
      <c r="AA492" s="894"/>
      <c r="AB492" s="894"/>
      <c r="AC492" s="894"/>
      <c r="AD492" s="894"/>
      <c r="AE492" s="894"/>
      <c r="AF492" s="16"/>
      <c r="AG492" s="16"/>
      <c r="AH492" s="16"/>
      <c r="AI492" s="1"/>
      <c r="AJ492" s="1"/>
      <c r="AK492" s="1"/>
      <c r="AL492" s="1"/>
      <c r="AM492" s="1"/>
    </row>
    <row r="493" spans="1:40" ht="15" thickBot="1">
      <c r="A493" s="127"/>
      <c r="B493" s="807"/>
      <c r="C493" s="808"/>
      <c r="D493" s="825"/>
      <c r="E493" s="826"/>
      <c r="F493" s="831"/>
      <c r="G493" s="832"/>
      <c r="H493" s="818"/>
      <c r="I493" s="818"/>
      <c r="J493" s="817"/>
      <c r="K493" s="897"/>
      <c r="L493" s="817"/>
      <c r="M493" s="818"/>
      <c r="N493" s="800"/>
      <c r="O493" s="127"/>
      <c r="P493" s="127"/>
      <c r="Q493" s="127"/>
      <c r="R493" s="127"/>
      <c r="S493" s="127"/>
      <c r="T493" s="19"/>
      <c r="U493" s="19"/>
      <c r="V493" s="209"/>
      <c r="W493" s="209"/>
      <c r="X493" s="210"/>
      <c r="Y493" s="210"/>
      <c r="Z493" s="894"/>
      <c r="AA493" s="894"/>
      <c r="AB493" s="894"/>
      <c r="AC493" s="894"/>
      <c r="AD493" s="894"/>
      <c r="AE493" s="894"/>
      <c r="AF493" s="16"/>
      <c r="AG493" s="16"/>
      <c r="AH493" s="16"/>
      <c r="AI493" s="1"/>
      <c r="AJ493" s="1"/>
      <c r="AK493" s="1"/>
      <c r="AL493" s="1"/>
      <c r="AM493" s="1"/>
    </row>
    <row r="494" spans="1:40" ht="15" thickTop="1">
      <c r="A494" s="232"/>
      <c r="B494" s="232"/>
      <c r="C494" s="232"/>
      <c r="D494" s="232"/>
      <c r="E494" s="232"/>
      <c r="F494" s="232"/>
      <c r="G494" s="232"/>
      <c r="H494" s="232"/>
      <c r="I494" s="232"/>
      <c r="J494" s="232"/>
      <c r="K494" s="232"/>
      <c r="L494" s="232"/>
      <c r="M494" s="232"/>
      <c r="N494" s="127"/>
      <c r="O494" s="127"/>
      <c r="P494" s="127"/>
      <c r="Q494" s="127"/>
      <c r="R494" s="127"/>
      <c r="S494" s="127"/>
      <c r="T494" s="127"/>
      <c r="U494" s="19"/>
      <c r="V494" s="19"/>
      <c r="W494" s="19"/>
      <c r="X494" s="19"/>
      <c r="Y494" s="223"/>
      <c r="Z494" s="19"/>
      <c r="AA494" s="16"/>
      <c r="AB494" s="16"/>
      <c r="AC494" s="16"/>
      <c r="AD494" s="16"/>
      <c r="AE494" s="16"/>
      <c r="AF494" s="16"/>
      <c r="AG494" s="16"/>
      <c r="AH494" s="16"/>
      <c r="AI494" s="16"/>
      <c r="AJ494" s="1"/>
      <c r="AK494" s="1"/>
      <c r="AL494" s="1"/>
      <c r="AM494" s="1"/>
      <c r="AN494" s="1"/>
    </row>
    <row r="495" spans="1:40">
      <c r="A495" s="232"/>
      <c r="B495" s="232"/>
      <c r="C495" s="232"/>
      <c r="D495" s="232"/>
      <c r="E495" s="232"/>
      <c r="F495" s="232"/>
      <c r="G495" s="232"/>
      <c r="H495" s="232"/>
      <c r="I495" s="232"/>
      <c r="J495" s="232"/>
      <c r="K495" s="232"/>
      <c r="L495" s="232"/>
      <c r="M495" s="232"/>
      <c r="N495" s="127"/>
      <c r="O495" s="127"/>
      <c r="P495" s="127"/>
      <c r="Q495" s="127"/>
      <c r="R495" s="127"/>
      <c r="S495" s="127"/>
      <c r="T495" s="127"/>
      <c r="U495" s="20"/>
      <c r="V495" s="20"/>
      <c r="W495" s="20"/>
      <c r="X495" s="20"/>
      <c r="Y495" s="223"/>
      <c r="Z495" s="19"/>
      <c r="AA495" s="16"/>
      <c r="AB495" s="16"/>
      <c r="AC495" s="16"/>
      <c r="AD495" s="16"/>
      <c r="AE495" s="16"/>
      <c r="AF495" s="16"/>
      <c r="AG495" s="16"/>
      <c r="AH495" s="16"/>
      <c r="AI495" s="16"/>
      <c r="AJ495" s="1"/>
      <c r="AK495" s="1"/>
      <c r="AL495" s="1"/>
      <c r="AM495" s="1"/>
      <c r="AN495" s="1"/>
    </row>
    <row r="496" spans="1:40" ht="24" customHeight="1">
      <c r="A496" s="232"/>
      <c r="B496" s="232"/>
      <c r="C496" s="233" t="s">
        <v>207</v>
      </c>
      <c r="D496" s="233" t="s">
        <v>208</v>
      </c>
      <c r="E496" s="233" t="s">
        <v>177</v>
      </c>
      <c r="F496" s="233" t="s">
        <v>178</v>
      </c>
      <c r="G496" s="233" t="s">
        <v>209</v>
      </c>
      <c r="H496" s="232"/>
      <c r="I496" s="233" t="s">
        <v>210</v>
      </c>
      <c r="J496" s="233" t="s">
        <v>211</v>
      </c>
      <c r="K496" s="233" t="s">
        <v>212</v>
      </c>
      <c r="L496" s="233" t="s">
        <v>176</v>
      </c>
      <c r="M496" s="232"/>
      <c r="N496" s="127"/>
      <c r="O496" s="127"/>
      <c r="P496" s="127"/>
      <c r="Q496" s="127"/>
      <c r="R496" s="127"/>
      <c r="S496" s="127"/>
      <c r="T496" s="127"/>
      <c r="U496" s="127"/>
      <c r="V496" s="127"/>
      <c r="W496" s="127"/>
      <c r="X496" s="127"/>
      <c r="Y496" s="144"/>
      <c r="Z496" s="125"/>
      <c r="AA496" s="1"/>
      <c r="AB496" s="1"/>
      <c r="AC496" s="1"/>
      <c r="AD496" s="1"/>
      <c r="AE496" s="1"/>
      <c r="AF496" s="1"/>
      <c r="AG496" s="1"/>
      <c r="AH496" s="1"/>
      <c r="AI496" s="1"/>
      <c r="AJ496" s="1"/>
      <c r="AK496" s="1"/>
      <c r="AL496" s="1"/>
      <c r="AM496" s="1"/>
      <c r="AN496" s="1"/>
    </row>
    <row r="497" spans="1:40" ht="15.6" customHeight="1">
      <c r="A497" s="232"/>
      <c r="B497" s="232"/>
      <c r="C497" s="232" t="s">
        <v>213</v>
      </c>
      <c r="D497" s="232" t="s">
        <v>214</v>
      </c>
      <c r="E497" s="232"/>
      <c r="F497" s="232" t="s">
        <v>215</v>
      </c>
      <c r="G497" s="232" t="s">
        <v>216</v>
      </c>
      <c r="H497" s="232"/>
      <c r="I497" s="232" t="s">
        <v>217</v>
      </c>
      <c r="J497" s="232" t="s">
        <v>218</v>
      </c>
      <c r="K497" s="232" t="s">
        <v>219</v>
      </c>
      <c r="L497" s="232" t="s">
        <v>11</v>
      </c>
      <c r="M497" s="232"/>
      <c r="N497" s="127"/>
      <c r="O497" s="127"/>
      <c r="P497" s="127"/>
      <c r="Q497" s="127"/>
      <c r="R497" s="127"/>
      <c r="S497" s="127"/>
      <c r="T497" s="127"/>
      <c r="U497" s="127"/>
      <c r="V497" s="127"/>
      <c r="W497" s="127"/>
      <c r="X497" s="127"/>
      <c r="Y497" s="144"/>
      <c r="Z497" s="125"/>
      <c r="AA497" s="1"/>
      <c r="AB497" s="1"/>
      <c r="AC497" s="1"/>
      <c r="AD497" s="1"/>
      <c r="AE497" s="1"/>
      <c r="AF497" s="1"/>
      <c r="AG497" s="1"/>
      <c r="AH497" s="1"/>
      <c r="AI497" s="1"/>
      <c r="AJ497" s="1"/>
      <c r="AK497" s="1"/>
      <c r="AL497" s="1"/>
      <c r="AM497" s="1"/>
      <c r="AN497" s="1"/>
    </row>
    <row r="498" spans="1:40">
      <c r="A498" s="232"/>
      <c r="B498" s="232"/>
      <c r="C498" s="232" t="s">
        <v>220</v>
      </c>
      <c r="D498" s="232" t="s">
        <v>221</v>
      </c>
      <c r="E498" s="232" t="s">
        <v>189</v>
      </c>
      <c r="F498" s="232" t="s">
        <v>222</v>
      </c>
      <c r="G498" s="232" t="s">
        <v>223</v>
      </c>
      <c r="H498" s="232"/>
      <c r="I498" s="232" t="s">
        <v>224</v>
      </c>
      <c r="J498" s="232" t="s">
        <v>225</v>
      </c>
      <c r="K498" s="232" t="s">
        <v>226</v>
      </c>
      <c r="L498" s="232" t="s">
        <v>227</v>
      </c>
      <c r="M498" s="232"/>
      <c r="N498" s="127"/>
      <c r="O498" s="127"/>
      <c r="P498" s="127"/>
      <c r="Q498" s="127"/>
      <c r="R498" s="127"/>
      <c r="S498" s="127"/>
      <c r="T498" s="127"/>
      <c r="U498" s="127"/>
      <c r="V498" s="127"/>
      <c r="W498" s="127"/>
      <c r="X498" s="127"/>
      <c r="Y498" s="144"/>
      <c r="Z498" s="125"/>
      <c r="AA498" s="1"/>
      <c r="AB498" s="1"/>
      <c r="AC498" s="1"/>
      <c r="AD498" s="1"/>
      <c r="AE498" s="1"/>
      <c r="AF498" s="1"/>
      <c r="AG498" s="1"/>
      <c r="AH498" s="1"/>
      <c r="AI498" s="1"/>
      <c r="AJ498" s="1"/>
      <c r="AK498" s="1"/>
      <c r="AL498" s="1"/>
      <c r="AM498" s="1"/>
      <c r="AN498" s="1"/>
    </row>
    <row r="499" spans="1:40" ht="15.6" customHeight="1">
      <c r="A499" s="232"/>
      <c r="B499" s="232"/>
      <c r="C499" s="232" t="s">
        <v>228</v>
      </c>
      <c r="D499" s="232" t="s">
        <v>229</v>
      </c>
      <c r="E499" s="232" t="s">
        <v>190</v>
      </c>
      <c r="F499" s="232" t="s">
        <v>230</v>
      </c>
      <c r="G499" s="232" t="s">
        <v>231</v>
      </c>
      <c r="H499" s="232"/>
      <c r="I499" s="232" t="s">
        <v>232</v>
      </c>
      <c r="J499" s="232" t="s">
        <v>233</v>
      </c>
      <c r="K499" s="232"/>
      <c r="L499" s="232" t="s">
        <v>234</v>
      </c>
      <c r="M499" s="232"/>
      <c r="N499" s="127"/>
      <c r="O499" s="127"/>
      <c r="P499" s="127"/>
      <c r="Q499" s="127"/>
      <c r="R499" s="127"/>
      <c r="S499" s="127"/>
      <c r="T499" s="127"/>
      <c r="U499" s="127"/>
      <c r="V499" s="127"/>
      <c r="W499" s="127"/>
      <c r="X499" s="127"/>
      <c r="Y499" s="144"/>
      <c r="Z499" s="125"/>
      <c r="AA499" s="1"/>
      <c r="AB499" s="1"/>
      <c r="AC499" s="1"/>
      <c r="AD499" s="1"/>
      <c r="AE499" s="1"/>
      <c r="AF499" s="1"/>
      <c r="AG499" s="1"/>
      <c r="AH499" s="1"/>
      <c r="AI499" s="1"/>
      <c r="AJ499" s="1"/>
      <c r="AK499" s="1"/>
      <c r="AL499" s="1"/>
      <c r="AM499" s="1"/>
      <c r="AN499" s="1"/>
    </row>
    <row r="500" spans="1:40" ht="15.6" customHeight="1">
      <c r="A500" s="232"/>
      <c r="B500" s="232"/>
      <c r="C500" s="232" t="s">
        <v>12</v>
      </c>
      <c r="D500" s="232"/>
      <c r="E500" s="232" t="s">
        <v>235</v>
      </c>
      <c r="F500" s="232" t="s">
        <v>236</v>
      </c>
      <c r="G500" s="232" t="s">
        <v>237</v>
      </c>
      <c r="H500" s="232"/>
      <c r="I500" s="232"/>
      <c r="J500" s="232" t="s">
        <v>238</v>
      </c>
      <c r="K500" s="232"/>
      <c r="L500" s="232" t="s">
        <v>239</v>
      </c>
      <c r="M500" s="232"/>
      <c r="N500" s="127"/>
      <c r="O500" s="127"/>
      <c r="P500" s="127"/>
      <c r="Q500" s="127"/>
      <c r="R500" s="127"/>
      <c r="S500" s="127"/>
      <c r="T500" s="127"/>
      <c r="U500" s="127"/>
      <c r="V500" s="127"/>
      <c r="W500" s="127"/>
      <c r="X500" s="127"/>
      <c r="Y500" s="144"/>
      <c r="Z500" s="125"/>
      <c r="AA500" s="1"/>
      <c r="AB500" s="1"/>
      <c r="AC500" s="1"/>
      <c r="AD500" s="1"/>
      <c r="AE500" s="1"/>
      <c r="AF500" s="1"/>
      <c r="AG500" s="1"/>
      <c r="AH500" s="1"/>
      <c r="AI500" s="1"/>
      <c r="AJ500" s="1"/>
      <c r="AK500" s="1"/>
      <c r="AL500" s="1"/>
      <c r="AM500" s="1"/>
      <c r="AN500" s="1"/>
    </row>
    <row r="501" spans="1:40" ht="15.6" customHeight="1">
      <c r="A501" s="232"/>
      <c r="B501" s="232"/>
      <c r="C501" s="232" t="s">
        <v>240</v>
      </c>
      <c r="D501" s="232"/>
      <c r="E501" s="234" t="s">
        <v>241</v>
      </c>
      <c r="F501" s="232"/>
      <c r="G501" s="232" t="s">
        <v>242</v>
      </c>
      <c r="H501" s="232"/>
      <c r="I501" s="232"/>
      <c r="J501" s="232" t="s">
        <v>243</v>
      </c>
      <c r="K501" s="232"/>
      <c r="L501" s="232" t="s">
        <v>20</v>
      </c>
      <c r="M501" s="232"/>
      <c r="N501" s="127"/>
      <c r="O501" s="127"/>
      <c r="P501" s="127"/>
      <c r="Q501" s="127"/>
      <c r="R501" s="127"/>
      <c r="S501" s="127"/>
      <c r="T501" s="127"/>
      <c r="U501" s="127"/>
      <c r="V501" s="127"/>
      <c r="W501" s="127"/>
      <c r="X501" s="127"/>
      <c r="Y501" s="144"/>
      <c r="Z501" s="125"/>
      <c r="AA501" s="1"/>
      <c r="AB501" s="1"/>
      <c r="AC501" s="1"/>
      <c r="AD501" s="1"/>
      <c r="AE501" s="1"/>
      <c r="AF501" s="1"/>
      <c r="AG501" s="1"/>
      <c r="AH501" s="1"/>
      <c r="AI501" s="1"/>
      <c r="AJ501" s="1"/>
      <c r="AK501" s="1"/>
      <c r="AL501" s="1"/>
      <c r="AM501" s="1"/>
      <c r="AN501" s="1"/>
    </row>
    <row r="502" spans="1:40" ht="15.6" customHeight="1">
      <c r="A502" s="232"/>
      <c r="B502" s="232"/>
      <c r="C502" s="232" t="s">
        <v>244</v>
      </c>
      <c r="D502" s="232"/>
      <c r="E502" s="234" t="s">
        <v>245</v>
      </c>
      <c r="F502" s="232"/>
      <c r="G502" s="232" t="s">
        <v>246</v>
      </c>
      <c r="H502" s="232"/>
      <c r="I502" s="232"/>
      <c r="J502" s="232" t="s">
        <v>247</v>
      </c>
      <c r="K502" s="232"/>
      <c r="L502" s="232"/>
      <c r="M502" s="232"/>
      <c r="N502" s="127"/>
      <c r="O502" s="127"/>
      <c r="P502" s="127"/>
      <c r="Q502" s="127"/>
      <c r="R502" s="127"/>
      <c r="S502" s="127"/>
      <c r="T502" s="127"/>
      <c r="U502" s="127"/>
      <c r="V502" s="127"/>
      <c r="W502" s="127"/>
      <c r="X502" s="127"/>
      <c r="Y502" s="144"/>
      <c r="Z502" s="125"/>
      <c r="AA502" s="1"/>
      <c r="AB502" s="1"/>
      <c r="AC502" s="1"/>
      <c r="AD502" s="1"/>
      <c r="AE502" s="1"/>
      <c r="AF502" s="1"/>
      <c r="AG502" s="1"/>
      <c r="AH502" s="1"/>
      <c r="AI502" s="1"/>
      <c r="AJ502" s="1"/>
      <c r="AK502" s="1"/>
      <c r="AL502" s="1"/>
      <c r="AM502" s="1"/>
      <c r="AN502" s="1"/>
    </row>
    <row r="503" spans="1:40" ht="15.6" customHeight="1">
      <c r="A503" s="232"/>
      <c r="B503" s="232"/>
      <c r="C503" s="232" t="s">
        <v>20</v>
      </c>
      <c r="D503" s="232"/>
      <c r="E503" s="232"/>
      <c r="F503" s="232"/>
      <c r="G503" s="232"/>
      <c r="H503" s="232"/>
      <c r="I503" s="232"/>
      <c r="J503" s="232" t="s">
        <v>248</v>
      </c>
      <c r="K503" s="232"/>
      <c r="L503" s="232"/>
      <c r="M503" s="232"/>
      <c r="N503" s="127"/>
      <c r="O503" s="127"/>
      <c r="P503" s="127"/>
      <c r="Q503" s="127"/>
      <c r="R503" s="127"/>
      <c r="S503" s="127"/>
      <c r="T503" s="127"/>
      <c r="U503" s="127"/>
      <c r="V503" s="127"/>
      <c r="W503" s="127"/>
      <c r="X503" s="127"/>
      <c r="Y503" s="144"/>
      <c r="Z503" s="125"/>
      <c r="AA503" s="1"/>
      <c r="AB503" s="1"/>
      <c r="AC503" s="1"/>
      <c r="AD503" s="1"/>
      <c r="AE503" s="1"/>
      <c r="AF503" s="1"/>
      <c r="AG503" s="1"/>
      <c r="AH503" s="1"/>
      <c r="AI503" s="1"/>
      <c r="AJ503" s="1"/>
      <c r="AK503" s="1"/>
      <c r="AL503" s="1"/>
      <c r="AM503" s="1"/>
      <c r="AN503" s="1"/>
    </row>
    <row r="504" spans="1:40" ht="15.6" customHeight="1">
      <c r="A504" s="232"/>
      <c r="B504" s="232"/>
      <c r="C504" s="232" t="s">
        <v>249</v>
      </c>
      <c r="D504" s="232"/>
      <c r="E504" s="232"/>
      <c r="F504" s="232"/>
      <c r="G504" s="232"/>
      <c r="H504" s="232"/>
      <c r="I504" s="232"/>
      <c r="J504" s="232" t="s">
        <v>246</v>
      </c>
      <c r="K504" s="232"/>
      <c r="L504" s="232"/>
      <c r="M504" s="232"/>
      <c r="N504" s="127"/>
      <c r="O504" s="127"/>
      <c r="P504" s="127"/>
      <c r="Q504" s="127"/>
      <c r="R504" s="127"/>
      <c r="S504" s="127"/>
      <c r="T504" s="127"/>
      <c r="U504" s="127"/>
      <c r="V504" s="127"/>
      <c r="W504" s="127"/>
      <c r="X504" s="127"/>
      <c r="Y504" s="144"/>
      <c r="Z504" s="125"/>
      <c r="AA504" s="1"/>
      <c r="AB504" s="1"/>
      <c r="AC504" s="1"/>
      <c r="AD504" s="1"/>
      <c r="AE504" s="1"/>
      <c r="AF504" s="1"/>
      <c r="AG504" s="1"/>
      <c r="AH504" s="1"/>
      <c r="AI504" s="1"/>
      <c r="AJ504" s="1"/>
      <c r="AK504" s="1"/>
      <c r="AL504" s="1"/>
      <c r="AM504" s="1"/>
      <c r="AN504" s="1"/>
    </row>
    <row r="505" spans="1:40" ht="15.6" customHeight="1">
      <c r="A505" s="232"/>
      <c r="B505" s="232"/>
      <c r="C505" s="232" t="s">
        <v>250</v>
      </c>
      <c r="D505" s="232"/>
      <c r="E505" s="232"/>
      <c r="F505" s="232"/>
      <c r="G505" s="232"/>
      <c r="H505" s="232"/>
      <c r="I505" s="232"/>
      <c r="J505" s="232"/>
      <c r="K505" s="232"/>
      <c r="L505" s="232"/>
      <c r="M505" s="232"/>
      <c r="N505" s="127"/>
      <c r="O505" s="127"/>
      <c r="P505" s="127"/>
      <c r="Q505" s="127"/>
      <c r="R505" s="127"/>
      <c r="S505" s="127"/>
      <c r="T505" s="127"/>
      <c r="U505" s="127"/>
      <c r="V505" s="127"/>
      <c r="W505" s="127"/>
      <c r="X505" s="127"/>
      <c r="Y505" s="144"/>
      <c r="Z505" s="125"/>
      <c r="AA505" s="1"/>
      <c r="AB505" s="1"/>
      <c r="AC505" s="1"/>
      <c r="AD505" s="1"/>
      <c r="AE505" s="1"/>
      <c r="AF505" s="1"/>
      <c r="AG505" s="1"/>
      <c r="AH505" s="1"/>
      <c r="AI505" s="1"/>
      <c r="AJ505" s="1"/>
      <c r="AK505" s="1"/>
      <c r="AL505" s="1"/>
      <c r="AM505" s="1"/>
      <c r="AN505" s="1"/>
    </row>
    <row r="506" spans="1:40" ht="15.6" customHeight="1">
      <c r="A506" s="232"/>
      <c r="B506" s="232"/>
      <c r="C506" s="232" t="s">
        <v>251</v>
      </c>
      <c r="D506" s="232"/>
      <c r="E506" s="232"/>
      <c r="F506" s="232"/>
      <c r="G506" s="232"/>
      <c r="H506" s="232"/>
      <c r="I506" s="232"/>
      <c r="J506" s="232"/>
      <c r="K506" s="232"/>
      <c r="L506" s="232"/>
      <c r="M506" s="232"/>
      <c r="N506" s="127"/>
      <c r="O506" s="127"/>
      <c r="P506" s="127"/>
      <c r="Q506" s="127"/>
      <c r="R506" s="127"/>
      <c r="S506" s="127"/>
      <c r="T506" s="127"/>
      <c r="U506" s="127"/>
      <c r="V506" s="127"/>
      <c r="W506" s="127"/>
      <c r="X506" s="127"/>
      <c r="Y506" s="144"/>
      <c r="Z506" s="125"/>
      <c r="AA506" s="1"/>
      <c r="AB506" s="1"/>
      <c r="AC506" s="1"/>
      <c r="AD506" s="1"/>
      <c r="AE506" s="1"/>
      <c r="AF506" s="1"/>
      <c r="AG506" s="1"/>
      <c r="AH506" s="1"/>
      <c r="AI506" s="1"/>
      <c r="AJ506" s="1"/>
      <c r="AK506" s="1"/>
      <c r="AL506" s="1"/>
      <c r="AM506" s="1"/>
      <c r="AN506" s="1"/>
    </row>
    <row r="507" spans="1:40">
      <c r="A507" s="232"/>
      <c r="B507" s="232"/>
      <c r="C507" s="232" t="s">
        <v>252</v>
      </c>
      <c r="D507" s="232"/>
      <c r="E507" s="232"/>
      <c r="F507" s="232"/>
      <c r="G507" s="232"/>
      <c r="H507" s="232"/>
      <c r="I507" s="232"/>
      <c r="J507" s="232"/>
      <c r="K507" s="232"/>
      <c r="L507" s="232"/>
      <c r="M507" s="232"/>
      <c r="N507" s="127"/>
      <c r="O507" s="127"/>
      <c r="P507" s="127"/>
      <c r="Q507" s="127"/>
      <c r="R507" s="127"/>
      <c r="S507" s="127"/>
      <c r="T507" s="127"/>
      <c r="U507" s="127"/>
      <c r="V507" s="127"/>
      <c r="W507" s="127"/>
      <c r="X507" s="127"/>
      <c r="Y507" s="144"/>
      <c r="Z507" s="125"/>
      <c r="AA507" s="1"/>
      <c r="AB507" s="1"/>
      <c r="AC507" s="1"/>
      <c r="AD507" s="1"/>
      <c r="AE507" s="1"/>
      <c r="AF507" s="1"/>
      <c r="AG507" s="1"/>
      <c r="AH507" s="1"/>
      <c r="AI507" s="1"/>
      <c r="AJ507" s="1"/>
      <c r="AK507" s="1"/>
      <c r="AL507" s="1"/>
      <c r="AM507" s="1"/>
      <c r="AN507" s="1"/>
    </row>
    <row r="508" spans="1:40" ht="15.6" customHeight="1">
      <c r="A508" s="232"/>
      <c r="B508" s="232"/>
      <c r="C508" s="232" t="s">
        <v>253</v>
      </c>
      <c r="D508" s="232"/>
      <c r="E508" s="232"/>
      <c r="F508" s="232"/>
      <c r="G508" s="232"/>
      <c r="H508" s="232"/>
      <c r="I508" s="232"/>
      <c r="J508" s="232"/>
      <c r="K508" s="232"/>
      <c r="L508" s="232"/>
      <c r="M508" s="232"/>
      <c r="N508" s="127"/>
      <c r="O508" s="127"/>
      <c r="P508" s="127"/>
      <c r="Q508" s="127"/>
      <c r="R508" s="127"/>
      <c r="S508" s="127"/>
      <c r="T508" s="127"/>
      <c r="U508" s="127"/>
      <c r="V508" s="127"/>
      <c r="W508" s="127"/>
      <c r="X508" s="127"/>
      <c r="Y508" s="144"/>
      <c r="Z508" s="125"/>
      <c r="AA508" s="1"/>
      <c r="AB508" s="1"/>
      <c r="AC508" s="1"/>
      <c r="AD508" s="1"/>
      <c r="AE508" s="1"/>
      <c r="AF508" s="1"/>
      <c r="AG508" s="1"/>
      <c r="AH508" s="1"/>
      <c r="AI508" s="1"/>
      <c r="AJ508" s="1"/>
      <c r="AK508" s="1"/>
      <c r="AL508" s="1"/>
      <c r="AM508" s="1"/>
      <c r="AN508" s="1"/>
    </row>
    <row r="509" spans="1:40" ht="15.6" customHeight="1">
      <c r="A509" s="232"/>
      <c r="B509" s="232"/>
      <c r="C509" s="232" t="s">
        <v>246</v>
      </c>
      <c r="D509" s="232"/>
      <c r="E509" s="232"/>
      <c r="F509" s="232"/>
      <c r="G509" s="232"/>
      <c r="H509" s="232"/>
      <c r="I509" s="232"/>
      <c r="J509" s="232"/>
      <c r="K509" s="232"/>
      <c r="L509" s="232"/>
      <c r="M509" s="232"/>
      <c r="N509" s="127"/>
      <c r="O509" s="127"/>
      <c r="P509" s="127"/>
      <c r="Q509" s="127"/>
      <c r="R509" s="127"/>
      <c r="S509" s="127"/>
      <c r="T509" s="127"/>
      <c r="U509" s="127"/>
      <c r="V509" s="127"/>
      <c r="W509" s="127"/>
      <c r="X509" s="127"/>
      <c r="Y509" s="144"/>
      <c r="Z509" s="125"/>
      <c r="AA509" s="1"/>
      <c r="AB509" s="1"/>
      <c r="AC509" s="1"/>
      <c r="AD509" s="1"/>
      <c r="AE509" s="1"/>
      <c r="AF509" s="1"/>
      <c r="AG509" s="1"/>
      <c r="AH509" s="1"/>
      <c r="AI509" s="1"/>
      <c r="AJ509" s="1"/>
      <c r="AK509" s="1"/>
      <c r="AL509" s="1"/>
      <c r="AM509" s="1"/>
      <c r="AN509" s="1"/>
    </row>
    <row r="510" spans="1:40">
      <c r="A510" s="232"/>
      <c r="B510" s="232"/>
      <c r="C510" s="232"/>
      <c r="D510" s="232"/>
      <c r="E510" s="232"/>
      <c r="F510" s="232"/>
      <c r="G510" s="232"/>
      <c r="H510" s="232"/>
      <c r="I510" s="232"/>
      <c r="J510" s="232"/>
      <c r="K510" s="232"/>
      <c r="L510" s="232"/>
      <c r="M510" s="232"/>
      <c r="N510" s="127"/>
      <c r="O510" s="127"/>
      <c r="P510" s="127"/>
      <c r="Q510" s="127"/>
      <c r="R510" s="127"/>
      <c r="S510" s="127"/>
      <c r="T510" s="127"/>
      <c r="U510" s="127"/>
      <c r="V510" s="127"/>
      <c r="W510" s="127"/>
      <c r="X510" s="127"/>
      <c r="Y510" s="144"/>
      <c r="Z510" s="125"/>
      <c r="AA510" s="1"/>
      <c r="AB510" s="1"/>
      <c r="AC510" s="1"/>
      <c r="AD510" s="1"/>
      <c r="AE510" s="1"/>
      <c r="AF510" s="1"/>
      <c r="AG510" s="1"/>
      <c r="AH510" s="1"/>
      <c r="AI510" s="1"/>
      <c r="AJ510" s="1"/>
      <c r="AK510" s="1"/>
      <c r="AL510" s="1"/>
      <c r="AM510" s="1"/>
      <c r="AN510" s="1"/>
    </row>
    <row r="511" spans="1:40">
      <c r="A511" s="232"/>
      <c r="B511" s="232"/>
      <c r="C511" s="232"/>
      <c r="D511" s="232"/>
      <c r="E511" s="232"/>
      <c r="F511" s="232"/>
      <c r="G511" s="232"/>
      <c r="H511" s="232"/>
      <c r="I511" s="232"/>
      <c r="J511" s="232"/>
      <c r="K511" s="232"/>
      <c r="L511" s="232"/>
      <c r="M511" s="232"/>
      <c r="N511" s="127"/>
      <c r="O511" s="127"/>
      <c r="P511" s="127"/>
      <c r="Q511" s="127"/>
      <c r="R511" s="127"/>
      <c r="S511" s="127"/>
      <c r="T511" s="127"/>
      <c r="U511" s="127"/>
      <c r="V511" s="127"/>
      <c r="W511" s="127"/>
      <c r="X511" s="127"/>
      <c r="Y511" s="144"/>
      <c r="Z511" s="125"/>
      <c r="AA511" s="1"/>
      <c r="AB511" s="1"/>
      <c r="AC511" s="1"/>
      <c r="AD511" s="1"/>
      <c r="AE511" s="1"/>
      <c r="AF511" s="1"/>
      <c r="AG511" s="1"/>
      <c r="AH511" s="1"/>
      <c r="AI511" s="1"/>
      <c r="AJ511" s="1"/>
      <c r="AK511" s="1"/>
      <c r="AL511" s="1"/>
      <c r="AM511" s="1"/>
      <c r="AN511" s="1"/>
    </row>
    <row r="512" spans="1:40">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44"/>
      <c r="Z512" s="125"/>
      <c r="AA512" s="1"/>
      <c r="AB512" s="1"/>
      <c r="AC512" s="1"/>
      <c r="AD512" s="1"/>
      <c r="AE512" s="1"/>
      <c r="AF512" s="1"/>
      <c r="AG512" s="1"/>
      <c r="AH512" s="1"/>
      <c r="AI512" s="1"/>
      <c r="AJ512" s="1"/>
      <c r="AK512" s="1"/>
      <c r="AL512" s="1"/>
      <c r="AM512" s="1"/>
      <c r="AN512" s="1"/>
    </row>
    <row r="513" spans="1:40">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44"/>
      <c r="Z513" s="125"/>
      <c r="AA513" s="1"/>
      <c r="AB513" s="1"/>
      <c r="AC513" s="1"/>
      <c r="AD513" s="1"/>
      <c r="AE513" s="1"/>
      <c r="AF513" s="1"/>
      <c r="AG513" s="1"/>
      <c r="AH513" s="1"/>
      <c r="AI513" s="1"/>
      <c r="AJ513" s="1"/>
      <c r="AK513" s="1"/>
      <c r="AL513" s="1"/>
      <c r="AM513" s="1"/>
      <c r="AN513" s="1"/>
    </row>
    <row r="514" spans="1:40" ht="15.6" customHeigh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44"/>
      <c r="Z514" s="125"/>
      <c r="AA514" s="1"/>
      <c r="AB514" s="1"/>
      <c r="AC514" s="1"/>
      <c r="AD514" s="1"/>
      <c r="AE514" s="1"/>
      <c r="AF514" s="1"/>
      <c r="AG514" s="1"/>
      <c r="AH514" s="1"/>
      <c r="AI514" s="1"/>
      <c r="AJ514" s="1"/>
      <c r="AK514" s="1"/>
      <c r="AL514" s="1"/>
      <c r="AM514" s="1"/>
      <c r="AN514" s="1"/>
    </row>
    <row r="515" spans="1:40">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44"/>
      <c r="Z515" s="125"/>
      <c r="AA515" s="1"/>
      <c r="AB515" s="1"/>
      <c r="AC515" s="1"/>
      <c r="AD515" s="1"/>
      <c r="AE515" s="1"/>
      <c r="AF515" s="1"/>
      <c r="AG515" s="1"/>
      <c r="AH515" s="1"/>
      <c r="AI515" s="1"/>
      <c r="AJ515" s="1"/>
      <c r="AK515" s="1"/>
      <c r="AL515" s="1"/>
      <c r="AM515" s="1"/>
      <c r="AN515" s="1"/>
    </row>
    <row r="516" spans="1:40">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44"/>
      <c r="Z516" s="125"/>
      <c r="AA516" s="1"/>
      <c r="AB516" s="1"/>
      <c r="AC516" s="1"/>
      <c r="AD516" s="1"/>
      <c r="AE516" s="1"/>
      <c r="AF516" s="1"/>
      <c r="AG516" s="1"/>
      <c r="AH516" s="1"/>
      <c r="AI516" s="1"/>
      <c r="AJ516" s="1"/>
      <c r="AK516" s="1"/>
      <c r="AL516" s="1"/>
      <c r="AM516" s="1"/>
      <c r="AN516" s="1"/>
    </row>
    <row r="517" spans="1:40">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44"/>
      <c r="Z517" s="125"/>
      <c r="AA517" s="1"/>
      <c r="AB517" s="1"/>
      <c r="AC517" s="1"/>
      <c r="AD517" s="1"/>
      <c r="AE517" s="1"/>
      <c r="AF517" s="1"/>
      <c r="AG517" s="1"/>
      <c r="AH517" s="1"/>
      <c r="AI517" s="1"/>
      <c r="AJ517" s="1"/>
      <c r="AK517" s="1"/>
      <c r="AL517" s="1"/>
      <c r="AM517" s="1"/>
      <c r="AN517" s="1"/>
    </row>
    <row r="518" spans="1:40">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44"/>
      <c r="Z518" s="125"/>
      <c r="AA518" s="1"/>
      <c r="AB518" s="1"/>
      <c r="AC518" s="1"/>
      <c r="AD518" s="1"/>
      <c r="AE518" s="1"/>
      <c r="AF518" s="1"/>
      <c r="AG518" s="1"/>
      <c r="AH518" s="1"/>
      <c r="AI518" s="1"/>
      <c r="AJ518" s="1"/>
      <c r="AK518" s="1"/>
      <c r="AL518" s="1"/>
      <c r="AM518" s="1"/>
      <c r="AN518" s="1"/>
    </row>
    <row r="519" spans="1:40">
      <c r="A519" s="127"/>
      <c r="B519" s="127"/>
      <c r="C519" s="127"/>
      <c r="D519" s="127"/>
      <c r="E519" s="127"/>
      <c r="F519" s="127"/>
      <c r="G519" s="127"/>
      <c r="H519" s="127"/>
      <c r="I519" s="127"/>
      <c r="J519" s="127"/>
      <c r="K519" s="127"/>
      <c r="L519" s="127"/>
      <c r="M519" s="127"/>
      <c r="N519" s="127"/>
      <c r="O519" s="127"/>
      <c r="P519" s="127"/>
      <c r="Q519" s="127"/>
      <c r="R519" s="127"/>
      <c r="S519" s="127"/>
      <c r="T519" s="127"/>
      <c r="U519" s="125"/>
      <c r="V519" s="125"/>
      <c r="W519" s="125"/>
      <c r="X519" s="125"/>
      <c r="Y519" s="144"/>
      <c r="Z519" s="125"/>
      <c r="AA519" s="1"/>
      <c r="AB519" s="1"/>
      <c r="AC519" s="1"/>
      <c r="AD519" s="1"/>
      <c r="AE519" s="1"/>
      <c r="AF519" s="1"/>
      <c r="AG519" s="1"/>
      <c r="AH519" s="1"/>
      <c r="AI519" s="1"/>
      <c r="AJ519" s="1"/>
      <c r="AK519" s="1"/>
      <c r="AL519" s="1"/>
      <c r="AM519" s="1"/>
      <c r="AN519" s="1"/>
    </row>
    <row r="520" spans="1:40">
      <c r="A520" s="127"/>
      <c r="B520" s="127"/>
      <c r="C520" s="127"/>
      <c r="D520" s="127"/>
      <c r="E520" s="127"/>
      <c r="F520" s="127"/>
      <c r="G520" s="127"/>
      <c r="H520" s="127"/>
      <c r="I520" s="127"/>
      <c r="J520" s="127"/>
      <c r="K520" s="127"/>
      <c r="L520" s="127"/>
      <c r="M520" s="127"/>
      <c r="N520" s="127"/>
      <c r="O520" s="127"/>
      <c r="P520" s="127"/>
      <c r="Q520" s="127"/>
      <c r="R520" s="127"/>
      <c r="S520" s="127"/>
      <c r="T520" s="127"/>
      <c r="U520" s="125"/>
      <c r="V520" s="125"/>
      <c r="W520" s="125"/>
      <c r="X520" s="125"/>
      <c r="Y520" s="144"/>
      <c r="Z520" s="125"/>
      <c r="AA520" s="1"/>
      <c r="AB520" s="1"/>
      <c r="AC520" s="1"/>
      <c r="AD520" s="1"/>
      <c r="AE520" s="1"/>
      <c r="AF520" s="1"/>
      <c r="AG520" s="1"/>
      <c r="AH520" s="1"/>
      <c r="AI520" s="1"/>
      <c r="AJ520" s="1"/>
      <c r="AK520" s="1"/>
      <c r="AL520" s="1"/>
      <c r="AM520" s="1"/>
      <c r="AN520" s="1"/>
    </row>
    <row r="521" spans="1:40">
      <c r="A521" s="127"/>
      <c r="B521" s="127"/>
      <c r="C521" s="127"/>
      <c r="D521" s="127"/>
      <c r="E521" s="127"/>
      <c r="F521" s="127"/>
      <c r="G521" s="127"/>
      <c r="H521" s="127"/>
      <c r="I521" s="127"/>
      <c r="J521" s="127"/>
      <c r="K521" s="127"/>
      <c r="L521" s="127"/>
      <c r="M521" s="127"/>
      <c r="N521" s="127"/>
      <c r="O521" s="127"/>
      <c r="P521" s="127"/>
      <c r="Q521" s="127"/>
      <c r="R521" s="127"/>
      <c r="S521" s="127"/>
      <c r="T521" s="127"/>
      <c r="U521" s="125"/>
      <c r="V521" s="125"/>
      <c r="W521" s="125"/>
      <c r="X521" s="125"/>
      <c r="Y521" s="144"/>
      <c r="Z521" s="125"/>
      <c r="AA521" s="1"/>
      <c r="AB521" s="1"/>
      <c r="AC521" s="1"/>
      <c r="AD521" s="1"/>
      <c r="AE521" s="1"/>
      <c r="AF521" s="1"/>
      <c r="AG521" s="1"/>
      <c r="AH521" s="1"/>
      <c r="AI521" s="1"/>
      <c r="AJ521" s="1"/>
      <c r="AK521" s="1"/>
      <c r="AL521" s="1"/>
      <c r="AM521" s="1"/>
      <c r="AN521" s="1"/>
    </row>
    <row r="522" spans="1:40">
      <c r="A522" s="127"/>
      <c r="B522" s="127"/>
      <c r="C522" s="127"/>
      <c r="D522" s="127"/>
      <c r="E522" s="127"/>
      <c r="F522" s="127"/>
      <c r="G522" s="127"/>
      <c r="H522" s="127"/>
      <c r="I522" s="127"/>
      <c r="J522" s="127"/>
      <c r="K522" s="127"/>
      <c r="L522" s="127"/>
      <c r="M522" s="127"/>
      <c r="N522" s="127"/>
      <c r="O522" s="127"/>
      <c r="P522" s="127"/>
      <c r="Q522" s="127"/>
      <c r="R522" s="127"/>
      <c r="S522" s="127"/>
      <c r="T522" s="127"/>
      <c r="U522" s="125"/>
      <c r="V522" s="125"/>
      <c r="W522" s="125"/>
      <c r="X522" s="125"/>
      <c r="Y522" s="144"/>
      <c r="Z522" s="125"/>
      <c r="AA522" s="1"/>
      <c r="AB522" s="1"/>
      <c r="AC522" s="1"/>
      <c r="AD522" s="1"/>
      <c r="AE522" s="1"/>
      <c r="AF522" s="1"/>
      <c r="AG522" s="1"/>
      <c r="AH522" s="1"/>
      <c r="AI522" s="1"/>
      <c r="AJ522" s="1"/>
      <c r="AK522" s="1"/>
      <c r="AL522" s="1"/>
      <c r="AM522" s="1"/>
      <c r="AN522" s="1"/>
    </row>
    <row r="523" spans="1:40">
      <c r="A523" s="127"/>
      <c r="B523" s="127"/>
      <c r="C523" s="127"/>
      <c r="D523" s="127"/>
      <c r="E523" s="127"/>
      <c r="F523" s="127"/>
      <c r="G523" s="127"/>
      <c r="H523" s="127"/>
      <c r="I523" s="127"/>
      <c r="J523" s="127"/>
      <c r="K523" s="127"/>
      <c r="L523" s="127"/>
      <c r="M523" s="127"/>
      <c r="N523" s="127"/>
      <c r="O523" s="127"/>
      <c r="P523" s="127"/>
      <c r="Q523" s="127"/>
      <c r="R523" s="127"/>
      <c r="S523" s="127"/>
      <c r="T523" s="127"/>
      <c r="U523" s="125"/>
      <c r="V523" s="125"/>
      <c r="W523" s="125"/>
      <c r="X523" s="125"/>
      <c r="Y523" s="144"/>
      <c r="Z523" s="125"/>
      <c r="AA523" s="1"/>
      <c r="AB523" s="1"/>
      <c r="AC523" s="1"/>
      <c r="AD523" s="1"/>
      <c r="AE523" s="1"/>
      <c r="AF523" s="1"/>
      <c r="AG523" s="1"/>
      <c r="AH523" s="1"/>
      <c r="AI523" s="1"/>
      <c r="AJ523" s="1"/>
      <c r="AK523" s="1"/>
      <c r="AL523" s="1"/>
      <c r="AM523" s="1"/>
      <c r="AN523" s="1"/>
    </row>
    <row r="524" spans="1:40">
      <c r="A524" s="127"/>
      <c r="B524" s="127"/>
      <c r="C524" s="127"/>
      <c r="D524" s="127"/>
      <c r="E524" s="127"/>
      <c r="F524" s="127"/>
      <c r="G524" s="127"/>
      <c r="H524" s="127"/>
      <c r="I524" s="127"/>
      <c r="J524" s="127"/>
      <c r="K524" s="127"/>
      <c r="L524" s="127"/>
      <c r="M524" s="127"/>
      <c r="N524" s="127"/>
      <c r="O524" s="127"/>
      <c r="P524" s="127"/>
      <c r="Q524" s="127"/>
      <c r="R524" s="127"/>
      <c r="S524" s="127"/>
      <c r="T524" s="127"/>
      <c r="U524" s="125"/>
      <c r="V524" s="125"/>
      <c r="W524" s="125"/>
      <c r="X524" s="125"/>
      <c r="Y524" s="144"/>
      <c r="Z524" s="125"/>
      <c r="AA524" s="1"/>
      <c r="AB524" s="1"/>
      <c r="AC524" s="1"/>
      <c r="AD524" s="1"/>
      <c r="AE524" s="1"/>
      <c r="AF524" s="1"/>
      <c r="AG524" s="1"/>
      <c r="AH524" s="1"/>
      <c r="AI524" s="1"/>
      <c r="AJ524" s="1"/>
      <c r="AK524" s="1"/>
      <c r="AL524" s="1"/>
      <c r="AM524" s="1"/>
      <c r="AN524" s="1"/>
    </row>
    <row r="525" spans="1:40">
      <c r="A525" s="127"/>
      <c r="B525" s="127"/>
      <c r="C525" s="127"/>
      <c r="D525" s="127"/>
      <c r="E525" s="127"/>
      <c r="F525" s="127"/>
      <c r="G525" s="127"/>
      <c r="H525" s="127"/>
      <c r="I525" s="127"/>
      <c r="J525" s="127"/>
      <c r="K525" s="127"/>
      <c r="L525" s="127"/>
      <c r="M525" s="127"/>
      <c r="N525" s="127"/>
      <c r="O525" s="127"/>
      <c r="P525" s="127"/>
      <c r="Q525" s="127"/>
      <c r="R525" s="127"/>
      <c r="S525" s="127"/>
      <c r="T525" s="127"/>
      <c r="U525" s="125"/>
      <c r="V525" s="125"/>
      <c r="W525" s="125"/>
      <c r="X525" s="125"/>
      <c r="Y525" s="144"/>
      <c r="Z525" s="125"/>
      <c r="AA525" s="1"/>
      <c r="AB525" s="1"/>
      <c r="AC525" s="1"/>
      <c r="AD525" s="1"/>
      <c r="AE525" s="1"/>
      <c r="AF525" s="1"/>
      <c r="AG525" s="1"/>
      <c r="AH525" s="1"/>
      <c r="AI525" s="1"/>
      <c r="AJ525" s="1"/>
      <c r="AK525" s="1"/>
      <c r="AL525" s="1"/>
      <c r="AM525" s="1"/>
      <c r="AN525" s="1"/>
    </row>
    <row r="526" spans="1:40">
      <c r="A526" s="127"/>
      <c r="B526" s="127"/>
      <c r="C526" s="127"/>
      <c r="D526" s="127"/>
      <c r="E526" s="127"/>
      <c r="F526" s="127"/>
      <c r="G526" s="127"/>
      <c r="H526" s="127"/>
      <c r="I526" s="127"/>
      <c r="J526" s="127"/>
      <c r="K526" s="127"/>
      <c r="L526" s="127"/>
      <c r="M526" s="127"/>
      <c r="N526" s="127"/>
      <c r="O526" s="127"/>
      <c r="P526" s="127"/>
      <c r="Q526" s="127"/>
      <c r="R526" s="127"/>
      <c r="S526" s="127"/>
      <c r="T526" s="127"/>
      <c r="U526" s="125"/>
      <c r="V526" s="125"/>
      <c r="W526" s="125"/>
      <c r="X526" s="125"/>
      <c r="Y526" s="144"/>
      <c r="Z526" s="125"/>
      <c r="AA526" s="1"/>
      <c r="AB526" s="1"/>
      <c r="AC526" s="1"/>
      <c r="AD526" s="1"/>
      <c r="AE526" s="1"/>
      <c r="AF526" s="1"/>
      <c r="AG526" s="1"/>
      <c r="AH526" s="1"/>
      <c r="AI526" s="1"/>
      <c r="AJ526" s="1"/>
      <c r="AK526" s="1"/>
      <c r="AL526" s="1"/>
      <c r="AM526" s="1"/>
      <c r="AN526" s="1"/>
    </row>
    <row r="527" spans="1:40">
      <c r="A527" s="127"/>
      <c r="B527" s="127"/>
      <c r="C527" s="127"/>
      <c r="D527" s="127"/>
      <c r="E527" s="127"/>
      <c r="F527" s="127"/>
      <c r="G527" s="127"/>
      <c r="H527" s="127"/>
      <c r="I527" s="127"/>
      <c r="J527" s="127"/>
      <c r="K527" s="127"/>
      <c r="L527" s="127"/>
      <c r="M527" s="127"/>
      <c r="N527" s="127"/>
      <c r="O527" s="127"/>
      <c r="P527" s="127"/>
      <c r="Q527" s="127"/>
      <c r="R527" s="127"/>
      <c r="S527" s="127"/>
      <c r="T527" s="127"/>
      <c r="U527" s="125"/>
      <c r="V527" s="125"/>
      <c r="W527" s="125"/>
      <c r="X527" s="125"/>
      <c r="Y527" s="144"/>
      <c r="Z527" s="125"/>
      <c r="AA527" s="1"/>
      <c r="AB527" s="1"/>
      <c r="AC527" s="1"/>
      <c r="AD527" s="1"/>
      <c r="AE527" s="1"/>
      <c r="AF527" s="1"/>
      <c r="AG527" s="1"/>
      <c r="AH527" s="1"/>
      <c r="AI527" s="1"/>
      <c r="AJ527" s="1"/>
      <c r="AK527" s="1"/>
      <c r="AL527" s="1"/>
      <c r="AM527" s="1"/>
      <c r="AN527" s="1"/>
    </row>
    <row r="528" spans="1:40">
      <c r="A528" s="127"/>
      <c r="B528" s="127"/>
      <c r="C528" s="127"/>
      <c r="D528" s="127"/>
      <c r="E528" s="127"/>
      <c r="F528" s="127"/>
      <c r="G528" s="127"/>
      <c r="H528" s="127"/>
      <c r="I528" s="127"/>
      <c r="J528" s="127"/>
      <c r="K528" s="127"/>
      <c r="L528" s="127"/>
      <c r="M528" s="127"/>
      <c r="N528" s="127"/>
      <c r="O528" s="127"/>
      <c r="P528" s="127"/>
      <c r="Q528" s="127"/>
      <c r="R528" s="127"/>
      <c r="S528" s="127"/>
      <c r="T528" s="127"/>
      <c r="U528" s="125"/>
      <c r="V528" s="125"/>
      <c r="W528" s="125"/>
      <c r="X528" s="125"/>
      <c r="Y528" s="144"/>
      <c r="Z528" s="125"/>
      <c r="AA528" s="1"/>
      <c r="AB528" s="1"/>
      <c r="AC528" s="1"/>
      <c r="AD528" s="1"/>
      <c r="AE528" s="1"/>
      <c r="AF528" s="1"/>
      <c r="AG528" s="1"/>
      <c r="AH528" s="1"/>
      <c r="AI528" s="1"/>
      <c r="AJ528" s="1"/>
      <c r="AK528" s="1"/>
      <c r="AL528" s="1"/>
      <c r="AM528" s="1"/>
      <c r="AN528" s="1"/>
    </row>
    <row r="529" spans="1:40">
      <c r="A529" s="127"/>
      <c r="B529" s="127"/>
      <c r="C529" s="127"/>
      <c r="D529" s="127"/>
      <c r="E529" s="127"/>
      <c r="F529" s="127"/>
      <c r="G529" s="127"/>
      <c r="H529" s="127"/>
      <c r="I529" s="127"/>
      <c r="J529" s="127"/>
      <c r="K529" s="127"/>
      <c r="L529" s="127"/>
      <c r="M529" s="127"/>
      <c r="N529" s="127"/>
      <c r="O529" s="127"/>
      <c r="P529" s="127"/>
      <c r="Q529" s="127"/>
      <c r="R529" s="127"/>
      <c r="S529" s="127"/>
      <c r="T529" s="127"/>
      <c r="U529" s="125"/>
      <c r="V529" s="125"/>
      <c r="W529" s="125"/>
      <c r="X529" s="125"/>
      <c r="Y529" s="144"/>
      <c r="Z529" s="125"/>
      <c r="AA529" s="1"/>
      <c r="AB529" s="1"/>
      <c r="AC529" s="1"/>
      <c r="AD529" s="1"/>
      <c r="AE529" s="1"/>
      <c r="AF529" s="1"/>
      <c r="AG529" s="1"/>
      <c r="AH529" s="1"/>
      <c r="AI529" s="1"/>
      <c r="AJ529" s="1"/>
      <c r="AK529" s="1"/>
      <c r="AL529" s="1"/>
      <c r="AM529" s="1"/>
      <c r="AN529" s="1"/>
    </row>
    <row r="530" spans="1:40">
      <c r="A530" s="127"/>
      <c r="B530" s="127"/>
      <c r="C530" s="127"/>
      <c r="D530" s="127"/>
      <c r="E530" s="127"/>
      <c r="F530" s="127"/>
      <c r="G530" s="127"/>
      <c r="H530" s="127"/>
      <c r="I530" s="127"/>
      <c r="J530" s="127"/>
      <c r="K530" s="127"/>
      <c r="L530" s="127"/>
      <c r="M530" s="127"/>
      <c r="N530" s="127"/>
      <c r="O530" s="127"/>
      <c r="P530" s="127"/>
      <c r="Q530" s="127"/>
      <c r="R530" s="127"/>
      <c r="S530" s="127"/>
      <c r="T530" s="127"/>
    </row>
    <row r="531" spans="1:40">
      <c r="A531" s="127"/>
      <c r="B531" s="127"/>
      <c r="C531" s="127"/>
      <c r="D531" s="127"/>
      <c r="E531" s="127"/>
      <c r="F531" s="127"/>
      <c r="G531" s="127"/>
      <c r="H531" s="127"/>
      <c r="I531" s="127"/>
      <c r="J531" s="127"/>
      <c r="K531" s="127"/>
      <c r="L531" s="127"/>
      <c r="M531" s="127"/>
      <c r="N531" s="127"/>
      <c r="O531" s="127"/>
      <c r="P531" s="127"/>
      <c r="Q531" s="127"/>
      <c r="R531" s="127"/>
      <c r="S531" s="127"/>
      <c r="T531" s="127"/>
    </row>
    <row r="532" spans="1:40">
      <c r="A532" s="127"/>
      <c r="B532" s="127"/>
      <c r="C532" s="127"/>
      <c r="D532" s="127"/>
      <c r="E532" s="127"/>
      <c r="F532" s="127"/>
      <c r="G532" s="127"/>
      <c r="H532" s="127"/>
      <c r="I532" s="127"/>
      <c r="J532" s="127"/>
      <c r="K532" s="127"/>
      <c r="L532" s="127"/>
      <c r="M532" s="127"/>
      <c r="N532" s="127"/>
      <c r="O532" s="127"/>
      <c r="P532" s="127"/>
      <c r="Q532" s="127"/>
      <c r="R532" s="127"/>
      <c r="S532" s="127"/>
      <c r="T532" s="127"/>
    </row>
    <row r="533" spans="1:40">
      <c r="A533" s="127"/>
      <c r="B533" s="127"/>
      <c r="C533" s="127"/>
      <c r="D533" s="127"/>
      <c r="E533" s="127"/>
      <c r="F533" s="127"/>
      <c r="G533" s="127"/>
      <c r="H533" s="127"/>
      <c r="I533" s="127"/>
      <c r="J533" s="127"/>
      <c r="K533" s="127"/>
      <c r="L533" s="127"/>
      <c r="M533" s="127"/>
      <c r="N533" s="127"/>
      <c r="O533" s="127"/>
      <c r="P533" s="127"/>
      <c r="Q533" s="127"/>
      <c r="R533" s="127"/>
      <c r="S533" s="127"/>
      <c r="T533" s="127"/>
    </row>
    <row r="534" spans="1:40">
      <c r="A534" s="127"/>
      <c r="B534" s="127"/>
      <c r="C534" s="127"/>
      <c r="D534" s="127"/>
      <c r="E534" s="127"/>
      <c r="F534" s="127"/>
      <c r="G534" s="127"/>
      <c r="H534" s="127"/>
      <c r="I534" s="127"/>
      <c r="J534" s="127"/>
      <c r="K534" s="127"/>
      <c r="L534" s="127"/>
      <c r="M534" s="127"/>
      <c r="N534" s="127"/>
      <c r="O534" s="127"/>
      <c r="P534" s="127"/>
      <c r="Q534" s="127"/>
      <c r="R534" s="127"/>
      <c r="S534" s="127"/>
      <c r="T534" s="127"/>
    </row>
    <row r="535" spans="1:40">
      <c r="A535" s="127"/>
      <c r="B535" s="127"/>
      <c r="C535" s="127"/>
      <c r="D535" s="127"/>
      <c r="E535" s="127"/>
      <c r="F535" s="127"/>
      <c r="G535" s="127"/>
      <c r="H535" s="127"/>
      <c r="I535" s="127"/>
      <c r="J535" s="127"/>
      <c r="K535" s="127"/>
      <c r="L535" s="127"/>
      <c r="M535" s="127"/>
      <c r="N535" s="127"/>
      <c r="O535" s="127"/>
      <c r="P535" s="127"/>
      <c r="Q535" s="127"/>
      <c r="R535" s="127"/>
      <c r="S535" s="127"/>
      <c r="T535" s="127"/>
    </row>
    <row r="536" spans="1:40">
      <c r="A536" s="127"/>
      <c r="B536" s="127"/>
      <c r="C536" s="127"/>
      <c r="D536" s="127"/>
      <c r="E536" s="127"/>
      <c r="F536" s="127"/>
      <c r="G536" s="127"/>
      <c r="H536" s="127"/>
      <c r="I536" s="127"/>
      <c r="J536" s="127"/>
      <c r="K536" s="127"/>
      <c r="L536" s="127"/>
      <c r="M536" s="127"/>
      <c r="N536" s="127"/>
      <c r="O536" s="127"/>
      <c r="P536" s="127"/>
      <c r="Q536" s="127"/>
      <c r="R536" s="127"/>
      <c r="S536" s="127"/>
      <c r="T536" s="127"/>
    </row>
    <row r="537" spans="1:40">
      <c r="A537" s="127"/>
      <c r="B537" s="127"/>
      <c r="C537" s="127"/>
      <c r="D537" s="127"/>
      <c r="E537" s="127"/>
      <c r="F537" s="127"/>
      <c r="G537" s="127"/>
      <c r="H537" s="127"/>
      <c r="I537" s="127"/>
      <c r="J537" s="127"/>
      <c r="K537" s="127"/>
      <c r="L537" s="127"/>
      <c r="M537" s="127"/>
      <c r="N537" s="127"/>
      <c r="O537" s="127"/>
      <c r="P537" s="127"/>
      <c r="Q537" s="127"/>
      <c r="R537" s="127"/>
      <c r="S537" s="127"/>
      <c r="T537" s="127"/>
    </row>
    <row r="538" spans="1:40">
      <c r="A538" s="127"/>
      <c r="B538" s="127"/>
      <c r="C538" s="127"/>
      <c r="D538" s="127"/>
      <c r="E538" s="127"/>
      <c r="F538" s="127"/>
      <c r="G538" s="127"/>
      <c r="H538" s="127"/>
      <c r="I538" s="127"/>
      <c r="J538" s="127"/>
      <c r="K538" s="127"/>
      <c r="L538" s="127"/>
      <c r="M538" s="127"/>
      <c r="N538" s="127"/>
      <c r="O538" s="127"/>
      <c r="P538" s="127"/>
      <c r="Q538" s="127"/>
      <c r="R538" s="127"/>
      <c r="S538" s="127"/>
      <c r="T538" s="127"/>
    </row>
    <row r="539" spans="1:40">
      <c r="A539" s="127"/>
      <c r="B539" s="127"/>
      <c r="C539" s="127"/>
      <c r="D539" s="127"/>
      <c r="E539" s="127"/>
      <c r="F539" s="127"/>
      <c r="G539" s="127"/>
      <c r="H539" s="127"/>
      <c r="I539" s="127"/>
      <c r="J539" s="127"/>
      <c r="K539" s="127"/>
      <c r="L539" s="127"/>
      <c r="M539" s="127"/>
      <c r="N539" s="127"/>
      <c r="O539" s="127"/>
      <c r="P539" s="127"/>
      <c r="Q539" s="127"/>
      <c r="R539" s="127"/>
      <c r="S539" s="127"/>
      <c r="T539" s="127"/>
    </row>
    <row r="540" spans="1:40">
      <c r="A540" s="127"/>
      <c r="B540" s="127"/>
      <c r="C540" s="127"/>
      <c r="D540" s="127"/>
      <c r="E540" s="127"/>
      <c r="F540" s="127"/>
      <c r="G540" s="127"/>
      <c r="H540" s="127"/>
      <c r="I540" s="127"/>
      <c r="J540" s="127"/>
      <c r="K540" s="127"/>
      <c r="L540" s="127"/>
      <c r="M540" s="127"/>
      <c r="N540" s="127"/>
      <c r="O540" s="127"/>
      <c r="P540" s="127"/>
      <c r="Q540" s="127"/>
      <c r="R540" s="127"/>
      <c r="S540" s="127"/>
      <c r="T540" s="127"/>
    </row>
    <row r="541" spans="1:40">
      <c r="A541" s="127"/>
      <c r="B541" s="127"/>
      <c r="C541" s="127"/>
      <c r="D541" s="127"/>
      <c r="E541" s="127"/>
      <c r="F541" s="127"/>
      <c r="G541" s="127"/>
      <c r="H541" s="127"/>
      <c r="I541" s="127"/>
      <c r="J541" s="127"/>
      <c r="K541" s="127"/>
      <c r="L541" s="127"/>
      <c r="M541" s="127"/>
      <c r="N541" s="127"/>
      <c r="O541" s="127"/>
      <c r="P541" s="127"/>
      <c r="Q541" s="127"/>
      <c r="R541" s="127"/>
      <c r="S541" s="127"/>
      <c r="T541" s="127"/>
    </row>
    <row r="542" spans="1:40">
      <c r="A542" s="127"/>
      <c r="B542" s="127"/>
      <c r="C542" s="127"/>
      <c r="D542" s="127"/>
      <c r="E542" s="127"/>
      <c r="F542" s="127"/>
      <c r="G542" s="127"/>
      <c r="H542" s="127"/>
      <c r="I542" s="127"/>
      <c r="J542" s="127"/>
      <c r="K542" s="127"/>
      <c r="L542" s="127"/>
      <c r="M542" s="127"/>
      <c r="N542" s="127"/>
      <c r="O542" s="127"/>
      <c r="P542" s="127"/>
      <c r="Q542" s="127"/>
      <c r="R542" s="127"/>
      <c r="S542" s="127"/>
      <c r="T542" s="127"/>
    </row>
    <row r="543" spans="1:40">
      <c r="A543" s="127"/>
      <c r="B543" s="127"/>
      <c r="C543" s="127"/>
      <c r="D543" s="127"/>
      <c r="E543" s="127"/>
      <c r="F543" s="127"/>
      <c r="G543" s="127"/>
      <c r="H543" s="127"/>
      <c r="I543" s="127"/>
      <c r="J543" s="127"/>
      <c r="K543" s="127"/>
      <c r="L543" s="127"/>
      <c r="M543" s="127"/>
      <c r="N543" s="127"/>
      <c r="O543" s="127"/>
      <c r="P543" s="127"/>
      <c r="Q543" s="127"/>
      <c r="R543" s="127"/>
      <c r="S543" s="127"/>
      <c r="T543" s="127"/>
    </row>
    <row r="544" spans="1:40">
      <c r="A544" s="127"/>
      <c r="B544" s="127"/>
      <c r="C544" s="127"/>
      <c r="D544" s="127"/>
      <c r="E544" s="127"/>
      <c r="F544" s="127"/>
      <c r="G544" s="127"/>
      <c r="H544" s="127"/>
      <c r="I544" s="127"/>
      <c r="J544" s="127"/>
      <c r="K544" s="127"/>
      <c r="L544" s="127"/>
      <c r="M544" s="127"/>
      <c r="N544" s="127"/>
      <c r="O544" s="127"/>
      <c r="P544" s="127"/>
      <c r="Q544" s="127"/>
      <c r="R544" s="127"/>
      <c r="S544" s="127"/>
      <c r="T544" s="127"/>
    </row>
    <row r="545" spans="1:20">
      <c r="A545" s="127"/>
      <c r="B545" s="127"/>
      <c r="C545" s="127"/>
      <c r="D545" s="127"/>
      <c r="E545" s="127"/>
      <c r="F545" s="127"/>
      <c r="G545" s="127"/>
      <c r="H545" s="127"/>
      <c r="I545" s="127"/>
      <c r="J545" s="127"/>
      <c r="K545" s="127"/>
      <c r="L545" s="127"/>
      <c r="M545" s="127"/>
      <c r="N545" s="127"/>
      <c r="O545" s="127"/>
      <c r="P545" s="127"/>
      <c r="Q545" s="127"/>
      <c r="R545" s="127"/>
      <c r="S545" s="127"/>
      <c r="T545" s="127"/>
    </row>
    <row r="546" spans="1:20">
      <c r="A546" s="127"/>
      <c r="B546" s="127"/>
      <c r="C546" s="127"/>
      <c r="D546" s="127"/>
      <c r="E546" s="127"/>
      <c r="F546" s="127"/>
      <c r="G546" s="127"/>
      <c r="H546" s="127"/>
      <c r="I546" s="127"/>
      <c r="J546" s="127"/>
      <c r="K546" s="127"/>
      <c r="L546" s="127"/>
      <c r="M546" s="127"/>
      <c r="N546" s="127"/>
      <c r="O546" s="127"/>
      <c r="P546" s="127"/>
      <c r="Q546" s="127"/>
      <c r="R546" s="127"/>
      <c r="S546" s="127"/>
      <c r="T546" s="127"/>
    </row>
    <row r="547" spans="1:20">
      <c r="A547" s="127"/>
      <c r="B547" s="127"/>
      <c r="C547" s="127"/>
      <c r="D547" s="127"/>
      <c r="E547" s="127"/>
      <c r="F547" s="127"/>
      <c r="G547" s="127"/>
      <c r="H547" s="127"/>
      <c r="I547" s="127"/>
      <c r="J547" s="127"/>
      <c r="K547" s="127"/>
      <c r="L547" s="127"/>
      <c r="M547" s="127"/>
      <c r="N547" s="127"/>
      <c r="O547" s="127"/>
      <c r="P547" s="127"/>
      <c r="Q547" s="127"/>
      <c r="R547" s="127"/>
      <c r="S547" s="127"/>
      <c r="T547" s="127"/>
    </row>
    <row r="548" spans="1:20">
      <c r="A548" s="127"/>
      <c r="B548" s="127"/>
      <c r="C548" s="127"/>
      <c r="D548" s="127"/>
      <c r="E548" s="127"/>
      <c r="F548" s="127"/>
      <c r="G548" s="127"/>
      <c r="H548" s="127"/>
      <c r="I548" s="127"/>
      <c r="J548" s="127"/>
      <c r="K548" s="127"/>
      <c r="L548" s="127"/>
      <c r="M548" s="127"/>
      <c r="N548" s="127"/>
      <c r="O548" s="127"/>
      <c r="P548" s="127"/>
      <c r="Q548" s="127"/>
      <c r="R548" s="127"/>
      <c r="S548" s="127"/>
      <c r="T548" s="127"/>
    </row>
    <row r="549" spans="1:20">
      <c r="A549" s="127"/>
      <c r="B549" s="127"/>
      <c r="C549" s="127"/>
      <c r="D549" s="127"/>
      <c r="E549" s="127"/>
      <c r="F549" s="127"/>
      <c r="G549" s="127"/>
      <c r="H549" s="127"/>
      <c r="I549" s="127"/>
      <c r="J549" s="127"/>
      <c r="K549" s="127"/>
      <c r="L549" s="127"/>
      <c r="M549" s="127"/>
      <c r="N549" s="127"/>
      <c r="O549" s="127"/>
      <c r="P549" s="127"/>
      <c r="Q549" s="127"/>
      <c r="R549" s="127"/>
      <c r="S549" s="127"/>
      <c r="T549" s="127"/>
    </row>
    <row r="550" spans="1:20">
      <c r="A550" s="127"/>
      <c r="B550" s="127"/>
      <c r="C550" s="127"/>
      <c r="D550" s="127"/>
      <c r="E550" s="127"/>
      <c r="F550" s="127"/>
      <c r="G550" s="127"/>
      <c r="H550" s="127"/>
      <c r="I550" s="127"/>
      <c r="J550" s="127"/>
      <c r="K550" s="127"/>
      <c r="L550" s="127"/>
      <c r="M550" s="127"/>
      <c r="N550" s="127"/>
      <c r="O550" s="127"/>
      <c r="P550" s="127"/>
      <c r="Q550" s="127"/>
      <c r="R550" s="127"/>
      <c r="S550" s="127"/>
      <c r="T550" s="127"/>
    </row>
    <row r="551" spans="1:20">
      <c r="A551" s="127"/>
      <c r="B551" s="127"/>
      <c r="C551" s="127"/>
      <c r="D551" s="127"/>
      <c r="E551" s="127"/>
      <c r="F551" s="127"/>
      <c r="G551" s="127"/>
      <c r="H551" s="127"/>
      <c r="I551" s="127"/>
      <c r="J551" s="127"/>
      <c r="K551" s="127"/>
      <c r="L551" s="127"/>
      <c r="M551" s="127"/>
      <c r="N551" s="127"/>
      <c r="O551" s="127"/>
      <c r="P551" s="127"/>
      <c r="Q551" s="127"/>
      <c r="R551" s="127"/>
      <c r="S551" s="127"/>
      <c r="T551" s="127"/>
    </row>
    <row r="552" spans="1:20">
      <c r="A552" s="127"/>
      <c r="B552" s="127"/>
      <c r="C552" s="127"/>
      <c r="D552" s="127"/>
      <c r="E552" s="127"/>
      <c r="F552" s="127"/>
      <c r="G552" s="127"/>
      <c r="H552" s="127"/>
      <c r="I552" s="127"/>
      <c r="J552" s="127"/>
      <c r="K552" s="127"/>
      <c r="L552" s="127"/>
      <c r="M552" s="127"/>
      <c r="N552" s="127"/>
      <c r="O552" s="127"/>
      <c r="P552" s="127"/>
      <c r="Q552" s="127"/>
      <c r="R552" s="127"/>
      <c r="S552" s="127"/>
      <c r="T552" s="127"/>
    </row>
    <row r="553" spans="1:20">
      <c r="A553" s="127"/>
      <c r="B553" s="127"/>
      <c r="C553" s="127"/>
      <c r="D553" s="127"/>
      <c r="E553" s="127"/>
      <c r="F553" s="127"/>
      <c r="G553" s="127"/>
      <c r="H553" s="127"/>
      <c r="I553" s="127"/>
      <c r="J553" s="127"/>
      <c r="K553" s="127"/>
      <c r="L553" s="127"/>
      <c r="M553" s="127"/>
      <c r="N553" s="127"/>
      <c r="O553" s="127"/>
      <c r="P553" s="127"/>
      <c r="Q553" s="127"/>
      <c r="R553" s="127"/>
      <c r="S553" s="127"/>
      <c r="T553" s="127"/>
    </row>
    <row r="554" spans="1:20">
      <c r="A554" s="127"/>
      <c r="B554" s="127"/>
      <c r="C554" s="127"/>
      <c r="D554" s="127"/>
      <c r="E554" s="127"/>
      <c r="F554" s="127"/>
      <c r="G554" s="127"/>
      <c r="H554" s="127"/>
      <c r="I554" s="127"/>
      <c r="J554" s="127"/>
      <c r="K554" s="127"/>
      <c r="L554" s="127"/>
      <c r="M554" s="127"/>
      <c r="N554" s="127"/>
      <c r="O554" s="127"/>
      <c r="P554" s="127"/>
      <c r="Q554" s="127"/>
      <c r="R554" s="127"/>
      <c r="S554" s="127"/>
      <c r="T554" s="127"/>
    </row>
    <row r="555" spans="1:20">
      <c r="A555" s="127"/>
      <c r="B555" s="127"/>
      <c r="C555" s="127"/>
      <c r="D555" s="127"/>
      <c r="E555" s="127"/>
      <c r="F555" s="127"/>
      <c r="G555" s="127"/>
      <c r="H555" s="127"/>
      <c r="I555" s="127"/>
      <c r="J555" s="127"/>
      <c r="K555" s="127"/>
      <c r="L555" s="127"/>
      <c r="M555" s="127"/>
      <c r="N555" s="127"/>
      <c r="O555" s="127"/>
      <c r="P555" s="127"/>
      <c r="Q555" s="127"/>
      <c r="R555" s="127"/>
      <c r="S555" s="127"/>
      <c r="T555" s="127"/>
    </row>
    <row r="556" spans="1:20">
      <c r="A556" s="127"/>
      <c r="B556" s="127"/>
      <c r="C556" s="127"/>
      <c r="D556" s="127"/>
      <c r="E556" s="127"/>
      <c r="F556" s="127"/>
      <c r="G556" s="127"/>
      <c r="H556" s="127"/>
      <c r="I556" s="127"/>
      <c r="J556" s="127"/>
      <c r="K556" s="127"/>
      <c r="L556" s="127"/>
      <c r="M556" s="127"/>
      <c r="N556" s="127"/>
      <c r="O556" s="127"/>
      <c r="P556" s="127"/>
      <c r="Q556" s="127"/>
      <c r="R556" s="127"/>
      <c r="S556" s="127"/>
      <c r="T556" s="127"/>
    </row>
    <row r="557" spans="1:20">
      <c r="A557" s="127"/>
      <c r="B557" s="127"/>
      <c r="C557" s="127"/>
      <c r="D557" s="127"/>
      <c r="E557" s="127"/>
      <c r="F557" s="127"/>
      <c r="G557" s="127"/>
      <c r="H557" s="127"/>
      <c r="I557" s="127"/>
      <c r="J557" s="127"/>
      <c r="K557" s="127"/>
      <c r="L557" s="127"/>
      <c r="M557" s="127"/>
      <c r="N557" s="127"/>
      <c r="O557" s="127"/>
      <c r="P557" s="127"/>
      <c r="Q557" s="127"/>
      <c r="R557" s="127"/>
      <c r="S557" s="127"/>
      <c r="T557" s="127"/>
    </row>
    <row r="558" spans="1:20">
      <c r="A558" s="127"/>
      <c r="B558" s="127"/>
      <c r="C558" s="127"/>
      <c r="D558" s="127"/>
      <c r="E558" s="127"/>
      <c r="F558" s="127"/>
      <c r="G558" s="127"/>
      <c r="H558" s="127"/>
      <c r="I558" s="127"/>
      <c r="J558" s="127"/>
      <c r="K558" s="127"/>
      <c r="L558" s="127"/>
      <c r="M558" s="127"/>
      <c r="N558" s="127"/>
      <c r="O558" s="127"/>
      <c r="P558" s="127"/>
      <c r="Q558" s="127"/>
      <c r="R558" s="127"/>
      <c r="S558" s="127"/>
      <c r="T558" s="127"/>
    </row>
    <row r="559" spans="1:20">
      <c r="A559" s="127"/>
      <c r="B559" s="127"/>
      <c r="C559" s="127"/>
      <c r="D559" s="127"/>
      <c r="E559" s="127"/>
      <c r="F559" s="127"/>
      <c r="G559" s="127"/>
      <c r="H559" s="127"/>
      <c r="I559" s="127"/>
      <c r="J559" s="127"/>
      <c r="K559" s="127"/>
      <c r="L559" s="127"/>
      <c r="M559" s="127"/>
      <c r="N559" s="127"/>
      <c r="O559" s="127"/>
      <c r="P559" s="127"/>
      <c r="Q559" s="127"/>
      <c r="R559" s="127"/>
      <c r="S559" s="127"/>
      <c r="T559" s="127"/>
    </row>
    <row r="560" spans="1:20">
      <c r="A560" s="127"/>
      <c r="B560" s="127"/>
      <c r="C560" s="127"/>
      <c r="D560" s="127"/>
      <c r="E560" s="127"/>
      <c r="F560" s="127"/>
      <c r="G560" s="127"/>
      <c r="H560" s="127"/>
      <c r="I560" s="127"/>
      <c r="J560" s="127"/>
      <c r="K560" s="127"/>
      <c r="L560" s="127"/>
      <c r="M560" s="127"/>
      <c r="N560" s="127"/>
      <c r="O560" s="127"/>
      <c r="P560" s="127"/>
      <c r="Q560" s="127"/>
      <c r="R560" s="127"/>
      <c r="S560" s="127"/>
      <c r="T560" s="127"/>
    </row>
    <row r="561" spans="1:20">
      <c r="A561" s="127"/>
      <c r="B561" s="127"/>
      <c r="C561" s="127"/>
      <c r="D561" s="127"/>
      <c r="E561" s="127"/>
      <c r="F561" s="127"/>
      <c r="G561" s="127"/>
      <c r="H561" s="127"/>
      <c r="I561" s="127"/>
      <c r="J561" s="127"/>
      <c r="K561" s="127"/>
      <c r="L561" s="127"/>
      <c r="M561" s="127"/>
      <c r="N561" s="127"/>
      <c r="O561" s="127"/>
      <c r="P561" s="127"/>
      <c r="Q561" s="127"/>
      <c r="R561" s="127"/>
      <c r="S561" s="127"/>
      <c r="T561" s="127"/>
    </row>
    <row r="562" spans="1:20">
      <c r="A562" s="127"/>
      <c r="B562" s="127"/>
      <c r="C562" s="127"/>
      <c r="D562" s="127"/>
      <c r="E562" s="127"/>
      <c r="F562" s="127"/>
      <c r="G562" s="127"/>
      <c r="H562" s="127"/>
      <c r="I562" s="127"/>
      <c r="J562" s="127"/>
      <c r="K562" s="127"/>
      <c r="L562" s="127"/>
      <c r="M562" s="127"/>
      <c r="N562" s="127"/>
      <c r="O562" s="127"/>
      <c r="P562" s="127"/>
      <c r="Q562" s="127"/>
      <c r="R562" s="127"/>
      <c r="S562" s="127"/>
      <c r="T562" s="127"/>
    </row>
    <row r="563" spans="1:20">
      <c r="A563" s="127"/>
      <c r="B563" s="127"/>
      <c r="C563" s="127"/>
      <c r="D563" s="127"/>
      <c r="E563" s="127"/>
      <c r="F563" s="127"/>
      <c r="G563" s="127"/>
      <c r="H563" s="127"/>
      <c r="I563" s="127"/>
      <c r="J563" s="127"/>
      <c r="K563" s="127"/>
      <c r="L563" s="127"/>
      <c r="M563" s="127"/>
      <c r="N563" s="127"/>
      <c r="O563" s="127"/>
      <c r="P563" s="127"/>
      <c r="Q563" s="127"/>
      <c r="R563" s="127"/>
      <c r="S563" s="127"/>
      <c r="T563" s="127"/>
    </row>
    <row r="564" spans="1:20">
      <c r="A564" s="127"/>
      <c r="B564" s="127"/>
      <c r="C564" s="127"/>
      <c r="D564" s="127"/>
      <c r="E564" s="127"/>
      <c r="F564" s="127"/>
      <c r="G564" s="127"/>
      <c r="H564" s="127"/>
      <c r="I564" s="127"/>
      <c r="J564" s="127"/>
      <c r="K564" s="127"/>
      <c r="L564" s="127"/>
      <c r="M564" s="127"/>
      <c r="N564" s="127"/>
      <c r="O564" s="127"/>
      <c r="P564" s="127"/>
      <c r="Q564" s="127"/>
      <c r="R564" s="127"/>
      <c r="S564" s="127"/>
      <c r="T564" s="127"/>
    </row>
    <row r="565" spans="1:20">
      <c r="A565" s="127"/>
      <c r="B565" s="127"/>
      <c r="C565" s="127"/>
      <c r="D565" s="127"/>
      <c r="E565" s="127"/>
      <c r="F565" s="127"/>
      <c r="G565" s="127"/>
      <c r="H565" s="127"/>
      <c r="I565" s="127"/>
      <c r="J565" s="127"/>
      <c r="K565" s="127"/>
      <c r="L565" s="127"/>
      <c r="M565" s="127"/>
      <c r="N565" s="127"/>
      <c r="O565" s="127"/>
      <c r="P565" s="127"/>
      <c r="Q565" s="127"/>
      <c r="R565" s="127"/>
      <c r="S565" s="127"/>
      <c r="T565" s="127"/>
    </row>
    <row r="566" spans="1:20">
      <c r="A566" s="127"/>
      <c r="B566" s="127"/>
      <c r="C566" s="127"/>
      <c r="D566" s="127"/>
      <c r="E566" s="127"/>
      <c r="F566" s="127"/>
      <c r="G566" s="127"/>
      <c r="H566" s="127"/>
      <c r="I566" s="127"/>
      <c r="J566" s="127"/>
      <c r="K566" s="127"/>
      <c r="L566" s="127"/>
      <c r="M566" s="127"/>
      <c r="N566" s="127"/>
      <c r="O566" s="127"/>
      <c r="P566" s="127"/>
      <c r="Q566" s="127"/>
      <c r="R566" s="127"/>
      <c r="S566" s="127"/>
      <c r="T566" s="127"/>
    </row>
    <row r="567" spans="1:20">
      <c r="A567" s="127"/>
      <c r="B567" s="127"/>
      <c r="C567" s="127"/>
      <c r="D567" s="127"/>
      <c r="E567" s="127"/>
      <c r="F567" s="127"/>
      <c r="G567" s="127"/>
      <c r="H567" s="127"/>
      <c r="I567" s="127"/>
      <c r="J567" s="127"/>
      <c r="K567" s="127"/>
      <c r="L567" s="127"/>
      <c r="M567" s="127"/>
      <c r="N567" s="127"/>
      <c r="O567" s="127"/>
      <c r="P567" s="127"/>
      <c r="Q567" s="127"/>
      <c r="R567" s="127"/>
      <c r="S567" s="127"/>
      <c r="T567" s="127"/>
    </row>
    <row r="568" spans="1:20">
      <c r="A568" s="127"/>
      <c r="B568" s="127"/>
      <c r="C568" s="127"/>
      <c r="D568" s="127"/>
      <c r="E568" s="127"/>
      <c r="F568" s="127"/>
      <c r="G568" s="127"/>
      <c r="H568" s="127"/>
      <c r="I568" s="127"/>
      <c r="J568" s="127"/>
      <c r="K568" s="127"/>
      <c r="L568" s="127"/>
      <c r="M568" s="127"/>
      <c r="N568" s="127"/>
      <c r="O568" s="127"/>
      <c r="P568" s="127"/>
      <c r="Q568" s="127"/>
      <c r="R568" s="127"/>
      <c r="S568" s="127"/>
      <c r="T568" s="127"/>
    </row>
    <row r="569" spans="1:20">
      <c r="A569" s="127"/>
      <c r="B569" s="127"/>
      <c r="C569" s="127"/>
      <c r="D569" s="127"/>
      <c r="E569" s="127"/>
      <c r="F569" s="127"/>
      <c r="G569" s="127"/>
      <c r="H569" s="127"/>
      <c r="I569" s="127"/>
      <c r="J569" s="127"/>
      <c r="K569" s="127"/>
      <c r="L569" s="127"/>
      <c r="M569" s="127"/>
      <c r="N569" s="127"/>
      <c r="O569" s="127"/>
      <c r="P569" s="127"/>
      <c r="Q569" s="127"/>
      <c r="R569" s="127"/>
      <c r="S569" s="127"/>
      <c r="T569" s="127"/>
    </row>
    <row r="570" spans="1:20">
      <c r="A570" s="127"/>
      <c r="B570" s="127"/>
      <c r="C570" s="127"/>
      <c r="D570" s="127"/>
      <c r="E570" s="127"/>
      <c r="F570" s="127"/>
      <c r="G570" s="127"/>
      <c r="H570" s="127"/>
      <c r="I570" s="127"/>
      <c r="J570" s="127"/>
      <c r="K570" s="127"/>
      <c r="L570" s="127"/>
      <c r="M570" s="127"/>
      <c r="N570" s="127"/>
      <c r="O570" s="127"/>
      <c r="P570" s="127"/>
      <c r="Q570" s="127"/>
      <c r="R570" s="127"/>
      <c r="S570" s="127"/>
      <c r="T570" s="127"/>
    </row>
    <row r="571" spans="1:20">
      <c r="A571" s="127"/>
      <c r="B571" s="127"/>
      <c r="C571" s="127"/>
      <c r="D571" s="127"/>
      <c r="E571" s="127"/>
      <c r="F571" s="127"/>
      <c r="G571" s="127"/>
      <c r="H571" s="127"/>
      <c r="I571" s="127"/>
      <c r="J571" s="127"/>
      <c r="K571" s="127"/>
      <c r="L571" s="127"/>
      <c r="M571" s="127"/>
      <c r="N571" s="127"/>
      <c r="O571" s="127"/>
      <c r="P571" s="127"/>
      <c r="Q571" s="127"/>
      <c r="R571" s="127"/>
      <c r="S571" s="127"/>
      <c r="T571" s="127"/>
    </row>
    <row r="572" spans="1:20">
      <c r="A572" s="127"/>
      <c r="B572" s="127"/>
      <c r="C572" s="127"/>
      <c r="D572" s="127"/>
      <c r="E572" s="127"/>
      <c r="F572" s="127"/>
      <c r="G572" s="127"/>
      <c r="H572" s="127"/>
      <c r="I572" s="127"/>
      <c r="J572" s="127"/>
      <c r="K572" s="127"/>
      <c r="L572" s="127"/>
      <c r="M572" s="127"/>
      <c r="N572" s="127"/>
      <c r="O572" s="127"/>
      <c r="P572" s="127"/>
      <c r="Q572" s="127"/>
      <c r="R572" s="127"/>
      <c r="S572" s="127"/>
      <c r="T572" s="127"/>
    </row>
    <row r="573" spans="1:20">
      <c r="A573" s="127"/>
      <c r="B573" s="127"/>
      <c r="C573" s="127"/>
      <c r="D573" s="127"/>
      <c r="E573" s="127"/>
      <c r="F573" s="127"/>
      <c r="G573" s="127"/>
      <c r="H573" s="127"/>
      <c r="I573" s="127"/>
      <c r="J573" s="127"/>
      <c r="K573" s="127"/>
      <c r="L573" s="127"/>
      <c r="M573" s="127"/>
      <c r="N573" s="127"/>
      <c r="O573" s="127"/>
      <c r="P573" s="127"/>
      <c r="Q573" s="127"/>
      <c r="R573" s="127"/>
      <c r="S573" s="127"/>
      <c r="T573" s="127"/>
    </row>
    <row r="574" spans="1:20">
      <c r="A574" s="127"/>
      <c r="B574" s="127"/>
      <c r="C574" s="127"/>
      <c r="D574" s="127"/>
      <c r="E574" s="127"/>
      <c r="F574" s="127"/>
      <c r="G574" s="127"/>
      <c r="H574" s="127"/>
      <c r="I574" s="127"/>
      <c r="J574" s="127"/>
      <c r="K574" s="127"/>
      <c r="L574" s="127"/>
      <c r="M574" s="127"/>
      <c r="N574" s="127"/>
      <c r="O574" s="127"/>
      <c r="P574" s="127"/>
      <c r="Q574" s="127"/>
      <c r="R574" s="127"/>
      <c r="S574" s="127"/>
      <c r="T574" s="127"/>
    </row>
    <row r="575" spans="1:20">
      <c r="A575" s="127"/>
      <c r="B575" s="127"/>
      <c r="C575" s="127"/>
      <c r="D575" s="127"/>
      <c r="E575" s="127"/>
      <c r="F575" s="127"/>
      <c r="G575" s="127"/>
      <c r="H575" s="127"/>
      <c r="I575" s="127"/>
      <c r="J575" s="127"/>
      <c r="K575" s="127"/>
      <c r="L575" s="127"/>
      <c r="M575" s="127"/>
      <c r="N575" s="127"/>
      <c r="O575" s="127"/>
      <c r="P575" s="127"/>
      <c r="Q575" s="127"/>
      <c r="R575" s="127"/>
      <c r="S575" s="127"/>
      <c r="T575" s="127"/>
    </row>
    <row r="576" spans="1:20">
      <c r="A576" s="127"/>
      <c r="B576" s="127"/>
      <c r="C576" s="127"/>
      <c r="D576" s="127"/>
      <c r="E576" s="127"/>
      <c r="F576" s="127"/>
      <c r="G576" s="127"/>
      <c r="H576" s="127"/>
      <c r="I576" s="127"/>
      <c r="J576" s="127"/>
      <c r="K576" s="127"/>
      <c r="L576" s="127"/>
      <c r="M576" s="127"/>
      <c r="N576" s="127"/>
      <c r="O576" s="127"/>
      <c r="P576" s="127"/>
      <c r="Q576" s="127"/>
      <c r="R576" s="127"/>
      <c r="S576" s="127"/>
      <c r="T576" s="127"/>
    </row>
    <row r="577" spans="1:20">
      <c r="A577" s="127"/>
      <c r="B577" s="127"/>
      <c r="C577" s="127"/>
      <c r="D577" s="127"/>
      <c r="E577" s="127"/>
      <c r="F577" s="127"/>
      <c r="G577" s="127"/>
      <c r="H577" s="127"/>
      <c r="I577" s="127"/>
      <c r="J577" s="127"/>
      <c r="K577" s="127"/>
      <c r="L577" s="127"/>
      <c r="M577" s="127"/>
      <c r="N577" s="127"/>
      <c r="O577" s="127"/>
      <c r="P577" s="127"/>
      <c r="Q577" s="127"/>
      <c r="R577" s="127"/>
      <c r="S577" s="127"/>
      <c r="T577" s="127"/>
    </row>
    <row r="578" spans="1:20">
      <c r="A578" s="127"/>
      <c r="B578" s="127"/>
      <c r="C578" s="127"/>
      <c r="D578" s="127"/>
      <c r="E578" s="127"/>
      <c r="F578" s="127"/>
      <c r="G578" s="127"/>
      <c r="H578" s="127"/>
      <c r="I578" s="127"/>
      <c r="J578" s="127"/>
      <c r="K578" s="127"/>
      <c r="L578" s="127"/>
      <c r="M578" s="127"/>
      <c r="N578" s="127"/>
      <c r="O578" s="127"/>
      <c r="P578" s="127"/>
      <c r="Q578" s="127"/>
      <c r="R578" s="127"/>
      <c r="S578" s="127"/>
      <c r="T578" s="127"/>
    </row>
    <row r="579" spans="1:20">
      <c r="A579" s="127"/>
      <c r="B579" s="127"/>
      <c r="C579" s="127"/>
      <c r="D579" s="127"/>
      <c r="E579" s="127"/>
      <c r="F579" s="127"/>
      <c r="G579" s="127"/>
      <c r="H579" s="127"/>
      <c r="I579" s="127"/>
      <c r="J579" s="127"/>
      <c r="K579" s="127"/>
      <c r="L579" s="127"/>
      <c r="M579" s="127"/>
      <c r="N579" s="127"/>
      <c r="O579" s="127"/>
      <c r="P579" s="127"/>
      <c r="Q579" s="127"/>
      <c r="R579" s="127"/>
      <c r="S579" s="127"/>
      <c r="T579" s="127"/>
    </row>
    <row r="580" spans="1:20">
      <c r="A580" s="127"/>
      <c r="B580" s="127"/>
      <c r="C580" s="127"/>
      <c r="D580" s="127"/>
      <c r="E580" s="127"/>
      <c r="F580" s="127"/>
      <c r="G580" s="127"/>
      <c r="H580" s="127"/>
      <c r="I580" s="127"/>
      <c r="J580" s="127"/>
      <c r="K580" s="127"/>
      <c r="L580" s="127"/>
      <c r="M580" s="127"/>
      <c r="N580" s="127"/>
      <c r="O580" s="127"/>
      <c r="P580" s="127"/>
      <c r="Q580" s="127"/>
      <c r="R580" s="127"/>
      <c r="S580" s="127"/>
      <c r="T580" s="127"/>
    </row>
    <row r="581" spans="1:20">
      <c r="A581" s="127"/>
      <c r="B581" s="127"/>
      <c r="C581" s="127"/>
      <c r="D581" s="127"/>
      <c r="E581" s="127"/>
      <c r="F581" s="127"/>
      <c r="G581" s="127"/>
      <c r="H581" s="127"/>
      <c r="I581" s="127"/>
      <c r="J581" s="127"/>
      <c r="K581" s="127"/>
      <c r="L581" s="127"/>
      <c r="M581" s="127"/>
      <c r="N581" s="127"/>
      <c r="O581" s="127"/>
      <c r="P581" s="127"/>
      <c r="Q581" s="127"/>
      <c r="R581" s="127"/>
      <c r="S581" s="127"/>
      <c r="T581" s="127"/>
    </row>
    <row r="582" spans="1:20">
      <c r="A582" s="127"/>
      <c r="B582" s="127"/>
      <c r="C582" s="127"/>
      <c r="D582" s="127"/>
      <c r="E582" s="127"/>
      <c r="F582" s="127"/>
      <c r="G582" s="127"/>
      <c r="H582" s="127"/>
      <c r="I582" s="127"/>
      <c r="J582" s="127"/>
      <c r="K582" s="127"/>
      <c r="L582" s="127"/>
      <c r="M582" s="127"/>
      <c r="N582" s="127"/>
      <c r="O582" s="127"/>
      <c r="P582" s="127"/>
      <c r="Q582" s="127"/>
      <c r="R582" s="127"/>
      <c r="S582" s="127"/>
      <c r="T582" s="127"/>
    </row>
    <row r="583" spans="1:20">
      <c r="A583" s="127"/>
      <c r="B583" s="127"/>
      <c r="C583" s="127"/>
      <c r="D583" s="127"/>
      <c r="E583" s="127"/>
      <c r="F583" s="127"/>
      <c r="G583" s="127"/>
      <c r="H583" s="127"/>
      <c r="I583" s="127"/>
      <c r="J583" s="127"/>
      <c r="K583" s="127"/>
      <c r="L583" s="127"/>
      <c r="M583" s="127"/>
      <c r="N583" s="127"/>
      <c r="O583" s="127"/>
      <c r="P583" s="127"/>
      <c r="Q583" s="127"/>
      <c r="R583" s="127"/>
      <c r="S583" s="127"/>
      <c r="T583" s="127"/>
    </row>
    <row r="584" spans="1:20">
      <c r="A584" s="127"/>
      <c r="B584" s="127"/>
      <c r="C584" s="127"/>
      <c r="D584" s="127"/>
      <c r="E584" s="127"/>
      <c r="F584" s="127"/>
      <c r="G584" s="127"/>
      <c r="H584" s="127"/>
      <c r="I584" s="127"/>
      <c r="J584" s="127"/>
      <c r="K584" s="127"/>
      <c r="L584" s="127"/>
      <c r="M584" s="127"/>
      <c r="N584" s="127"/>
      <c r="O584" s="127"/>
      <c r="P584" s="127"/>
      <c r="Q584" s="127"/>
      <c r="R584" s="127"/>
      <c r="S584" s="127"/>
      <c r="T584" s="127"/>
    </row>
    <row r="585" spans="1:20">
      <c r="A585" s="127"/>
      <c r="B585" s="127"/>
      <c r="C585" s="127"/>
      <c r="D585" s="127"/>
      <c r="E585" s="127"/>
      <c r="F585" s="127"/>
      <c r="G585" s="127"/>
      <c r="H585" s="127"/>
      <c r="I585" s="127"/>
      <c r="J585" s="127"/>
      <c r="K585" s="127"/>
      <c r="L585" s="127"/>
      <c r="M585" s="127"/>
      <c r="N585" s="127"/>
      <c r="O585" s="127"/>
      <c r="P585" s="127"/>
      <c r="Q585" s="127"/>
      <c r="R585" s="127"/>
      <c r="S585" s="127"/>
      <c r="T585" s="127"/>
    </row>
    <row r="586" spans="1:20">
      <c r="A586" s="127"/>
      <c r="B586" s="127"/>
      <c r="C586" s="127"/>
      <c r="D586" s="127"/>
      <c r="E586" s="127"/>
      <c r="F586" s="127"/>
      <c r="G586" s="127"/>
      <c r="H586" s="127"/>
      <c r="I586" s="127"/>
      <c r="J586" s="127"/>
      <c r="K586" s="127"/>
      <c r="L586" s="127"/>
      <c r="M586" s="127"/>
      <c r="N586" s="127"/>
      <c r="O586" s="127"/>
      <c r="P586" s="127"/>
      <c r="Q586" s="127"/>
      <c r="R586" s="127"/>
      <c r="S586" s="127"/>
      <c r="T586" s="127"/>
    </row>
    <row r="587" spans="1:20">
      <c r="A587" s="127"/>
      <c r="B587" s="127"/>
      <c r="C587" s="127"/>
      <c r="D587" s="127"/>
      <c r="E587" s="127"/>
      <c r="F587" s="127"/>
      <c r="G587" s="127"/>
      <c r="H587" s="127"/>
      <c r="I587" s="127"/>
      <c r="J587" s="127"/>
      <c r="K587" s="127"/>
      <c r="L587" s="127"/>
      <c r="M587" s="127"/>
      <c r="N587" s="127"/>
      <c r="O587" s="127"/>
      <c r="P587" s="127"/>
      <c r="Q587" s="127"/>
      <c r="R587" s="127"/>
      <c r="S587" s="127"/>
      <c r="T587" s="127"/>
    </row>
    <row r="588" spans="1:20">
      <c r="A588" s="127"/>
      <c r="B588" s="127"/>
      <c r="C588" s="127"/>
      <c r="D588" s="127"/>
      <c r="E588" s="127"/>
      <c r="F588" s="127"/>
      <c r="G588" s="127"/>
      <c r="H588" s="127"/>
      <c r="I588" s="127"/>
      <c r="J588" s="127"/>
      <c r="K588" s="127"/>
      <c r="L588" s="127"/>
      <c r="M588" s="127"/>
      <c r="N588" s="127"/>
      <c r="O588" s="127"/>
      <c r="P588" s="127"/>
      <c r="Q588" s="127"/>
      <c r="R588" s="127"/>
      <c r="S588" s="127"/>
      <c r="T588" s="127"/>
    </row>
    <row r="589" spans="1:20">
      <c r="A589" s="127"/>
      <c r="B589" s="127"/>
      <c r="C589" s="127"/>
      <c r="D589" s="127"/>
      <c r="E589" s="127"/>
      <c r="F589" s="127"/>
      <c r="G589" s="127"/>
      <c r="H589" s="127"/>
      <c r="I589" s="127"/>
      <c r="J589" s="127"/>
      <c r="K589" s="127"/>
      <c r="L589" s="127"/>
      <c r="M589" s="127"/>
      <c r="N589" s="127"/>
      <c r="O589" s="127"/>
      <c r="P589" s="127"/>
      <c r="Q589" s="127"/>
      <c r="R589" s="127"/>
      <c r="S589" s="127"/>
      <c r="T589" s="127"/>
    </row>
    <row r="590" spans="1:20">
      <c r="A590" s="127"/>
      <c r="B590" s="127"/>
      <c r="C590" s="127"/>
      <c r="D590" s="127"/>
      <c r="E590" s="127"/>
      <c r="F590" s="127"/>
      <c r="G590" s="127"/>
      <c r="H590" s="127"/>
      <c r="I590" s="127"/>
      <c r="J590" s="127"/>
      <c r="K590" s="127"/>
      <c r="L590" s="127"/>
      <c r="M590" s="127"/>
      <c r="N590" s="127"/>
      <c r="O590" s="127"/>
      <c r="P590" s="127"/>
      <c r="Q590" s="127"/>
      <c r="R590" s="127"/>
      <c r="S590" s="127"/>
      <c r="T590" s="127"/>
    </row>
    <row r="591" spans="1:20">
      <c r="A591" s="127"/>
      <c r="B591" s="127"/>
      <c r="C591" s="127"/>
      <c r="D591" s="127"/>
      <c r="E591" s="127"/>
      <c r="F591" s="127"/>
      <c r="G591" s="127"/>
      <c r="H591" s="127"/>
      <c r="I591" s="127"/>
      <c r="J591" s="127"/>
      <c r="K591" s="127"/>
      <c r="L591" s="127"/>
      <c r="M591" s="127"/>
      <c r="N591" s="127"/>
      <c r="O591" s="127"/>
      <c r="P591" s="127"/>
      <c r="Q591" s="127"/>
      <c r="R591" s="127"/>
      <c r="S591" s="127"/>
      <c r="T591" s="127"/>
    </row>
    <row r="592" spans="1:20">
      <c r="A592" s="127"/>
      <c r="B592" s="127"/>
      <c r="C592" s="127"/>
      <c r="D592" s="127"/>
      <c r="E592" s="127"/>
      <c r="F592" s="127"/>
      <c r="G592" s="127"/>
      <c r="H592" s="127"/>
      <c r="I592" s="127"/>
      <c r="J592" s="127"/>
      <c r="K592" s="127"/>
      <c r="L592" s="127"/>
      <c r="M592" s="127"/>
      <c r="N592" s="127"/>
      <c r="O592" s="127"/>
      <c r="P592" s="127"/>
      <c r="Q592" s="127"/>
      <c r="R592" s="127"/>
      <c r="S592" s="127"/>
      <c r="T592" s="127"/>
    </row>
    <row r="593" spans="1:20">
      <c r="A593" s="127"/>
      <c r="B593" s="127"/>
      <c r="C593" s="127"/>
      <c r="D593" s="127"/>
      <c r="E593" s="127"/>
      <c r="F593" s="127"/>
      <c r="G593" s="127"/>
      <c r="H593" s="127"/>
      <c r="I593" s="127"/>
      <c r="J593" s="127"/>
      <c r="K593" s="127"/>
      <c r="L593" s="127"/>
      <c r="M593" s="127"/>
      <c r="N593" s="127"/>
      <c r="O593" s="127"/>
      <c r="P593" s="127"/>
      <c r="Q593" s="127"/>
      <c r="R593" s="127"/>
      <c r="S593" s="127"/>
      <c r="T593" s="127"/>
    </row>
    <row r="594" spans="1:20">
      <c r="A594" s="127"/>
      <c r="B594" s="127"/>
      <c r="C594" s="127"/>
      <c r="D594" s="127"/>
      <c r="E594" s="127"/>
      <c r="F594" s="127"/>
      <c r="G594" s="127"/>
      <c r="H594" s="127"/>
      <c r="I594" s="127"/>
      <c r="J594" s="127"/>
      <c r="K594" s="127"/>
      <c r="L594" s="127"/>
      <c r="M594" s="127"/>
      <c r="N594" s="127"/>
      <c r="O594" s="127"/>
      <c r="P594" s="127"/>
      <c r="Q594" s="127"/>
      <c r="R594" s="127"/>
      <c r="S594" s="127"/>
      <c r="T594" s="127"/>
    </row>
    <row r="595" spans="1:20">
      <c r="A595" s="127"/>
      <c r="B595" s="127"/>
      <c r="C595" s="127"/>
      <c r="D595" s="127"/>
      <c r="E595" s="127"/>
      <c r="F595" s="127"/>
      <c r="G595" s="127"/>
      <c r="H595" s="127"/>
      <c r="I595" s="127"/>
      <c r="J595" s="127"/>
      <c r="K595" s="127"/>
      <c r="L595" s="127"/>
      <c r="M595" s="127"/>
      <c r="N595" s="127"/>
      <c r="O595" s="127"/>
      <c r="P595" s="127"/>
      <c r="Q595" s="127"/>
      <c r="R595" s="127"/>
      <c r="S595" s="127"/>
      <c r="T595" s="127"/>
    </row>
    <row r="596" spans="1:20">
      <c r="A596" s="127"/>
      <c r="B596" s="127"/>
      <c r="C596" s="127"/>
      <c r="D596" s="127"/>
      <c r="E596" s="127"/>
      <c r="F596" s="127"/>
      <c r="G596" s="127"/>
      <c r="H596" s="127"/>
      <c r="I596" s="127"/>
      <c r="J596" s="127"/>
      <c r="K596" s="127"/>
      <c r="L596" s="127"/>
      <c r="M596" s="127"/>
      <c r="N596" s="127"/>
      <c r="O596" s="127"/>
      <c r="P596" s="127"/>
      <c r="Q596" s="127"/>
      <c r="R596" s="127"/>
      <c r="S596" s="127"/>
      <c r="T596" s="127"/>
    </row>
    <row r="597" spans="1:20">
      <c r="A597" s="127"/>
      <c r="B597" s="127"/>
      <c r="C597" s="127"/>
      <c r="D597" s="127"/>
      <c r="E597" s="127"/>
      <c r="F597" s="127"/>
      <c r="G597" s="127"/>
      <c r="H597" s="127"/>
      <c r="I597" s="127"/>
      <c r="J597" s="127"/>
      <c r="K597" s="127"/>
      <c r="L597" s="127"/>
      <c r="M597" s="127"/>
      <c r="N597" s="127"/>
      <c r="O597" s="127"/>
      <c r="P597" s="127"/>
      <c r="Q597" s="127"/>
      <c r="R597" s="127"/>
      <c r="S597" s="127"/>
      <c r="T597" s="127"/>
    </row>
    <row r="598" spans="1:20">
      <c r="A598" s="127"/>
      <c r="B598" s="127"/>
      <c r="C598" s="127"/>
      <c r="D598" s="127"/>
      <c r="E598" s="127"/>
      <c r="F598" s="127"/>
      <c r="G598" s="127"/>
      <c r="H598" s="127"/>
      <c r="I598" s="127"/>
      <c r="J598" s="127"/>
      <c r="K598" s="127"/>
      <c r="L598" s="127"/>
      <c r="M598" s="127"/>
      <c r="N598" s="127"/>
      <c r="O598" s="127"/>
      <c r="P598" s="127"/>
      <c r="Q598" s="127"/>
      <c r="R598" s="127"/>
      <c r="S598" s="127"/>
      <c r="T598" s="127"/>
    </row>
    <row r="599" spans="1:20">
      <c r="A599" s="127"/>
      <c r="B599" s="127"/>
      <c r="C599" s="127"/>
      <c r="D599" s="127"/>
      <c r="E599" s="127"/>
      <c r="F599" s="127"/>
      <c r="G599" s="127"/>
      <c r="H599" s="127"/>
      <c r="I599" s="127"/>
      <c r="J599" s="127"/>
      <c r="K599" s="127"/>
      <c r="L599" s="127"/>
      <c r="M599" s="127"/>
      <c r="N599" s="127"/>
      <c r="O599" s="127"/>
      <c r="P599" s="127"/>
      <c r="Q599" s="127"/>
      <c r="R599" s="127"/>
      <c r="S599" s="127"/>
      <c r="T599" s="127"/>
    </row>
    <row r="600" spans="1:20">
      <c r="A600" s="127"/>
      <c r="B600" s="127"/>
      <c r="C600" s="127"/>
      <c r="D600" s="127"/>
      <c r="E600" s="127"/>
      <c r="F600" s="127"/>
      <c r="G600" s="127"/>
      <c r="H600" s="127"/>
      <c r="I600" s="127"/>
      <c r="J600" s="127"/>
      <c r="K600" s="127"/>
      <c r="L600" s="127"/>
      <c r="M600" s="127"/>
      <c r="N600" s="127"/>
      <c r="O600" s="127"/>
      <c r="P600" s="127"/>
      <c r="Q600" s="127"/>
      <c r="R600" s="127"/>
      <c r="S600" s="127"/>
      <c r="T600" s="127"/>
    </row>
    <row r="601" spans="1:20">
      <c r="A601" s="127"/>
      <c r="B601" s="127"/>
      <c r="C601" s="127"/>
      <c r="D601" s="127"/>
      <c r="E601" s="127"/>
      <c r="F601" s="127"/>
      <c r="G601" s="127"/>
      <c r="H601" s="127"/>
      <c r="I601" s="127"/>
      <c r="J601" s="127"/>
      <c r="K601" s="127"/>
      <c r="L601" s="127"/>
      <c r="M601" s="127"/>
      <c r="N601" s="127"/>
      <c r="O601" s="127"/>
      <c r="P601" s="127"/>
      <c r="Q601" s="127"/>
      <c r="R601" s="127"/>
      <c r="S601" s="127"/>
      <c r="T601" s="127"/>
    </row>
    <row r="602" spans="1:20">
      <c r="A602" s="127"/>
      <c r="B602" s="127"/>
      <c r="C602" s="127"/>
      <c r="D602" s="127"/>
      <c r="E602" s="127"/>
      <c r="F602" s="127"/>
      <c r="G602" s="127"/>
      <c r="H602" s="127"/>
      <c r="I602" s="127"/>
      <c r="J602" s="127"/>
      <c r="K602" s="127"/>
      <c r="L602" s="127"/>
      <c r="M602" s="127"/>
      <c r="N602" s="127"/>
      <c r="O602" s="127"/>
      <c r="P602" s="127"/>
      <c r="Q602" s="127"/>
      <c r="R602" s="127"/>
      <c r="S602" s="127"/>
      <c r="T602" s="127"/>
    </row>
    <row r="603" spans="1:20">
      <c r="A603" s="127"/>
      <c r="B603" s="127"/>
      <c r="C603" s="127"/>
      <c r="D603" s="127"/>
      <c r="E603" s="127"/>
      <c r="F603" s="127"/>
      <c r="G603" s="127"/>
      <c r="H603" s="127"/>
      <c r="I603" s="127"/>
      <c r="J603" s="127"/>
      <c r="K603" s="127"/>
      <c r="L603" s="127"/>
      <c r="M603" s="127"/>
      <c r="N603" s="127"/>
      <c r="O603" s="127"/>
      <c r="P603" s="127"/>
      <c r="Q603" s="127"/>
      <c r="R603" s="127"/>
      <c r="S603" s="127"/>
      <c r="T603" s="127"/>
    </row>
    <row r="604" spans="1:20">
      <c r="A604" s="127"/>
      <c r="B604" s="127"/>
      <c r="C604" s="127"/>
      <c r="D604" s="127"/>
      <c r="E604" s="127"/>
      <c r="F604" s="127"/>
      <c r="G604" s="127"/>
      <c r="H604" s="127"/>
      <c r="I604" s="127"/>
      <c r="J604" s="127"/>
      <c r="K604" s="127"/>
      <c r="L604" s="127"/>
      <c r="M604" s="127"/>
      <c r="N604" s="127"/>
      <c r="O604" s="127"/>
      <c r="P604" s="127"/>
      <c r="Q604" s="127"/>
      <c r="R604" s="127"/>
      <c r="S604" s="127"/>
      <c r="T604" s="127"/>
    </row>
    <row r="605" spans="1:20">
      <c r="A605" s="127"/>
      <c r="B605" s="127"/>
      <c r="C605" s="127"/>
      <c r="D605" s="127"/>
      <c r="E605" s="127"/>
      <c r="F605" s="127"/>
      <c r="G605" s="127"/>
      <c r="H605" s="127"/>
      <c r="I605" s="127"/>
      <c r="J605" s="127"/>
      <c r="K605" s="127"/>
      <c r="L605" s="127"/>
      <c r="M605" s="127"/>
      <c r="N605" s="127"/>
      <c r="O605" s="127"/>
      <c r="P605" s="127"/>
      <c r="Q605" s="127"/>
      <c r="R605" s="127"/>
      <c r="S605" s="127"/>
      <c r="T605" s="127"/>
    </row>
    <row r="606" spans="1:20">
      <c r="A606" s="127"/>
      <c r="B606" s="127"/>
      <c r="C606" s="127"/>
      <c r="D606" s="127"/>
      <c r="E606" s="127"/>
      <c r="F606" s="127"/>
      <c r="G606" s="127"/>
      <c r="H606" s="127"/>
      <c r="I606" s="127"/>
      <c r="J606" s="127"/>
      <c r="K606" s="127"/>
      <c r="L606" s="127"/>
      <c r="M606" s="127"/>
      <c r="N606" s="127"/>
      <c r="O606" s="127"/>
      <c r="P606" s="127"/>
      <c r="Q606" s="127"/>
      <c r="R606" s="127"/>
      <c r="S606" s="127"/>
      <c r="T606" s="127"/>
    </row>
    <row r="607" spans="1:20">
      <c r="A607" s="127"/>
      <c r="B607" s="127"/>
      <c r="C607" s="127"/>
      <c r="D607" s="127"/>
      <c r="E607" s="127"/>
      <c r="F607" s="127"/>
      <c r="G607" s="127"/>
      <c r="H607" s="127"/>
      <c r="I607" s="127"/>
      <c r="J607" s="127"/>
      <c r="K607" s="127"/>
      <c r="L607" s="127"/>
      <c r="M607" s="127"/>
      <c r="N607" s="127"/>
      <c r="O607" s="127"/>
      <c r="P607" s="127"/>
      <c r="Q607" s="127"/>
      <c r="R607" s="127"/>
      <c r="S607" s="127"/>
      <c r="T607" s="127"/>
    </row>
    <row r="608" spans="1:20">
      <c r="A608" s="127"/>
      <c r="B608" s="127"/>
      <c r="C608" s="127"/>
      <c r="D608" s="127"/>
      <c r="E608" s="127"/>
      <c r="F608" s="127"/>
      <c r="G608" s="127"/>
      <c r="H608" s="127"/>
      <c r="I608" s="127"/>
      <c r="J608" s="127"/>
      <c r="K608" s="127"/>
      <c r="L608" s="127"/>
      <c r="M608" s="127"/>
      <c r="N608" s="127"/>
      <c r="O608" s="127"/>
      <c r="P608" s="127"/>
      <c r="Q608" s="127"/>
      <c r="R608" s="127"/>
      <c r="S608" s="127"/>
      <c r="T608" s="127"/>
    </row>
    <row r="609" spans="1:20">
      <c r="A609" s="127"/>
      <c r="B609" s="127"/>
      <c r="C609" s="127"/>
      <c r="D609" s="127"/>
      <c r="E609" s="127"/>
      <c r="F609" s="127"/>
      <c r="G609" s="127"/>
      <c r="H609" s="127"/>
      <c r="I609" s="127"/>
      <c r="J609" s="127"/>
      <c r="K609" s="127"/>
      <c r="L609" s="127"/>
      <c r="M609" s="127"/>
      <c r="N609" s="127"/>
      <c r="O609" s="127"/>
      <c r="P609" s="127"/>
      <c r="Q609" s="127"/>
      <c r="R609" s="127"/>
      <c r="S609" s="127"/>
      <c r="T609" s="127"/>
    </row>
    <row r="610" spans="1:20">
      <c r="A610" s="127"/>
      <c r="B610" s="127"/>
      <c r="C610" s="127"/>
      <c r="D610" s="127"/>
      <c r="E610" s="127"/>
      <c r="F610" s="127"/>
      <c r="G610" s="127"/>
      <c r="H610" s="127"/>
      <c r="I610" s="127"/>
      <c r="J610" s="127"/>
      <c r="K610" s="127"/>
      <c r="L610" s="127"/>
      <c r="M610" s="127"/>
      <c r="N610" s="127"/>
      <c r="O610" s="127"/>
      <c r="P610" s="127"/>
      <c r="Q610" s="127"/>
      <c r="R610" s="127"/>
      <c r="S610" s="127"/>
      <c r="T610" s="127"/>
    </row>
    <row r="611" spans="1:20">
      <c r="A611" s="127"/>
      <c r="B611" s="127"/>
      <c r="C611" s="127"/>
      <c r="D611" s="127"/>
      <c r="E611" s="127"/>
      <c r="F611" s="127"/>
      <c r="G611" s="127"/>
      <c r="H611" s="127"/>
      <c r="I611" s="127"/>
      <c r="J611" s="127"/>
      <c r="K611" s="127"/>
      <c r="L611" s="127"/>
      <c r="M611" s="127"/>
      <c r="N611" s="127"/>
      <c r="O611" s="127"/>
      <c r="P611" s="127"/>
      <c r="Q611" s="127"/>
      <c r="R611" s="127"/>
      <c r="S611" s="127"/>
      <c r="T611" s="127"/>
    </row>
    <row r="612" spans="1:20">
      <c r="A612" s="127"/>
      <c r="B612" s="127"/>
      <c r="C612" s="127"/>
      <c r="D612" s="127"/>
      <c r="E612" s="127"/>
      <c r="F612" s="127"/>
      <c r="G612" s="127"/>
      <c r="H612" s="127"/>
      <c r="I612" s="127"/>
      <c r="J612" s="127"/>
      <c r="K612" s="127"/>
      <c r="L612" s="127"/>
      <c r="M612" s="127"/>
      <c r="N612" s="127"/>
      <c r="O612" s="127"/>
      <c r="P612" s="127"/>
      <c r="Q612" s="127"/>
      <c r="R612" s="127"/>
      <c r="S612" s="127"/>
      <c r="T612" s="127"/>
    </row>
    <row r="613" spans="1:20">
      <c r="A613" s="127"/>
      <c r="B613" s="127"/>
      <c r="C613" s="127"/>
      <c r="D613" s="127"/>
      <c r="E613" s="127"/>
      <c r="F613" s="127"/>
      <c r="G613" s="127"/>
      <c r="H613" s="127"/>
      <c r="I613" s="127"/>
      <c r="J613" s="127"/>
      <c r="K613" s="127"/>
      <c r="L613" s="127"/>
      <c r="M613" s="127"/>
      <c r="N613" s="127"/>
      <c r="O613" s="127"/>
      <c r="P613" s="127"/>
      <c r="Q613" s="127"/>
      <c r="R613" s="127"/>
      <c r="S613" s="127"/>
      <c r="T613" s="127"/>
    </row>
    <row r="614" spans="1:20">
      <c r="A614" s="127"/>
      <c r="B614" s="127"/>
      <c r="C614" s="127"/>
      <c r="D614" s="127"/>
      <c r="E614" s="127"/>
      <c r="F614" s="127"/>
      <c r="G614" s="127"/>
      <c r="H614" s="127"/>
      <c r="I614" s="127"/>
      <c r="J614" s="127"/>
      <c r="K614" s="127"/>
      <c r="L614" s="127"/>
      <c r="M614" s="127"/>
      <c r="N614" s="127"/>
      <c r="O614" s="127"/>
      <c r="P614" s="127"/>
      <c r="Q614" s="127"/>
      <c r="R614" s="127"/>
      <c r="S614" s="127"/>
      <c r="T614" s="127"/>
    </row>
    <row r="615" spans="1:20">
      <c r="A615" s="127"/>
      <c r="B615" s="127"/>
      <c r="C615" s="127"/>
      <c r="D615" s="127"/>
      <c r="E615" s="127"/>
      <c r="F615" s="127"/>
      <c r="G615" s="127"/>
      <c r="H615" s="127"/>
      <c r="I615" s="127"/>
      <c r="J615" s="127"/>
      <c r="K615" s="127"/>
      <c r="L615" s="127"/>
      <c r="M615" s="127"/>
      <c r="N615" s="127"/>
      <c r="O615" s="127"/>
      <c r="P615" s="127"/>
      <c r="Q615" s="127"/>
      <c r="R615" s="127"/>
      <c r="S615" s="127"/>
      <c r="T615" s="127"/>
    </row>
    <row r="616" spans="1:20">
      <c r="A616" s="127"/>
      <c r="B616" s="127"/>
      <c r="C616" s="127"/>
      <c r="D616" s="127"/>
      <c r="E616" s="127"/>
      <c r="F616" s="127"/>
      <c r="G616" s="127"/>
      <c r="H616" s="127"/>
      <c r="I616" s="127"/>
      <c r="J616" s="127"/>
      <c r="K616" s="127"/>
      <c r="L616" s="127"/>
      <c r="M616" s="127"/>
      <c r="N616" s="127"/>
      <c r="O616" s="127"/>
      <c r="P616" s="127"/>
      <c r="Q616" s="127"/>
      <c r="R616" s="127"/>
      <c r="S616" s="127"/>
      <c r="T616" s="127"/>
    </row>
    <row r="617" spans="1:20">
      <c r="A617" s="127"/>
      <c r="B617" s="127"/>
      <c r="C617" s="127"/>
      <c r="D617" s="127"/>
      <c r="E617" s="127"/>
      <c r="F617" s="127"/>
      <c r="G617" s="127"/>
      <c r="H617" s="127"/>
      <c r="I617" s="127"/>
      <c r="J617" s="127"/>
      <c r="K617" s="127"/>
      <c r="L617" s="127"/>
      <c r="M617" s="127"/>
      <c r="N617" s="127"/>
      <c r="O617" s="127"/>
      <c r="P617" s="127"/>
      <c r="Q617" s="127"/>
      <c r="R617" s="127"/>
      <c r="S617" s="127"/>
      <c r="T617" s="127"/>
    </row>
    <row r="618" spans="1:20">
      <c r="A618" s="127"/>
      <c r="B618" s="127"/>
      <c r="C618" s="127"/>
      <c r="D618" s="127"/>
      <c r="E618" s="127"/>
      <c r="F618" s="127"/>
      <c r="G618" s="127"/>
      <c r="H618" s="127"/>
      <c r="I618" s="127"/>
      <c r="J618" s="127"/>
      <c r="K618" s="127"/>
      <c r="L618" s="127"/>
      <c r="M618" s="127"/>
      <c r="N618" s="127"/>
      <c r="O618" s="127"/>
      <c r="P618" s="127"/>
      <c r="Q618" s="127"/>
      <c r="R618" s="127"/>
      <c r="S618" s="127"/>
      <c r="T618" s="127"/>
    </row>
    <row r="619" spans="1:20">
      <c r="A619" s="127"/>
      <c r="B619" s="127"/>
      <c r="C619" s="127"/>
      <c r="D619" s="127"/>
      <c r="E619" s="127"/>
      <c r="F619" s="127"/>
      <c r="G619" s="127"/>
      <c r="H619" s="127"/>
      <c r="I619" s="127"/>
      <c r="J619" s="127"/>
      <c r="K619" s="127"/>
      <c r="L619" s="127"/>
      <c r="M619" s="127"/>
      <c r="N619" s="127"/>
      <c r="O619" s="127"/>
      <c r="P619" s="127"/>
      <c r="Q619" s="127"/>
      <c r="R619" s="127"/>
      <c r="S619" s="127"/>
      <c r="T619" s="127"/>
    </row>
    <row r="620" spans="1:20">
      <c r="A620" s="127"/>
      <c r="B620" s="127"/>
      <c r="C620" s="127"/>
      <c r="D620" s="127"/>
      <c r="E620" s="127"/>
      <c r="F620" s="127"/>
      <c r="G620" s="127"/>
      <c r="H620" s="127"/>
      <c r="I620" s="127"/>
      <c r="J620" s="127"/>
      <c r="K620" s="127"/>
      <c r="L620" s="127"/>
      <c r="M620" s="127"/>
      <c r="N620" s="127"/>
      <c r="O620" s="127"/>
      <c r="P620" s="127"/>
      <c r="Q620" s="127"/>
      <c r="R620" s="127"/>
      <c r="S620" s="127"/>
      <c r="T620" s="127"/>
    </row>
    <row r="621" spans="1:20">
      <c r="A621" s="127"/>
      <c r="B621" s="127"/>
      <c r="C621" s="127"/>
      <c r="D621" s="127"/>
      <c r="E621" s="127"/>
      <c r="F621" s="127"/>
      <c r="G621" s="127"/>
      <c r="H621" s="127"/>
      <c r="I621" s="127"/>
      <c r="J621" s="127"/>
      <c r="K621" s="127"/>
      <c r="L621" s="127"/>
      <c r="M621" s="127"/>
      <c r="N621" s="127"/>
      <c r="O621" s="127"/>
      <c r="P621" s="127"/>
      <c r="Q621" s="127"/>
      <c r="R621" s="127"/>
      <c r="S621" s="127"/>
      <c r="T621" s="127"/>
    </row>
    <row r="622" spans="1:20">
      <c r="A622" s="127"/>
      <c r="B622" s="127"/>
      <c r="C622" s="127"/>
      <c r="D622" s="127"/>
      <c r="E622" s="127"/>
      <c r="F622" s="127"/>
      <c r="G622" s="127"/>
      <c r="H622" s="127"/>
      <c r="I622" s="127"/>
      <c r="J622" s="127"/>
      <c r="K622" s="127"/>
      <c r="L622" s="127"/>
      <c r="M622" s="127"/>
      <c r="N622" s="127"/>
      <c r="O622" s="127"/>
      <c r="P622" s="127"/>
      <c r="Q622" s="127"/>
      <c r="R622" s="127"/>
      <c r="S622" s="127"/>
      <c r="T622" s="127"/>
    </row>
    <row r="623" spans="1:20">
      <c r="A623" s="127"/>
      <c r="B623" s="127"/>
      <c r="C623" s="127"/>
      <c r="D623" s="127"/>
      <c r="E623" s="127"/>
      <c r="F623" s="127"/>
      <c r="G623" s="127"/>
      <c r="H623" s="127"/>
      <c r="I623" s="127"/>
      <c r="J623" s="127"/>
      <c r="K623" s="127"/>
      <c r="L623" s="127"/>
      <c r="M623" s="127"/>
      <c r="N623" s="127"/>
      <c r="O623" s="127"/>
      <c r="P623" s="127"/>
      <c r="Q623" s="127"/>
      <c r="R623" s="127"/>
      <c r="S623" s="127"/>
      <c r="T623" s="127"/>
    </row>
    <row r="624" spans="1:20">
      <c r="A624" s="127"/>
      <c r="B624" s="127"/>
      <c r="C624" s="127"/>
      <c r="D624" s="127"/>
      <c r="E624" s="127"/>
      <c r="F624" s="127"/>
      <c r="G624" s="127"/>
      <c r="H624" s="127"/>
      <c r="I624" s="127"/>
      <c r="J624" s="127"/>
      <c r="K624" s="127"/>
      <c r="L624" s="127"/>
      <c r="M624" s="127"/>
      <c r="N624" s="127"/>
      <c r="O624" s="127"/>
      <c r="P624" s="127"/>
      <c r="Q624" s="127"/>
      <c r="R624" s="127"/>
      <c r="S624" s="127"/>
      <c r="T624" s="127"/>
    </row>
    <row r="625" spans="1:20">
      <c r="A625" s="127"/>
      <c r="B625" s="127"/>
      <c r="C625" s="127"/>
      <c r="D625" s="127"/>
      <c r="E625" s="127"/>
      <c r="F625" s="127"/>
      <c r="G625" s="127"/>
      <c r="H625" s="127"/>
      <c r="I625" s="127"/>
      <c r="J625" s="127"/>
      <c r="K625" s="127"/>
      <c r="L625" s="127"/>
      <c r="M625" s="127"/>
      <c r="N625" s="127"/>
      <c r="O625" s="127"/>
      <c r="P625" s="127"/>
      <c r="Q625" s="127"/>
      <c r="R625" s="127"/>
      <c r="S625" s="127"/>
      <c r="T625" s="127"/>
    </row>
    <row r="626" spans="1:20">
      <c r="A626" s="127"/>
      <c r="B626" s="127"/>
      <c r="C626" s="127"/>
      <c r="D626" s="127"/>
      <c r="E626" s="127"/>
      <c r="F626" s="127"/>
      <c r="G626" s="127"/>
      <c r="H626" s="127"/>
      <c r="I626" s="127"/>
      <c r="J626" s="127"/>
      <c r="K626" s="127"/>
      <c r="L626" s="127"/>
      <c r="M626" s="127"/>
      <c r="N626" s="127"/>
      <c r="O626" s="127"/>
      <c r="P626" s="127"/>
      <c r="Q626" s="127"/>
      <c r="R626" s="127"/>
      <c r="S626" s="127"/>
      <c r="T626" s="127"/>
    </row>
    <row r="627" spans="1:20">
      <c r="A627" s="127"/>
      <c r="B627" s="127"/>
      <c r="C627" s="127"/>
      <c r="D627" s="127"/>
      <c r="E627" s="127"/>
      <c r="F627" s="127"/>
      <c r="G627" s="127"/>
      <c r="H627" s="127"/>
      <c r="I627" s="127"/>
      <c r="J627" s="127"/>
      <c r="K627" s="127"/>
      <c r="L627" s="127"/>
      <c r="M627" s="127"/>
      <c r="N627" s="127"/>
      <c r="O627" s="127"/>
      <c r="P627" s="127"/>
      <c r="Q627" s="127"/>
      <c r="R627" s="127"/>
      <c r="S627" s="127"/>
      <c r="T627" s="127"/>
    </row>
    <row r="628" spans="1:20">
      <c r="A628" s="127"/>
      <c r="B628" s="127"/>
      <c r="C628" s="127"/>
      <c r="D628" s="127"/>
      <c r="E628" s="127"/>
      <c r="F628" s="127"/>
      <c r="G628" s="127"/>
      <c r="H628" s="127"/>
      <c r="I628" s="127"/>
      <c r="J628" s="127"/>
      <c r="K628" s="127"/>
      <c r="L628" s="127"/>
      <c r="M628" s="127"/>
      <c r="N628" s="127"/>
      <c r="O628" s="127"/>
      <c r="P628" s="127"/>
      <c r="Q628" s="127"/>
      <c r="R628" s="127"/>
      <c r="S628" s="127"/>
      <c r="T628" s="127"/>
    </row>
    <row r="629" spans="1:20">
      <c r="A629" s="127"/>
      <c r="B629" s="127"/>
      <c r="C629" s="127"/>
      <c r="D629" s="127"/>
      <c r="E629" s="127"/>
      <c r="F629" s="127"/>
      <c r="G629" s="127"/>
      <c r="H629" s="127"/>
      <c r="I629" s="127"/>
      <c r="J629" s="127"/>
      <c r="K629" s="127"/>
      <c r="L629" s="127"/>
      <c r="M629" s="127"/>
      <c r="N629" s="127"/>
      <c r="O629" s="127"/>
      <c r="P629" s="127"/>
      <c r="Q629" s="127"/>
      <c r="R629" s="127"/>
      <c r="S629" s="127"/>
      <c r="T629" s="127"/>
    </row>
    <row r="630" spans="1:20">
      <c r="A630" s="127"/>
      <c r="B630" s="127"/>
      <c r="C630" s="127"/>
      <c r="D630" s="127"/>
      <c r="E630" s="127"/>
      <c r="F630" s="127"/>
      <c r="G630" s="127"/>
      <c r="H630" s="127"/>
      <c r="I630" s="127"/>
      <c r="J630" s="127"/>
      <c r="K630" s="127"/>
      <c r="L630" s="127"/>
      <c r="M630" s="127"/>
      <c r="N630" s="127"/>
      <c r="O630" s="127"/>
      <c r="P630" s="127"/>
      <c r="Q630" s="127"/>
      <c r="R630" s="127"/>
      <c r="S630" s="127"/>
      <c r="T630" s="127"/>
    </row>
    <row r="631" spans="1:20">
      <c r="A631" s="127"/>
      <c r="B631" s="127"/>
      <c r="C631" s="127"/>
      <c r="D631" s="127"/>
      <c r="E631" s="127"/>
      <c r="F631" s="127"/>
      <c r="G631" s="127"/>
      <c r="H631" s="127"/>
      <c r="I631" s="127"/>
      <c r="J631" s="127"/>
      <c r="K631" s="127"/>
      <c r="L631" s="127"/>
      <c r="M631" s="127"/>
      <c r="N631" s="127"/>
      <c r="O631" s="127"/>
      <c r="P631" s="127"/>
      <c r="Q631" s="127"/>
      <c r="R631" s="127"/>
      <c r="S631" s="127"/>
      <c r="T631" s="127"/>
    </row>
    <row r="632" spans="1:20">
      <c r="A632" s="127"/>
      <c r="B632" s="127"/>
      <c r="C632" s="127"/>
      <c r="D632" s="127"/>
      <c r="E632" s="127"/>
      <c r="F632" s="127"/>
      <c r="G632" s="127"/>
      <c r="H632" s="127"/>
      <c r="I632" s="127"/>
      <c r="J632" s="127"/>
      <c r="K632" s="127"/>
      <c r="L632" s="127"/>
      <c r="M632" s="127"/>
      <c r="N632" s="127"/>
      <c r="O632" s="127"/>
      <c r="P632" s="127"/>
      <c r="Q632" s="127"/>
      <c r="R632" s="127"/>
      <c r="S632" s="127"/>
      <c r="T632" s="127"/>
    </row>
    <row r="633" spans="1:20">
      <c r="A633" s="127"/>
      <c r="B633" s="127"/>
      <c r="C633" s="127"/>
      <c r="D633" s="127"/>
      <c r="E633" s="127"/>
      <c r="F633" s="127"/>
      <c r="G633" s="127"/>
      <c r="H633" s="127"/>
      <c r="I633" s="127"/>
      <c r="J633" s="127"/>
      <c r="K633" s="127"/>
      <c r="L633" s="127"/>
      <c r="M633" s="127"/>
      <c r="N633" s="127"/>
      <c r="O633" s="127"/>
      <c r="P633" s="127"/>
      <c r="Q633" s="127"/>
      <c r="R633" s="127"/>
      <c r="S633" s="127"/>
      <c r="T633" s="127"/>
    </row>
    <row r="634" spans="1:20">
      <c r="A634" s="127"/>
      <c r="B634" s="127"/>
      <c r="C634" s="127"/>
      <c r="D634" s="127"/>
      <c r="E634" s="127"/>
      <c r="F634" s="127"/>
      <c r="G634" s="127"/>
      <c r="H634" s="127"/>
      <c r="I634" s="127"/>
      <c r="J634" s="127"/>
      <c r="K634" s="127"/>
      <c r="L634" s="127"/>
      <c r="M634" s="127"/>
      <c r="N634" s="127"/>
      <c r="O634" s="127"/>
      <c r="P634" s="127"/>
      <c r="Q634" s="127"/>
      <c r="R634" s="127"/>
      <c r="S634" s="127"/>
      <c r="T634" s="127"/>
    </row>
    <row r="635" spans="1:20">
      <c r="A635" s="127"/>
      <c r="B635" s="127"/>
      <c r="C635" s="127"/>
      <c r="D635" s="127"/>
      <c r="E635" s="127"/>
      <c r="F635" s="127"/>
      <c r="G635" s="127"/>
      <c r="H635" s="127"/>
      <c r="I635" s="127"/>
      <c r="J635" s="127"/>
      <c r="K635" s="127"/>
      <c r="L635" s="127"/>
      <c r="M635" s="127"/>
      <c r="N635" s="127"/>
      <c r="O635" s="127"/>
      <c r="P635" s="127"/>
      <c r="Q635" s="127"/>
      <c r="R635" s="127"/>
      <c r="S635" s="127"/>
      <c r="T635" s="127"/>
    </row>
    <row r="636" spans="1:20">
      <c r="A636" s="127"/>
      <c r="B636" s="127"/>
      <c r="C636" s="127"/>
      <c r="D636" s="127"/>
      <c r="E636" s="127"/>
      <c r="F636" s="127"/>
      <c r="G636" s="127"/>
      <c r="H636" s="127"/>
      <c r="I636" s="127"/>
      <c r="J636" s="127"/>
      <c r="K636" s="127"/>
      <c r="L636" s="127"/>
      <c r="M636" s="127"/>
      <c r="N636" s="127"/>
      <c r="O636" s="127"/>
      <c r="P636" s="127"/>
      <c r="Q636" s="127"/>
      <c r="R636" s="127"/>
      <c r="S636" s="127"/>
      <c r="T636" s="127"/>
    </row>
    <row r="637" spans="1:20">
      <c r="A637" s="127"/>
      <c r="B637" s="127"/>
      <c r="C637" s="127"/>
      <c r="D637" s="127"/>
      <c r="E637" s="127"/>
      <c r="F637" s="127"/>
      <c r="G637" s="127"/>
      <c r="H637" s="127"/>
      <c r="I637" s="127"/>
      <c r="J637" s="127"/>
      <c r="K637" s="127"/>
      <c r="L637" s="127"/>
      <c r="M637" s="127"/>
      <c r="N637" s="127"/>
      <c r="O637" s="127"/>
      <c r="P637" s="127"/>
      <c r="Q637" s="127"/>
      <c r="R637" s="127"/>
      <c r="S637" s="127"/>
      <c r="T637" s="127"/>
    </row>
    <row r="638" spans="1:20">
      <c r="A638" s="127"/>
      <c r="B638" s="127"/>
      <c r="C638" s="127"/>
      <c r="D638" s="127"/>
      <c r="E638" s="127"/>
      <c r="F638" s="127"/>
      <c r="G638" s="127"/>
      <c r="H638" s="127"/>
      <c r="I638" s="127"/>
      <c r="J638" s="127"/>
      <c r="K638" s="127"/>
      <c r="L638" s="127"/>
      <c r="M638" s="127"/>
      <c r="N638" s="127"/>
      <c r="O638" s="127"/>
      <c r="P638" s="127"/>
      <c r="Q638" s="127"/>
      <c r="R638" s="127"/>
      <c r="S638" s="127"/>
      <c r="T638" s="127"/>
    </row>
    <row r="639" spans="1:20">
      <c r="A639" s="127"/>
      <c r="B639" s="127"/>
      <c r="C639" s="127"/>
      <c r="D639" s="127"/>
      <c r="E639" s="127"/>
      <c r="F639" s="127"/>
      <c r="G639" s="127"/>
      <c r="H639" s="127"/>
      <c r="I639" s="127"/>
      <c r="J639" s="127"/>
      <c r="K639" s="127"/>
      <c r="L639" s="127"/>
      <c r="M639" s="127"/>
      <c r="N639" s="127"/>
      <c r="O639" s="127"/>
      <c r="P639" s="127"/>
      <c r="Q639" s="127"/>
      <c r="R639" s="127"/>
      <c r="S639" s="127"/>
      <c r="T639" s="127"/>
    </row>
    <row r="640" spans="1:20">
      <c r="A640" s="127"/>
      <c r="B640" s="127"/>
      <c r="C640" s="127"/>
      <c r="D640" s="127"/>
      <c r="E640" s="127"/>
      <c r="F640" s="127"/>
      <c r="G640" s="127"/>
      <c r="H640" s="127"/>
      <c r="I640" s="127"/>
      <c r="J640" s="127"/>
      <c r="K640" s="127"/>
      <c r="L640" s="127"/>
      <c r="M640" s="127"/>
      <c r="N640" s="127"/>
      <c r="O640" s="127"/>
      <c r="P640" s="127"/>
      <c r="Q640" s="127"/>
      <c r="R640" s="127"/>
      <c r="S640" s="127"/>
      <c r="T640" s="127"/>
    </row>
    <row r="641" spans="1:20">
      <c r="A641" s="127"/>
      <c r="B641" s="127"/>
      <c r="C641" s="127"/>
      <c r="D641" s="127"/>
      <c r="E641" s="127"/>
      <c r="F641" s="127"/>
      <c r="G641" s="127"/>
      <c r="H641" s="127"/>
      <c r="I641" s="127"/>
      <c r="J641" s="127"/>
      <c r="K641" s="127"/>
      <c r="L641" s="127"/>
      <c r="M641" s="127"/>
      <c r="N641" s="127"/>
      <c r="O641" s="127"/>
      <c r="P641" s="127"/>
      <c r="Q641" s="127"/>
      <c r="R641" s="127"/>
      <c r="S641" s="127"/>
      <c r="T641" s="127"/>
    </row>
    <row r="642" spans="1:20">
      <c r="A642" s="127"/>
      <c r="B642" s="127"/>
      <c r="C642" s="127"/>
      <c r="D642" s="127"/>
      <c r="E642" s="127"/>
      <c r="F642" s="127"/>
      <c r="G642" s="127"/>
      <c r="H642" s="127"/>
      <c r="I642" s="127"/>
      <c r="J642" s="127"/>
      <c r="K642" s="127"/>
      <c r="L642" s="127"/>
      <c r="M642" s="127"/>
      <c r="N642" s="127"/>
      <c r="O642" s="127"/>
      <c r="P642" s="127"/>
      <c r="Q642" s="127"/>
      <c r="R642" s="127"/>
      <c r="S642" s="127"/>
      <c r="T642" s="127"/>
    </row>
    <row r="643" spans="1:20">
      <c r="A643" s="127"/>
      <c r="B643" s="127"/>
      <c r="C643" s="127"/>
      <c r="D643" s="127"/>
      <c r="E643" s="127"/>
      <c r="F643" s="127"/>
      <c r="G643" s="127"/>
      <c r="H643" s="127"/>
      <c r="I643" s="127"/>
      <c r="J643" s="127"/>
      <c r="K643" s="127"/>
      <c r="L643" s="127"/>
      <c r="M643" s="127"/>
      <c r="N643" s="127"/>
      <c r="O643" s="127"/>
      <c r="P643" s="127"/>
      <c r="Q643" s="127"/>
      <c r="R643" s="127"/>
      <c r="S643" s="127"/>
      <c r="T643" s="127"/>
    </row>
    <row r="644" spans="1:20">
      <c r="A644" s="127"/>
      <c r="B644" s="127"/>
      <c r="C644" s="127"/>
      <c r="D644" s="127"/>
      <c r="E644" s="127"/>
      <c r="F644" s="127"/>
      <c r="G644" s="127"/>
      <c r="H644" s="127"/>
      <c r="I644" s="127"/>
      <c r="J644" s="127"/>
      <c r="K644" s="127"/>
      <c r="L644" s="127"/>
      <c r="M644" s="127"/>
      <c r="N644" s="127"/>
      <c r="O644" s="127"/>
      <c r="P644" s="127"/>
      <c r="Q644" s="127"/>
      <c r="R644" s="127"/>
      <c r="S644" s="127"/>
      <c r="T644" s="127"/>
    </row>
    <row r="645" spans="1:20">
      <c r="A645" s="127"/>
      <c r="B645" s="127"/>
      <c r="C645" s="127"/>
      <c r="D645" s="127"/>
      <c r="E645" s="127"/>
      <c r="F645" s="127"/>
      <c r="G645" s="127"/>
      <c r="H645" s="127"/>
      <c r="I645" s="127"/>
      <c r="J645" s="127"/>
      <c r="K645" s="127"/>
      <c r="L645" s="127"/>
      <c r="M645" s="127"/>
      <c r="N645" s="127"/>
      <c r="O645" s="127"/>
      <c r="P645" s="127"/>
      <c r="Q645" s="127"/>
      <c r="R645" s="127"/>
      <c r="S645" s="127"/>
      <c r="T645" s="127"/>
    </row>
    <row r="646" spans="1:20">
      <c r="A646" s="127"/>
      <c r="B646" s="127"/>
      <c r="C646" s="127"/>
      <c r="D646" s="127"/>
      <c r="E646" s="127"/>
      <c r="F646" s="127"/>
      <c r="G646" s="127"/>
      <c r="H646" s="127"/>
      <c r="I646" s="127"/>
      <c r="J646" s="127"/>
      <c r="K646" s="127"/>
      <c r="L646" s="127"/>
      <c r="M646" s="127"/>
      <c r="N646" s="127"/>
      <c r="O646" s="127"/>
      <c r="P646" s="127"/>
      <c r="Q646" s="127"/>
      <c r="R646" s="127"/>
      <c r="S646" s="127"/>
      <c r="T646" s="127"/>
    </row>
    <row r="647" spans="1:20">
      <c r="A647" s="127"/>
      <c r="B647" s="127"/>
      <c r="C647" s="127"/>
      <c r="D647" s="127"/>
      <c r="E647" s="127"/>
      <c r="F647" s="127"/>
      <c r="G647" s="127"/>
      <c r="H647" s="127"/>
      <c r="I647" s="127"/>
      <c r="J647" s="127"/>
      <c r="K647" s="127"/>
      <c r="L647" s="127"/>
      <c r="M647" s="127"/>
      <c r="N647" s="127"/>
      <c r="O647" s="127"/>
      <c r="P647" s="127"/>
      <c r="Q647" s="127"/>
      <c r="R647" s="127"/>
      <c r="S647" s="127"/>
      <c r="T647" s="127"/>
    </row>
    <row r="648" spans="1:20">
      <c r="A648" s="127"/>
      <c r="B648" s="127"/>
      <c r="C648" s="127"/>
      <c r="D648" s="127"/>
      <c r="E648" s="127"/>
      <c r="F648" s="127"/>
      <c r="G648" s="127"/>
      <c r="H648" s="127"/>
      <c r="I648" s="127"/>
      <c r="J648" s="127"/>
      <c r="K648" s="127"/>
      <c r="L648" s="127"/>
      <c r="M648" s="127"/>
      <c r="N648" s="127"/>
      <c r="O648" s="127"/>
      <c r="P648" s="127"/>
      <c r="Q648" s="127"/>
      <c r="R648" s="127"/>
      <c r="S648" s="127"/>
      <c r="T648" s="127"/>
    </row>
    <row r="649" spans="1:20">
      <c r="A649" s="127"/>
      <c r="B649" s="127"/>
      <c r="C649" s="127"/>
      <c r="D649" s="127"/>
      <c r="E649" s="127"/>
      <c r="F649" s="127"/>
      <c r="G649" s="127"/>
      <c r="H649" s="127"/>
      <c r="I649" s="127"/>
      <c r="J649" s="127"/>
      <c r="K649" s="127"/>
      <c r="L649" s="127"/>
      <c r="M649" s="127"/>
      <c r="N649" s="127"/>
      <c r="O649" s="127"/>
      <c r="P649" s="127"/>
      <c r="Q649" s="127"/>
      <c r="R649" s="127"/>
      <c r="S649" s="127"/>
      <c r="T649" s="127"/>
    </row>
    <row r="650" spans="1:20">
      <c r="A650" s="127"/>
      <c r="B650" s="127"/>
      <c r="C650" s="127"/>
      <c r="D650" s="127"/>
      <c r="E650" s="127"/>
      <c r="F650" s="127"/>
      <c r="G650" s="127"/>
      <c r="H650" s="127"/>
      <c r="I650" s="127"/>
      <c r="J650" s="127"/>
      <c r="K650" s="127"/>
      <c r="L650" s="127"/>
      <c r="M650" s="127"/>
      <c r="N650" s="127"/>
      <c r="O650" s="127"/>
      <c r="P650" s="127"/>
      <c r="Q650" s="127"/>
      <c r="R650" s="127"/>
      <c r="S650" s="127"/>
      <c r="T650" s="127"/>
    </row>
    <row r="651" spans="1:20">
      <c r="A651" s="127"/>
      <c r="B651" s="127"/>
      <c r="C651" s="127"/>
      <c r="D651" s="127"/>
      <c r="E651" s="127"/>
      <c r="F651" s="127"/>
      <c r="G651" s="127"/>
      <c r="H651" s="127"/>
      <c r="I651" s="127"/>
      <c r="J651" s="127"/>
      <c r="K651" s="127"/>
      <c r="L651" s="127"/>
      <c r="M651" s="127"/>
      <c r="N651" s="127"/>
      <c r="O651" s="127"/>
      <c r="P651" s="127"/>
      <c r="Q651" s="127"/>
      <c r="R651" s="127"/>
      <c r="S651" s="127"/>
      <c r="T651" s="127"/>
    </row>
    <row r="652" spans="1:20">
      <c r="A652" s="127"/>
      <c r="B652" s="127"/>
      <c r="C652" s="127"/>
      <c r="D652" s="127"/>
      <c r="E652" s="127"/>
      <c r="F652" s="127"/>
      <c r="G652" s="127"/>
      <c r="H652" s="127"/>
      <c r="I652" s="127"/>
      <c r="J652" s="127"/>
      <c r="K652" s="127"/>
      <c r="L652" s="127"/>
      <c r="M652" s="127"/>
      <c r="N652" s="127"/>
      <c r="O652" s="127"/>
      <c r="P652" s="127"/>
      <c r="Q652" s="127"/>
      <c r="R652" s="127"/>
      <c r="S652" s="127"/>
      <c r="T652" s="127"/>
    </row>
    <row r="653" spans="1:20">
      <c r="A653" s="127"/>
      <c r="B653" s="127"/>
      <c r="C653" s="127"/>
      <c r="D653" s="127"/>
      <c r="E653" s="127"/>
      <c r="F653" s="127"/>
      <c r="G653" s="127"/>
      <c r="H653" s="127"/>
      <c r="I653" s="127"/>
      <c r="J653" s="127"/>
      <c r="K653" s="127"/>
      <c r="L653" s="127"/>
      <c r="M653" s="127"/>
      <c r="N653" s="127"/>
      <c r="O653" s="127"/>
      <c r="P653" s="127"/>
      <c r="Q653" s="127"/>
      <c r="R653" s="127"/>
      <c r="S653" s="127"/>
      <c r="T653" s="127"/>
    </row>
    <row r="654" spans="1:20">
      <c r="A654" s="127"/>
      <c r="B654" s="127"/>
      <c r="C654" s="127"/>
      <c r="D654" s="127"/>
      <c r="E654" s="127"/>
      <c r="F654" s="127"/>
      <c r="G654" s="127"/>
      <c r="H654" s="127"/>
      <c r="I654" s="127"/>
      <c r="J654" s="127"/>
      <c r="K654" s="127"/>
      <c r="L654" s="127"/>
      <c r="M654" s="127"/>
      <c r="N654" s="127"/>
      <c r="O654" s="127"/>
      <c r="P654" s="127"/>
      <c r="Q654" s="127"/>
      <c r="R654" s="127"/>
      <c r="S654" s="127"/>
      <c r="T654" s="127"/>
    </row>
    <row r="655" spans="1:20">
      <c r="A655" s="127"/>
      <c r="B655" s="127"/>
      <c r="C655" s="127"/>
      <c r="D655" s="127"/>
      <c r="E655" s="127"/>
      <c r="F655" s="127"/>
      <c r="G655" s="127"/>
      <c r="H655" s="127"/>
      <c r="I655" s="127"/>
      <c r="J655" s="127"/>
      <c r="K655" s="127"/>
      <c r="L655" s="127"/>
      <c r="M655" s="127"/>
      <c r="N655" s="127"/>
      <c r="O655" s="127"/>
      <c r="P655" s="127"/>
      <c r="Q655" s="127"/>
      <c r="R655" s="127"/>
      <c r="S655" s="127"/>
      <c r="T655" s="127"/>
    </row>
    <row r="656" spans="1:20">
      <c r="A656" s="127"/>
      <c r="B656" s="127"/>
      <c r="C656" s="127"/>
      <c r="D656" s="127"/>
      <c r="E656" s="127"/>
      <c r="F656" s="127"/>
      <c r="G656" s="127"/>
      <c r="H656" s="127"/>
      <c r="I656" s="127"/>
      <c r="J656" s="127"/>
      <c r="K656" s="127"/>
      <c r="L656" s="127"/>
      <c r="M656" s="127"/>
      <c r="N656" s="127"/>
      <c r="O656" s="127"/>
      <c r="P656" s="127"/>
      <c r="Q656" s="127"/>
      <c r="R656" s="127"/>
      <c r="S656" s="127"/>
      <c r="T656" s="127"/>
    </row>
    <row r="657" spans="1:20">
      <c r="A657" s="127"/>
      <c r="B657" s="127"/>
      <c r="C657" s="127"/>
      <c r="D657" s="127"/>
      <c r="E657" s="127"/>
      <c r="F657" s="127"/>
      <c r="G657" s="127"/>
      <c r="H657" s="127"/>
      <c r="I657" s="127"/>
      <c r="J657" s="127"/>
      <c r="K657" s="127"/>
      <c r="L657" s="127"/>
      <c r="M657" s="127"/>
      <c r="N657" s="127"/>
      <c r="O657" s="127"/>
      <c r="P657" s="127"/>
      <c r="Q657" s="127"/>
      <c r="R657" s="127"/>
      <c r="S657" s="127"/>
      <c r="T657" s="127"/>
    </row>
    <row r="658" spans="1:20">
      <c r="A658" s="127"/>
      <c r="B658" s="127"/>
      <c r="C658" s="127"/>
      <c r="D658" s="127"/>
      <c r="E658" s="127"/>
      <c r="F658" s="127"/>
      <c r="G658" s="127"/>
      <c r="H658" s="127"/>
      <c r="I658" s="127"/>
      <c r="J658" s="127"/>
      <c r="K658" s="127"/>
      <c r="L658" s="127"/>
      <c r="M658" s="127"/>
      <c r="N658" s="127"/>
      <c r="O658" s="127"/>
      <c r="P658" s="127"/>
      <c r="Q658" s="127"/>
      <c r="R658" s="127"/>
      <c r="S658" s="127"/>
      <c r="T658" s="127"/>
    </row>
    <row r="659" spans="1:20">
      <c r="A659" s="127"/>
      <c r="B659" s="127"/>
      <c r="C659" s="127"/>
      <c r="D659" s="127"/>
      <c r="E659" s="127"/>
      <c r="F659" s="127"/>
      <c r="G659" s="127"/>
      <c r="H659" s="127"/>
      <c r="I659" s="127"/>
      <c r="J659" s="127"/>
      <c r="K659" s="127"/>
      <c r="L659" s="127"/>
      <c r="M659" s="127"/>
      <c r="N659" s="127"/>
      <c r="O659" s="127"/>
      <c r="P659" s="127"/>
      <c r="Q659" s="127"/>
      <c r="R659" s="127"/>
      <c r="S659" s="127"/>
      <c r="T659" s="127"/>
    </row>
    <row r="660" spans="1:20">
      <c r="A660" s="127"/>
      <c r="B660" s="127"/>
      <c r="C660" s="127"/>
      <c r="D660" s="127"/>
      <c r="E660" s="127"/>
      <c r="F660" s="127"/>
      <c r="G660" s="127"/>
      <c r="H660" s="127"/>
      <c r="I660" s="127"/>
      <c r="J660" s="127"/>
      <c r="K660" s="127"/>
      <c r="L660" s="127"/>
      <c r="M660" s="127"/>
      <c r="N660" s="127"/>
      <c r="O660" s="127"/>
      <c r="P660" s="127"/>
      <c r="Q660" s="127"/>
      <c r="R660" s="127"/>
      <c r="S660" s="127"/>
      <c r="T660" s="127"/>
    </row>
    <row r="661" spans="1:20">
      <c r="A661" s="127"/>
      <c r="B661" s="127"/>
      <c r="C661" s="127"/>
      <c r="D661" s="127"/>
      <c r="E661" s="127"/>
      <c r="F661" s="127"/>
      <c r="G661" s="127"/>
      <c r="H661" s="127"/>
      <c r="I661" s="127"/>
      <c r="J661" s="127"/>
      <c r="K661" s="127"/>
      <c r="L661" s="127"/>
      <c r="M661" s="127"/>
      <c r="N661" s="127"/>
      <c r="O661" s="127"/>
      <c r="P661" s="127"/>
      <c r="Q661" s="127"/>
      <c r="R661" s="127"/>
      <c r="S661" s="127"/>
      <c r="T661" s="127"/>
    </row>
    <row r="662" spans="1:20">
      <c r="A662" s="127"/>
      <c r="B662" s="127"/>
      <c r="C662" s="127"/>
      <c r="D662" s="127"/>
      <c r="E662" s="127"/>
      <c r="F662" s="127"/>
      <c r="G662" s="127"/>
      <c r="H662" s="127"/>
      <c r="I662" s="127"/>
      <c r="J662" s="127"/>
      <c r="K662" s="127"/>
      <c r="L662" s="127"/>
      <c r="M662" s="127"/>
      <c r="N662" s="127"/>
      <c r="O662" s="127"/>
      <c r="P662" s="127"/>
      <c r="Q662" s="127"/>
      <c r="R662" s="127"/>
      <c r="S662" s="127"/>
      <c r="T662" s="127"/>
    </row>
    <row r="663" spans="1:20">
      <c r="A663" s="127"/>
      <c r="B663" s="127"/>
      <c r="C663" s="127"/>
      <c r="D663" s="127"/>
      <c r="E663" s="127"/>
      <c r="F663" s="127"/>
      <c r="G663" s="127"/>
      <c r="H663" s="127"/>
      <c r="I663" s="127"/>
      <c r="J663" s="127"/>
      <c r="K663" s="127"/>
      <c r="L663" s="127"/>
      <c r="M663" s="127"/>
      <c r="N663" s="127"/>
      <c r="O663" s="127"/>
      <c r="P663" s="127"/>
      <c r="Q663" s="127"/>
      <c r="R663" s="127"/>
      <c r="S663" s="127"/>
      <c r="T663" s="127"/>
    </row>
    <row r="664" spans="1:20">
      <c r="A664" s="127"/>
      <c r="B664" s="127"/>
      <c r="C664" s="127"/>
      <c r="D664" s="127"/>
      <c r="E664" s="127"/>
      <c r="F664" s="127"/>
      <c r="G664" s="127"/>
      <c r="H664" s="127"/>
      <c r="I664" s="127"/>
      <c r="J664" s="127"/>
      <c r="K664" s="127"/>
      <c r="L664" s="127"/>
      <c r="M664" s="127"/>
      <c r="N664" s="127"/>
      <c r="O664" s="127"/>
      <c r="P664" s="127"/>
      <c r="Q664" s="127"/>
      <c r="R664" s="127"/>
      <c r="S664" s="127"/>
      <c r="T664" s="127"/>
    </row>
    <row r="665" spans="1:20">
      <c r="A665" s="127"/>
      <c r="B665" s="127"/>
      <c r="C665" s="127"/>
      <c r="D665" s="127"/>
      <c r="E665" s="127"/>
      <c r="F665" s="127"/>
      <c r="G665" s="127"/>
      <c r="H665" s="127"/>
      <c r="I665" s="127"/>
      <c r="J665" s="127"/>
      <c r="K665" s="127"/>
      <c r="L665" s="127"/>
      <c r="M665" s="127"/>
      <c r="N665" s="127"/>
      <c r="O665" s="127"/>
      <c r="P665" s="127"/>
      <c r="Q665" s="127"/>
      <c r="R665" s="127"/>
      <c r="S665" s="127"/>
      <c r="T665" s="127"/>
    </row>
    <row r="666" spans="1:20">
      <c r="A666" s="127"/>
      <c r="B666" s="127"/>
      <c r="C666" s="127"/>
      <c r="D666" s="127"/>
      <c r="E666" s="127"/>
      <c r="F666" s="127"/>
      <c r="G666" s="127"/>
      <c r="H666" s="127"/>
      <c r="I666" s="127"/>
      <c r="J666" s="127"/>
      <c r="K666" s="127"/>
      <c r="L666" s="127"/>
      <c r="M666" s="127"/>
      <c r="N666" s="127"/>
      <c r="O666" s="127"/>
      <c r="P666" s="127"/>
      <c r="Q666" s="127"/>
      <c r="R666" s="127"/>
      <c r="S666" s="127"/>
      <c r="T666" s="127"/>
    </row>
    <row r="667" spans="1:20">
      <c r="A667" s="127"/>
      <c r="B667" s="127"/>
      <c r="C667" s="127"/>
      <c r="D667" s="127"/>
      <c r="E667" s="127"/>
      <c r="F667" s="127"/>
      <c r="G667" s="127"/>
      <c r="H667" s="127"/>
      <c r="I667" s="127"/>
      <c r="J667" s="127"/>
      <c r="K667" s="127"/>
      <c r="L667" s="127"/>
      <c r="M667" s="127"/>
      <c r="N667" s="127"/>
      <c r="O667" s="127"/>
      <c r="P667" s="127"/>
      <c r="Q667" s="127"/>
      <c r="R667" s="127"/>
      <c r="S667" s="127"/>
      <c r="T667" s="127"/>
    </row>
    <row r="668" spans="1:20">
      <c r="A668" s="127"/>
      <c r="B668" s="127"/>
      <c r="C668" s="127"/>
      <c r="D668" s="127"/>
      <c r="E668" s="127"/>
      <c r="F668" s="127"/>
      <c r="G668" s="127"/>
      <c r="H668" s="127"/>
      <c r="I668" s="127"/>
      <c r="J668" s="127"/>
      <c r="K668" s="127"/>
      <c r="L668" s="127"/>
      <c r="M668" s="127"/>
      <c r="N668" s="127"/>
      <c r="O668" s="127"/>
      <c r="P668" s="127"/>
      <c r="Q668" s="127"/>
      <c r="R668" s="127"/>
      <c r="S668" s="127"/>
      <c r="T668" s="127"/>
    </row>
    <row r="669" spans="1:20">
      <c r="A669" s="127"/>
      <c r="B669" s="127"/>
      <c r="C669" s="127"/>
      <c r="D669" s="127"/>
      <c r="E669" s="127"/>
      <c r="F669" s="127"/>
      <c r="G669" s="127"/>
      <c r="H669" s="127"/>
      <c r="I669" s="127"/>
      <c r="J669" s="127"/>
      <c r="K669" s="127"/>
      <c r="L669" s="127"/>
      <c r="M669" s="127"/>
      <c r="N669" s="127"/>
      <c r="O669" s="127"/>
      <c r="P669" s="127"/>
      <c r="Q669" s="127"/>
      <c r="R669" s="127"/>
      <c r="S669" s="127"/>
      <c r="T669" s="127"/>
    </row>
    <row r="670" spans="1:20">
      <c r="A670" s="127"/>
      <c r="B670" s="127"/>
      <c r="C670" s="127"/>
      <c r="D670" s="127"/>
      <c r="E670" s="127"/>
      <c r="F670" s="127"/>
      <c r="G670" s="127"/>
      <c r="H670" s="127"/>
      <c r="I670" s="127"/>
      <c r="J670" s="127"/>
      <c r="K670" s="127"/>
      <c r="L670" s="127"/>
      <c r="M670" s="127"/>
      <c r="N670" s="127"/>
      <c r="O670" s="127"/>
      <c r="P670" s="127"/>
      <c r="Q670" s="127"/>
      <c r="R670" s="127"/>
      <c r="S670" s="127"/>
      <c r="T670" s="127"/>
    </row>
    <row r="671" spans="1:20">
      <c r="A671" s="127"/>
      <c r="B671" s="127"/>
      <c r="C671" s="127"/>
      <c r="D671" s="127"/>
      <c r="E671" s="127"/>
      <c r="F671" s="127"/>
      <c r="G671" s="127"/>
      <c r="H671" s="127"/>
      <c r="I671" s="127"/>
      <c r="J671" s="127"/>
      <c r="K671" s="127"/>
      <c r="L671" s="127"/>
      <c r="M671" s="127"/>
      <c r="N671" s="127"/>
      <c r="O671" s="127"/>
      <c r="P671" s="127"/>
      <c r="Q671" s="127"/>
      <c r="R671" s="127"/>
      <c r="S671" s="127"/>
      <c r="T671" s="127"/>
    </row>
    <row r="672" spans="1:20">
      <c r="A672" s="127"/>
      <c r="B672" s="127"/>
      <c r="C672" s="127"/>
      <c r="D672" s="127"/>
      <c r="E672" s="127"/>
      <c r="F672" s="127"/>
      <c r="G672" s="127"/>
      <c r="H672" s="127"/>
      <c r="I672" s="127"/>
      <c r="J672" s="127"/>
      <c r="K672" s="127"/>
      <c r="L672" s="127"/>
      <c r="M672" s="127"/>
      <c r="N672" s="127"/>
      <c r="O672" s="127"/>
      <c r="P672" s="127"/>
      <c r="Q672" s="127"/>
      <c r="R672" s="127"/>
      <c r="S672" s="127"/>
      <c r="T672" s="127"/>
    </row>
    <row r="673" spans="1:20">
      <c r="A673" s="127"/>
      <c r="B673" s="127"/>
      <c r="C673" s="127"/>
      <c r="D673" s="127"/>
      <c r="E673" s="127"/>
      <c r="F673" s="127"/>
      <c r="G673" s="127"/>
      <c r="H673" s="127"/>
      <c r="I673" s="127"/>
      <c r="J673" s="127"/>
      <c r="K673" s="127"/>
      <c r="L673" s="127"/>
      <c r="M673" s="127"/>
      <c r="N673" s="127"/>
      <c r="O673" s="127"/>
      <c r="P673" s="127"/>
      <c r="Q673" s="127"/>
      <c r="R673" s="127"/>
      <c r="S673" s="127"/>
      <c r="T673" s="127"/>
    </row>
    <row r="674" spans="1:20">
      <c r="A674" s="127"/>
      <c r="B674" s="127"/>
      <c r="C674" s="127"/>
      <c r="D674" s="127"/>
      <c r="E674" s="127"/>
      <c r="F674" s="127"/>
      <c r="G674" s="127"/>
      <c r="H674" s="127"/>
      <c r="I674" s="127"/>
      <c r="J674" s="127"/>
      <c r="K674" s="127"/>
      <c r="L674" s="127"/>
      <c r="M674" s="127"/>
      <c r="N674" s="127"/>
      <c r="O674" s="127"/>
      <c r="P674" s="127"/>
      <c r="Q674" s="127"/>
      <c r="R674" s="127"/>
      <c r="S674" s="127"/>
      <c r="T674" s="127"/>
    </row>
    <row r="675" spans="1:20">
      <c r="A675" s="127"/>
      <c r="B675" s="127"/>
      <c r="C675" s="127"/>
      <c r="D675" s="127"/>
      <c r="E675" s="127"/>
      <c r="F675" s="127"/>
      <c r="G675" s="127"/>
      <c r="H675" s="127"/>
      <c r="I675" s="127"/>
      <c r="J675" s="127"/>
      <c r="K675" s="127"/>
      <c r="L675" s="127"/>
      <c r="M675" s="127"/>
      <c r="N675" s="127"/>
      <c r="O675" s="127"/>
      <c r="P675" s="127"/>
      <c r="Q675" s="127"/>
      <c r="R675" s="127"/>
      <c r="S675" s="127"/>
      <c r="T675" s="127"/>
    </row>
    <row r="676" spans="1:20">
      <c r="A676" s="127"/>
      <c r="B676" s="127"/>
      <c r="C676" s="127"/>
      <c r="D676" s="127"/>
      <c r="E676" s="127"/>
      <c r="F676" s="127"/>
      <c r="G676" s="127"/>
      <c r="H676" s="127"/>
      <c r="I676" s="127"/>
      <c r="J676" s="127"/>
      <c r="K676" s="127"/>
      <c r="L676" s="127"/>
      <c r="M676" s="127"/>
      <c r="N676" s="127"/>
      <c r="O676" s="127"/>
      <c r="P676" s="127"/>
      <c r="Q676" s="127"/>
      <c r="R676" s="127"/>
      <c r="S676" s="127"/>
      <c r="T676" s="127"/>
    </row>
    <row r="677" spans="1:20">
      <c r="A677" s="127"/>
      <c r="B677" s="127"/>
      <c r="C677" s="127"/>
      <c r="D677" s="127"/>
      <c r="E677" s="127"/>
      <c r="F677" s="127"/>
      <c r="G677" s="127"/>
      <c r="H677" s="127"/>
      <c r="I677" s="127"/>
      <c r="J677" s="127"/>
      <c r="K677" s="127"/>
      <c r="L677" s="127"/>
      <c r="M677" s="127"/>
      <c r="N677" s="127"/>
      <c r="O677" s="127"/>
      <c r="P677" s="127"/>
      <c r="Q677" s="127"/>
      <c r="R677" s="127"/>
      <c r="S677" s="127"/>
      <c r="T677" s="127"/>
    </row>
    <row r="678" spans="1:20">
      <c r="A678" s="127"/>
      <c r="B678" s="127"/>
      <c r="C678" s="127"/>
      <c r="D678" s="127"/>
      <c r="E678" s="127"/>
      <c r="F678" s="127"/>
      <c r="G678" s="127"/>
      <c r="H678" s="127"/>
      <c r="I678" s="127"/>
      <c r="J678" s="127"/>
      <c r="K678" s="127"/>
      <c r="L678" s="127"/>
      <c r="M678" s="127"/>
      <c r="N678" s="127"/>
      <c r="O678" s="127"/>
      <c r="P678" s="127"/>
      <c r="Q678" s="127"/>
      <c r="R678" s="127"/>
      <c r="S678" s="127"/>
      <c r="T678" s="127"/>
    </row>
    <row r="679" spans="1:20">
      <c r="A679" s="127"/>
      <c r="B679" s="127"/>
      <c r="C679" s="127"/>
      <c r="D679" s="127"/>
      <c r="E679" s="127"/>
      <c r="F679" s="127"/>
      <c r="G679" s="127"/>
      <c r="H679" s="127"/>
      <c r="I679" s="127"/>
      <c r="J679" s="127"/>
      <c r="K679" s="127"/>
      <c r="L679" s="127"/>
      <c r="M679" s="127"/>
      <c r="N679" s="127"/>
      <c r="O679" s="127"/>
      <c r="P679" s="127"/>
      <c r="Q679" s="127"/>
      <c r="R679" s="127"/>
      <c r="S679" s="127"/>
      <c r="T679" s="127"/>
    </row>
    <row r="680" spans="1:20">
      <c r="A680" s="127"/>
      <c r="B680" s="127"/>
      <c r="C680" s="127"/>
      <c r="D680" s="127"/>
      <c r="E680" s="127"/>
      <c r="F680" s="127"/>
      <c r="G680" s="127"/>
      <c r="H680" s="127"/>
      <c r="I680" s="127"/>
      <c r="J680" s="127"/>
      <c r="K680" s="127"/>
      <c r="L680" s="127"/>
      <c r="M680" s="127"/>
      <c r="N680" s="127"/>
      <c r="O680" s="127"/>
      <c r="P680" s="127"/>
      <c r="Q680" s="127"/>
      <c r="R680" s="127"/>
      <c r="S680" s="127"/>
      <c r="T680" s="127"/>
    </row>
    <row r="681" spans="1:20">
      <c r="A681" s="127"/>
      <c r="B681" s="127"/>
      <c r="C681" s="127"/>
      <c r="D681" s="127"/>
      <c r="E681" s="127"/>
      <c r="F681" s="127"/>
      <c r="G681" s="127"/>
      <c r="H681" s="127"/>
      <c r="I681" s="127"/>
      <c r="J681" s="127"/>
      <c r="K681" s="127"/>
      <c r="L681" s="127"/>
      <c r="M681" s="127"/>
      <c r="N681" s="127"/>
      <c r="O681" s="127"/>
      <c r="P681" s="127"/>
      <c r="Q681" s="127"/>
      <c r="R681" s="127"/>
      <c r="S681" s="127"/>
      <c r="T681" s="127"/>
    </row>
    <row r="682" spans="1:20">
      <c r="A682" s="127"/>
      <c r="B682" s="127"/>
      <c r="C682" s="127"/>
      <c r="D682" s="127"/>
      <c r="E682" s="127"/>
      <c r="F682" s="127"/>
      <c r="G682" s="127"/>
      <c r="H682" s="127"/>
      <c r="I682" s="127"/>
      <c r="J682" s="127"/>
      <c r="K682" s="127"/>
      <c r="L682" s="127"/>
      <c r="M682" s="127"/>
      <c r="N682" s="127"/>
      <c r="O682" s="127"/>
      <c r="P682" s="127"/>
      <c r="Q682" s="127"/>
      <c r="R682" s="127"/>
      <c r="S682" s="127"/>
      <c r="T682" s="127"/>
    </row>
    <row r="683" spans="1:20">
      <c r="A683" s="127"/>
      <c r="B683" s="127"/>
      <c r="C683" s="127"/>
      <c r="D683" s="127"/>
      <c r="E683" s="127"/>
      <c r="F683" s="127"/>
      <c r="G683" s="127"/>
      <c r="H683" s="127"/>
      <c r="I683" s="127"/>
      <c r="J683" s="127"/>
      <c r="K683" s="127"/>
      <c r="L683" s="127"/>
      <c r="M683" s="127"/>
      <c r="N683" s="127"/>
      <c r="O683" s="127"/>
      <c r="P683" s="127"/>
      <c r="Q683" s="127"/>
      <c r="R683" s="127"/>
      <c r="S683" s="127"/>
      <c r="T683" s="127"/>
    </row>
    <row r="684" spans="1:20">
      <c r="A684" s="127"/>
      <c r="B684" s="127"/>
      <c r="C684" s="127"/>
      <c r="D684" s="127"/>
      <c r="E684" s="127"/>
      <c r="F684" s="127"/>
      <c r="G684" s="127"/>
      <c r="H684" s="127"/>
      <c r="I684" s="127"/>
      <c r="J684" s="127"/>
      <c r="K684" s="127"/>
      <c r="L684" s="127"/>
      <c r="M684" s="127"/>
      <c r="N684" s="127"/>
      <c r="O684" s="127"/>
      <c r="P684" s="127"/>
      <c r="Q684" s="127"/>
      <c r="R684" s="127"/>
      <c r="S684" s="127"/>
      <c r="T684" s="127"/>
    </row>
    <row r="685" spans="1:20">
      <c r="A685" s="127"/>
      <c r="B685" s="127"/>
      <c r="C685" s="127"/>
      <c r="D685" s="127"/>
      <c r="E685" s="127"/>
      <c r="F685" s="127"/>
      <c r="G685" s="127"/>
      <c r="H685" s="127"/>
      <c r="I685" s="127"/>
      <c r="J685" s="127"/>
      <c r="K685" s="127"/>
      <c r="L685" s="127"/>
      <c r="M685" s="127"/>
      <c r="N685" s="127"/>
      <c r="O685" s="127"/>
      <c r="P685" s="127"/>
      <c r="Q685" s="127"/>
      <c r="R685" s="127"/>
      <c r="S685" s="127"/>
      <c r="T685" s="127"/>
    </row>
    <row r="686" spans="1:20">
      <c r="A686" s="127"/>
      <c r="B686" s="127"/>
      <c r="C686" s="127"/>
      <c r="D686" s="127"/>
      <c r="E686" s="127"/>
      <c r="F686" s="127"/>
      <c r="G686" s="127"/>
      <c r="H686" s="127"/>
      <c r="I686" s="127"/>
      <c r="J686" s="127"/>
      <c r="K686" s="127"/>
      <c r="L686" s="127"/>
      <c r="M686" s="127"/>
      <c r="N686" s="127"/>
      <c r="O686" s="127"/>
      <c r="P686" s="127"/>
      <c r="Q686" s="127"/>
      <c r="R686" s="127"/>
      <c r="S686" s="127"/>
      <c r="T686" s="127"/>
    </row>
    <row r="687" spans="1:20">
      <c r="A687" s="127"/>
      <c r="B687" s="127"/>
      <c r="C687" s="127"/>
      <c r="D687" s="127"/>
      <c r="E687" s="127"/>
      <c r="F687" s="127"/>
      <c r="G687" s="127"/>
      <c r="H687" s="127"/>
      <c r="I687" s="127"/>
      <c r="J687" s="127"/>
      <c r="K687" s="127"/>
      <c r="L687" s="127"/>
      <c r="M687" s="127"/>
      <c r="N687" s="127"/>
      <c r="O687" s="127"/>
      <c r="P687" s="127"/>
      <c r="Q687" s="127"/>
      <c r="R687" s="127"/>
      <c r="S687" s="127"/>
      <c r="T687" s="127"/>
    </row>
    <row r="688" spans="1:20">
      <c r="A688" s="127"/>
      <c r="B688" s="127"/>
      <c r="C688" s="127"/>
      <c r="D688" s="127"/>
      <c r="E688" s="127"/>
      <c r="F688" s="127"/>
      <c r="G688" s="127"/>
      <c r="H688" s="127"/>
      <c r="I688" s="127"/>
      <c r="J688" s="127"/>
      <c r="K688" s="127"/>
      <c r="L688" s="127"/>
      <c r="M688" s="127"/>
      <c r="N688" s="127"/>
      <c r="O688" s="127"/>
      <c r="P688" s="127"/>
      <c r="Q688" s="127"/>
      <c r="R688" s="127"/>
      <c r="S688" s="127"/>
      <c r="T688" s="127"/>
    </row>
    <row r="689" spans="1:20">
      <c r="A689" s="127"/>
      <c r="B689" s="127"/>
      <c r="C689" s="127"/>
      <c r="D689" s="127"/>
      <c r="E689" s="127"/>
      <c r="F689" s="127"/>
      <c r="G689" s="127"/>
      <c r="H689" s="127"/>
      <c r="I689" s="127"/>
      <c r="J689" s="127"/>
      <c r="K689" s="127"/>
      <c r="L689" s="127"/>
      <c r="M689" s="127"/>
      <c r="N689" s="127"/>
      <c r="O689" s="127"/>
      <c r="P689" s="127"/>
      <c r="Q689" s="127"/>
      <c r="R689" s="127"/>
      <c r="S689" s="127"/>
      <c r="T689" s="127"/>
    </row>
    <row r="690" spans="1:20">
      <c r="A690" s="127"/>
      <c r="B690" s="127"/>
      <c r="C690" s="127"/>
      <c r="D690" s="127"/>
      <c r="E690" s="127"/>
      <c r="F690" s="127"/>
      <c r="G690" s="127"/>
      <c r="H690" s="127"/>
      <c r="I690" s="127"/>
      <c r="J690" s="127"/>
      <c r="K690" s="127"/>
      <c r="L690" s="127"/>
      <c r="M690" s="127"/>
      <c r="N690" s="127"/>
      <c r="O690" s="127"/>
      <c r="P690" s="127"/>
      <c r="Q690" s="127"/>
      <c r="R690" s="127"/>
      <c r="S690" s="127"/>
      <c r="T690" s="127"/>
    </row>
    <row r="691" spans="1:20">
      <c r="A691" s="127"/>
      <c r="B691" s="127"/>
      <c r="C691" s="127"/>
      <c r="D691" s="127"/>
      <c r="E691" s="127"/>
      <c r="F691" s="127"/>
      <c r="G691" s="127"/>
      <c r="H691" s="127"/>
      <c r="I691" s="127"/>
      <c r="J691" s="127"/>
      <c r="K691" s="127"/>
      <c r="L691" s="127"/>
      <c r="M691" s="127"/>
      <c r="N691" s="127"/>
      <c r="O691" s="127"/>
      <c r="P691" s="127"/>
      <c r="Q691" s="127"/>
      <c r="R691" s="127"/>
      <c r="S691" s="127"/>
      <c r="T691" s="127"/>
    </row>
    <row r="692" spans="1:20">
      <c r="A692" s="127"/>
      <c r="B692" s="127"/>
      <c r="C692" s="127"/>
      <c r="D692" s="127"/>
      <c r="E692" s="127"/>
      <c r="F692" s="127"/>
      <c r="G692" s="127"/>
      <c r="H692" s="127"/>
      <c r="I692" s="127"/>
      <c r="J692" s="127"/>
      <c r="K692" s="127"/>
      <c r="L692" s="127"/>
      <c r="M692" s="127"/>
      <c r="N692" s="127"/>
      <c r="O692" s="127"/>
      <c r="P692" s="127"/>
      <c r="Q692" s="127"/>
      <c r="R692" s="127"/>
      <c r="S692" s="127"/>
      <c r="T692" s="127"/>
    </row>
    <row r="693" spans="1:20">
      <c r="A693" s="127"/>
      <c r="B693" s="127"/>
      <c r="C693" s="127"/>
      <c r="D693" s="127"/>
      <c r="E693" s="127"/>
      <c r="F693" s="127"/>
      <c r="G693" s="127"/>
      <c r="H693" s="127"/>
      <c r="I693" s="127"/>
      <c r="J693" s="127"/>
      <c r="K693" s="127"/>
      <c r="L693" s="127"/>
      <c r="M693" s="127"/>
      <c r="N693" s="127"/>
      <c r="O693" s="127"/>
      <c r="P693" s="127"/>
      <c r="Q693" s="127"/>
      <c r="R693" s="127"/>
      <c r="S693" s="127"/>
      <c r="T693" s="127"/>
    </row>
    <row r="694" spans="1:20">
      <c r="A694" s="127"/>
      <c r="B694" s="127"/>
      <c r="C694" s="127"/>
      <c r="D694" s="127"/>
      <c r="E694" s="127"/>
      <c r="F694" s="127"/>
      <c r="G694" s="127"/>
      <c r="H694" s="127"/>
      <c r="I694" s="127"/>
      <c r="J694" s="127"/>
      <c r="K694" s="127"/>
      <c r="L694" s="127"/>
      <c r="M694" s="127"/>
      <c r="N694" s="127"/>
      <c r="O694" s="127"/>
      <c r="P694" s="127"/>
      <c r="Q694" s="127"/>
      <c r="R694" s="127"/>
      <c r="S694" s="127"/>
      <c r="T694" s="127"/>
    </row>
    <row r="695" spans="1:20">
      <c r="A695" s="127"/>
      <c r="B695" s="127"/>
      <c r="C695" s="127"/>
      <c r="D695" s="127"/>
      <c r="E695" s="127"/>
      <c r="F695" s="127"/>
      <c r="G695" s="127"/>
      <c r="H695" s="127"/>
      <c r="I695" s="127"/>
      <c r="J695" s="127"/>
      <c r="K695" s="127"/>
      <c r="L695" s="127"/>
      <c r="M695" s="127"/>
      <c r="N695" s="127"/>
      <c r="O695" s="127"/>
      <c r="P695" s="127"/>
      <c r="Q695" s="127"/>
      <c r="R695" s="127"/>
      <c r="S695" s="127"/>
      <c r="T695" s="127"/>
    </row>
    <row r="696" spans="1:20">
      <c r="A696" s="127"/>
      <c r="B696" s="127"/>
      <c r="C696" s="127"/>
      <c r="D696" s="127"/>
      <c r="E696" s="127"/>
      <c r="F696" s="127"/>
      <c r="G696" s="127"/>
      <c r="H696" s="127"/>
      <c r="I696" s="127"/>
      <c r="J696" s="127"/>
      <c r="K696" s="127"/>
      <c r="L696" s="127"/>
      <c r="M696" s="127"/>
      <c r="N696" s="127"/>
      <c r="O696" s="127"/>
      <c r="P696" s="127"/>
      <c r="Q696" s="127"/>
      <c r="R696" s="127"/>
      <c r="S696" s="127"/>
      <c r="T696" s="127"/>
    </row>
    <row r="697" spans="1:20">
      <c r="A697" s="127"/>
      <c r="B697" s="127"/>
      <c r="C697" s="127"/>
      <c r="D697" s="127"/>
      <c r="E697" s="127"/>
      <c r="F697" s="127"/>
      <c r="G697" s="127"/>
      <c r="H697" s="127"/>
      <c r="I697" s="127"/>
      <c r="J697" s="127"/>
      <c r="K697" s="127"/>
      <c r="L697" s="127"/>
      <c r="M697" s="127"/>
      <c r="N697" s="127"/>
      <c r="O697" s="127"/>
      <c r="P697" s="127"/>
      <c r="Q697" s="127"/>
      <c r="R697" s="127"/>
      <c r="S697" s="127"/>
      <c r="T697" s="127"/>
    </row>
    <row r="698" spans="1:20">
      <c r="A698" s="127"/>
      <c r="B698" s="127"/>
      <c r="C698" s="127"/>
      <c r="D698" s="127"/>
      <c r="E698" s="127"/>
      <c r="F698" s="127"/>
      <c r="G698" s="127"/>
      <c r="H698" s="127"/>
      <c r="I698" s="127"/>
      <c r="J698" s="127"/>
      <c r="K698" s="127"/>
      <c r="L698" s="127"/>
      <c r="M698" s="127"/>
      <c r="N698" s="127"/>
      <c r="O698" s="127"/>
      <c r="P698" s="127"/>
      <c r="Q698" s="127"/>
      <c r="R698" s="127"/>
      <c r="S698" s="127"/>
      <c r="T698" s="127"/>
    </row>
    <row r="699" spans="1:20">
      <c r="A699" s="127"/>
      <c r="B699" s="127"/>
      <c r="C699" s="127"/>
      <c r="D699" s="127"/>
      <c r="E699" s="127"/>
      <c r="F699" s="127"/>
      <c r="G699" s="127"/>
      <c r="H699" s="127"/>
      <c r="I699" s="127"/>
      <c r="J699" s="127"/>
      <c r="K699" s="127"/>
      <c r="L699" s="127"/>
      <c r="M699" s="127"/>
      <c r="N699" s="127"/>
      <c r="O699" s="127"/>
      <c r="P699" s="127"/>
      <c r="Q699" s="127"/>
      <c r="R699" s="127"/>
      <c r="S699" s="127"/>
      <c r="T699" s="127"/>
    </row>
    <row r="700" spans="1:20">
      <c r="A700" s="127"/>
      <c r="B700" s="127"/>
      <c r="C700" s="127"/>
      <c r="D700" s="127"/>
      <c r="E700" s="127"/>
      <c r="F700" s="127"/>
      <c r="G700" s="127"/>
      <c r="H700" s="127"/>
      <c r="I700" s="127"/>
      <c r="J700" s="127"/>
      <c r="K700" s="127"/>
      <c r="L700" s="127"/>
      <c r="M700" s="127"/>
      <c r="N700" s="127"/>
      <c r="O700" s="127"/>
      <c r="P700" s="127"/>
      <c r="Q700" s="127"/>
      <c r="R700" s="127"/>
      <c r="S700" s="127"/>
      <c r="T700" s="127"/>
    </row>
    <row r="701" spans="1:20">
      <c r="A701" s="127"/>
      <c r="B701" s="127"/>
      <c r="C701" s="127"/>
      <c r="D701" s="127"/>
      <c r="E701" s="127"/>
      <c r="F701" s="127"/>
      <c r="G701" s="127"/>
      <c r="H701" s="127"/>
      <c r="I701" s="127"/>
      <c r="J701" s="127"/>
      <c r="K701" s="127"/>
      <c r="L701" s="127"/>
      <c r="M701" s="127"/>
      <c r="N701" s="127"/>
      <c r="O701" s="127"/>
      <c r="P701" s="127"/>
      <c r="Q701" s="127"/>
      <c r="R701" s="127"/>
      <c r="S701" s="127"/>
      <c r="T701" s="127"/>
    </row>
    <row r="702" spans="1:20">
      <c r="A702" s="127"/>
      <c r="B702" s="127"/>
      <c r="C702" s="127"/>
      <c r="D702" s="127"/>
      <c r="E702" s="127"/>
      <c r="F702" s="127"/>
      <c r="G702" s="127"/>
      <c r="H702" s="127"/>
      <c r="I702" s="127"/>
      <c r="J702" s="127"/>
      <c r="K702" s="127"/>
      <c r="L702" s="127"/>
      <c r="M702" s="127"/>
      <c r="N702" s="127"/>
      <c r="O702" s="127"/>
      <c r="P702" s="127"/>
      <c r="Q702" s="127"/>
      <c r="R702" s="127"/>
      <c r="S702" s="127"/>
      <c r="T702" s="127"/>
    </row>
    <row r="703" spans="1:20">
      <c r="A703" s="127"/>
      <c r="B703" s="127"/>
      <c r="C703" s="127"/>
      <c r="D703" s="127"/>
      <c r="E703" s="127"/>
      <c r="F703" s="127"/>
      <c r="G703" s="127"/>
      <c r="H703" s="127"/>
      <c r="I703" s="127"/>
      <c r="J703" s="127"/>
      <c r="K703" s="127"/>
      <c r="L703" s="127"/>
      <c r="M703" s="127"/>
      <c r="N703" s="127"/>
      <c r="O703" s="127"/>
      <c r="P703" s="127"/>
      <c r="Q703" s="127"/>
      <c r="R703" s="127"/>
      <c r="S703" s="127"/>
      <c r="T703" s="127"/>
    </row>
    <row r="704" spans="1:20">
      <c r="A704" s="127"/>
      <c r="B704" s="127"/>
      <c r="C704" s="127"/>
      <c r="D704" s="127"/>
      <c r="E704" s="127"/>
      <c r="F704" s="127"/>
      <c r="G704" s="127"/>
      <c r="H704" s="127"/>
      <c r="I704" s="127"/>
      <c r="J704" s="127"/>
      <c r="K704" s="127"/>
      <c r="L704" s="127"/>
      <c r="M704" s="127"/>
      <c r="N704" s="127"/>
      <c r="O704" s="127"/>
      <c r="P704" s="127"/>
      <c r="Q704" s="127"/>
      <c r="R704" s="127"/>
      <c r="S704" s="127"/>
      <c r="T704" s="127"/>
    </row>
    <row r="705" spans="1:20">
      <c r="A705" s="127"/>
      <c r="B705" s="127"/>
      <c r="C705" s="127"/>
      <c r="D705" s="127"/>
      <c r="E705" s="127"/>
      <c r="F705" s="127"/>
      <c r="G705" s="127"/>
      <c r="H705" s="127"/>
      <c r="I705" s="127"/>
      <c r="J705" s="127"/>
      <c r="K705" s="127"/>
      <c r="L705" s="127"/>
      <c r="M705" s="127"/>
      <c r="N705" s="127"/>
      <c r="O705" s="127"/>
      <c r="P705" s="127"/>
      <c r="Q705" s="127"/>
      <c r="R705" s="127"/>
      <c r="S705" s="127"/>
      <c r="T705" s="127"/>
    </row>
    <row r="706" spans="1:20">
      <c r="A706" s="127"/>
      <c r="B706" s="127"/>
      <c r="C706" s="127"/>
      <c r="D706" s="127"/>
      <c r="E706" s="127"/>
      <c r="F706" s="127"/>
      <c r="G706" s="127"/>
      <c r="H706" s="127"/>
      <c r="I706" s="127"/>
      <c r="J706" s="127"/>
      <c r="K706" s="127"/>
      <c r="L706" s="127"/>
      <c r="M706" s="127"/>
      <c r="N706" s="127"/>
      <c r="O706" s="127"/>
      <c r="P706" s="127"/>
      <c r="Q706" s="127"/>
      <c r="R706" s="127"/>
      <c r="S706" s="127"/>
      <c r="T706" s="127"/>
    </row>
    <row r="707" spans="1:20">
      <c r="A707" s="127"/>
      <c r="B707" s="127"/>
      <c r="C707" s="127"/>
      <c r="D707" s="127"/>
      <c r="E707" s="127"/>
      <c r="F707" s="127"/>
      <c r="G707" s="127"/>
      <c r="H707" s="127"/>
      <c r="I707" s="127"/>
      <c r="J707" s="127"/>
      <c r="K707" s="127"/>
      <c r="L707" s="127"/>
      <c r="M707" s="127"/>
      <c r="N707" s="127"/>
      <c r="O707" s="127"/>
      <c r="P707" s="127"/>
      <c r="Q707" s="127"/>
      <c r="R707" s="127"/>
      <c r="S707" s="127"/>
      <c r="T707" s="127"/>
    </row>
    <row r="708" spans="1:20">
      <c r="A708" s="127"/>
      <c r="B708" s="127"/>
      <c r="C708" s="127"/>
      <c r="D708" s="127"/>
      <c r="E708" s="127"/>
      <c r="F708" s="127"/>
      <c r="G708" s="127"/>
      <c r="H708" s="127"/>
      <c r="I708" s="127"/>
      <c r="J708" s="127"/>
      <c r="K708" s="127"/>
      <c r="L708" s="127"/>
      <c r="M708" s="127"/>
      <c r="N708" s="127"/>
      <c r="O708" s="127"/>
      <c r="P708" s="127"/>
      <c r="Q708" s="127"/>
      <c r="R708" s="127"/>
      <c r="S708" s="127"/>
      <c r="T708" s="127"/>
    </row>
    <row r="709" spans="1:20">
      <c r="A709" s="127"/>
      <c r="B709" s="127"/>
      <c r="C709" s="127"/>
      <c r="D709" s="127"/>
      <c r="E709" s="127"/>
      <c r="F709" s="127"/>
      <c r="G709" s="127"/>
      <c r="H709" s="127"/>
      <c r="I709" s="127"/>
      <c r="J709" s="127"/>
      <c r="K709" s="127"/>
      <c r="L709" s="127"/>
      <c r="M709" s="127"/>
      <c r="N709" s="127"/>
      <c r="O709" s="127"/>
      <c r="P709" s="127"/>
      <c r="Q709" s="127"/>
      <c r="R709" s="127"/>
      <c r="S709" s="127"/>
      <c r="T709" s="127"/>
    </row>
    <row r="710" spans="1:20">
      <c r="A710" s="127"/>
      <c r="B710" s="127"/>
      <c r="C710" s="127"/>
      <c r="D710" s="127"/>
      <c r="E710" s="127"/>
      <c r="F710" s="127"/>
      <c r="G710" s="127"/>
      <c r="H710" s="127"/>
      <c r="I710" s="127"/>
      <c r="J710" s="127"/>
      <c r="K710" s="127"/>
      <c r="L710" s="127"/>
      <c r="M710" s="127"/>
      <c r="N710" s="127"/>
      <c r="O710" s="127"/>
      <c r="P710" s="127"/>
      <c r="Q710" s="127"/>
      <c r="R710" s="127"/>
      <c r="S710" s="127"/>
      <c r="T710" s="127"/>
    </row>
    <row r="711" spans="1:20">
      <c r="A711" s="127"/>
      <c r="B711" s="127"/>
      <c r="C711" s="127"/>
      <c r="D711" s="127"/>
      <c r="E711" s="127"/>
      <c r="F711" s="127"/>
      <c r="G711" s="127"/>
      <c r="H711" s="127"/>
      <c r="I711" s="127"/>
      <c r="J711" s="127"/>
      <c r="K711" s="127"/>
      <c r="L711" s="127"/>
      <c r="M711" s="127"/>
      <c r="N711" s="127"/>
      <c r="O711" s="127"/>
      <c r="P711" s="127"/>
      <c r="Q711" s="127"/>
      <c r="R711" s="127"/>
      <c r="S711" s="127"/>
      <c r="T711" s="127"/>
    </row>
    <row r="712" spans="1:20">
      <c r="A712" s="127"/>
      <c r="B712" s="127"/>
      <c r="C712" s="127"/>
      <c r="D712" s="127"/>
      <c r="E712" s="127"/>
      <c r="F712" s="127"/>
      <c r="G712" s="127"/>
      <c r="H712" s="127"/>
      <c r="I712" s="127"/>
      <c r="J712" s="127"/>
      <c r="K712" s="127"/>
      <c r="L712" s="127"/>
      <c r="M712" s="127"/>
      <c r="N712" s="127"/>
      <c r="O712" s="127"/>
      <c r="P712" s="127"/>
      <c r="Q712" s="127"/>
      <c r="R712" s="127"/>
      <c r="S712" s="127"/>
      <c r="T712" s="127"/>
    </row>
    <row r="713" spans="1:20">
      <c r="A713" s="127"/>
      <c r="B713" s="127"/>
      <c r="C713" s="127"/>
      <c r="D713" s="127"/>
      <c r="E713" s="127"/>
      <c r="F713" s="127"/>
      <c r="G713" s="127"/>
      <c r="H713" s="127"/>
      <c r="I713" s="127"/>
      <c r="J713" s="127"/>
      <c r="K713" s="127"/>
      <c r="L713" s="127"/>
      <c r="M713" s="127"/>
      <c r="N713" s="127"/>
      <c r="O713" s="127"/>
      <c r="P713" s="127"/>
      <c r="Q713" s="127"/>
      <c r="R713" s="127"/>
      <c r="S713" s="127"/>
      <c r="T713" s="127"/>
    </row>
    <row r="714" spans="1:20">
      <c r="A714" s="127"/>
      <c r="B714" s="127"/>
      <c r="C714" s="127"/>
      <c r="D714" s="127"/>
      <c r="E714" s="127"/>
      <c r="F714" s="127"/>
      <c r="G714" s="127"/>
      <c r="H714" s="127"/>
      <c r="I714" s="127"/>
      <c r="J714" s="127"/>
      <c r="K714" s="127"/>
      <c r="L714" s="127"/>
      <c r="M714" s="127"/>
      <c r="N714" s="127"/>
      <c r="O714" s="127"/>
      <c r="P714" s="127"/>
      <c r="Q714" s="127"/>
      <c r="R714" s="127"/>
      <c r="S714" s="127"/>
      <c r="T714" s="127"/>
    </row>
    <row r="715" spans="1:20">
      <c r="A715" s="127"/>
      <c r="B715" s="127"/>
      <c r="C715" s="127"/>
      <c r="D715" s="127"/>
      <c r="E715" s="127"/>
      <c r="F715" s="127"/>
      <c r="G715" s="127"/>
      <c r="H715" s="127"/>
      <c r="I715" s="127"/>
      <c r="J715" s="127"/>
      <c r="K715" s="127"/>
      <c r="L715" s="127"/>
      <c r="M715" s="127"/>
      <c r="N715" s="127"/>
      <c r="O715" s="127"/>
      <c r="P715" s="127"/>
      <c r="Q715" s="127"/>
      <c r="R715" s="127"/>
      <c r="S715" s="127"/>
      <c r="T715" s="127"/>
    </row>
    <row r="716" spans="1:20">
      <c r="A716" s="127"/>
      <c r="B716" s="127"/>
      <c r="C716" s="127"/>
      <c r="D716" s="127"/>
      <c r="E716" s="127"/>
      <c r="F716" s="127"/>
      <c r="G716" s="127"/>
      <c r="H716" s="127"/>
      <c r="I716" s="127"/>
      <c r="J716" s="127"/>
      <c r="K716" s="127"/>
      <c r="L716" s="127"/>
      <c r="M716" s="127"/>
      <c r="N716" s="127"/>
      <c r="O716" s="127"/>
      <c r="P716" s="127"/>
      <c r="Q716" s="127"/>
      <c r="R716" s="127"/>
      <c r="S716" s="127"/>
      <c r="T716" s="127"/>
    </row>
    <row r="717" spans="1:20">
      <c r="A717" s="127"/>
      <c r="B717" s="127"/>
      <c r="C717" s="127"/>
      <c r="D717" s="127"/>
      <c r="E717" s="127"/>
      <c r="F717" s="127"/>
      <c r="G717" s="127"/>
      <c r="H717" s="127"/>
      <c r="I717" s="127"/>
      <c r="J717" s="127"/>
      <c r="K717" s="127"/>
      <c r="L717" s="127"/>
      <c r="M717" s="127"/>
      <c r="N717" s="127"/>
      <c r="O717" s="127"/>
      <c r="P717" s="127"/>
      <c r="Q717" s="127"/>
      <c r="R717" s="127"/>
      <c r="S717" s="127"/>
      <c r="T717" s="127"/>
    </row>
    <row r="718" spans="1:20">
      <c r="A718" s="127"/>
      <c r="B718" s="127"/>
      <c r="C718" s="127"/>
      <c r="D718" s="127"/>
      <c r="E718" s="127"/>
      <c r="F718" s="127"/>
      <c r="G718" s="127"/>
      <c r="H718" s="127"/>
      <c r="I718" s="127"/>
      <c r="J718" s="127"/>
      <c r="K718" s="127"/>
      <c r="L718" s="127"/>
      <c r="M718" s="127"/>
      <c r="N718" s="127"/>
      <c r="O718" s="127"/>
      <c r="P718" s="127"/>
      <c r="Q718" s="127"/>
      <c r="R718" s="127"/>
      <c r="S718" s="127"/>
      <c r="T718" s="127"/>
    </row>
    <row r="719" spans="1:20">
      <c r="A719" s="127"/>
      <c r="B719" s="127"/>
      <c r="C719" s="127"/>
      <c r="D719" s="127"/>
      <c r="E719" s="127"/>
      <c r="F719" s="127"/>
      <c r="G719" s="127"/>
      <c r="H719" s="127"/>
      <c r="I719" s="127"/>
      <c r="J719" s="127"/>
      <c r="K719" s="127"/>
      <c r="L719" s="127"/>
      <c r="M719" s="127"/>
      <c r="N719" s="127"/>
      <c r="O719" s="127"/>
      <c r="P719" s="127"/>
      <c r="Q719" s="127"/>
      <c r="R719" s="127"/>
      <c r="S719" s="127"/>
      <c r="T719" s="127"/>
    </row>
    <row r="720" spans="1:20">
      <c r="A720" s="127"/>
      <c r="B720" s="127"/>
      <c r="C720" s="127"/>
      <c r="D720" s="127"/>
      <c r="E720" s="127"/>
      <c r="F720" s="127"/>
      <c r="G720" s="127"/>
      <c r="H720" s="127"/>
      <c r="I720" s="127"/>
      <c r="J720" s="127"/>
      <c r="K720" s="127"/>
      <c r="L720" s="127"/>
      <c r="M720" s="127"/>
      <c r="N720" s="127"/>
      <c r="O720" s="127"/>
      <c r="P720" s="127"/>
      <c r="Q720" s="127"/>
      <c r="R720" s="127"/>
      <c r="S720" s="127"/>
      <c r="T720" s="127"/>
    </row>
    <row r="721" spans="1:20">
      <c r="A721" s="127"/>
      <c r="B721" s="127"/>
      <c r="C721" s="127"/>
      <c r="D721" s="127"/>
      <c r="E721" s="127"/>
      <c r="F721" s="127"/>
      <c r="G721" s="127"/>
      <c r="H721" s="127"/>
      <c r="I721" s="127"/>
      <c r="J721" s="127"/>
      <c r="K721" s="127"/>
      <c r="L721" s="127"/>
      <c r="M721" s="127"/>
      <c r="N721" s="127"/>
      <c r="O721" s="127"/>
      <c r="P721" s="127"/>
      <c r="Q721" s="127"/>
      <c r="R721" s="127"/>
      <c r="S721" s="127"/>
      <c r="T721" s="127"/>
    </row>
    <row r="722" spans="1:20">
      <c r="A722" s="127"/>
      <c r="B722" s="127"/>
      <c r="C722" s="127"/>
      <c r="D722" s="127"/>
      <c r="E722" s="127"/>
      <c r="F722" s="127"/>
      <c r="G722" s="127"/>
      <c r="H722" s="127"/>
      <c r="I722" s="127"/>
      <c r="J722" s="127"/>
      <c r="K722" s="127"/>
      <c r="L722" s="127"/>
      <c r="M722" s="127"/>
      <c r="N722" s="127"/>
      <c r="O722" s="127"/>
      <c r="P722" s="127"/>
      <c r="Q722" s="127"/>
      <c r="R722" s="127"/>
      <c r="S722" s="127"/>
      <c r="T722" s="127"/>
    </row>
    <row r="723" spans="1:20">
      <c r="A723" s="127"/>
      <c r="B723" s="127"/>
      <c r="C723" s="127"/>
      <c r="D723" s="127"/>
      <c r="E723" s="127"/>
      <c r="F723" s="127"/>
      <c r="G723" s="127"/>
      <c r="H723" s="127"/>
      <c r="I723" s="127"/>
      <c r="J723" s="127"/>
      <c r="K723" s="127"/>
      <c r="L723" s="127"/>
      <c r="M723" s="127"/>
      <c r="N723" s="127"/>
      <c r="O723" s="127"/>
      <c r="P723" s="127"/>
      <c r="Q723" s="127"/>
      <c r="R723" s="127"/>
      <c r="S723" s="127"/>
      <c r="T723" s="127"/>
    </row>
    <row r="724" spans="1:20">
      <c r="A724" s="127"/>
      <c r="B724" s="127"/>
      <c r="C724" s="127"/>
      <c r="D724" s="127"/>
      <c r="E724" s="127"/>
      <c r="F724" s="127"/>
      <c r="G724" s="127"/>
      <c r="H724" s="127"/>
      <c r="I724" s="127"/>
      <c r="J724" s="127"/>
      <c r="K724" s="127"/>
      <c r="L724" s="127"/>
      <c r="M724" s="127"/>
      <c r="N724" s="127"/>
      <c r="O724" s="127"/>
      <c r="P724" s="127"/>
      <c r="Q724" s="127"/>
      <c r="R724" s="127"/>
      <c r="S724" s="127"/>
      <c r="T724" s="127"/>
    </row>
    <row r="725" spans="1:20">
      <c r="A725" s="127"/>
      <c r="B725" s="127"/>
      <c r="C725" s="127"/>
      <c r="D725" s="127"/>
      <c r="E725" s="127"/>
      <c r="F725" s="127"/>
      <c r="G725" s="127"/>
      <c r="H725" s="127"/>
      <c r="I725" s="127"/>
      <c r="J725" s="127"/>
      <c r="K725" s="127"/>
      <c r="L725" s="127"/>
      <c r="M725" s="127"/>
      <c r="N725" s="127"/>
      <c r="O725" s="127"/>
      <c r="P725" s="127"/>
      <c r="Q725" s="127"/>
      <c r="R725" s="127"/>
      <c r="S725" s="127"/>
      <c r="T725" s="127"/>
    </row>
    <row r="726" spans="1:20">
      <c r="A726" s="127"/>
      <c r="B726" s="127"/>
      <c r="C726" s="127"/>
      <c r="D726" s="127"/>
      <c r="E726" s="127"/>
      <c r="F726" s="127"/>
      <c r="G726" s="127"/>
      <c r="H726" s="127"/>
      <c r="I726" s="127"/>
      <c r="J726" s="127"/>
      <c r="K726" s="127"/>
      <c r="L726" s="127"/>
      <c r="M726" s="127"/>
      <c r="N726" s="127"/>
      <c r="O726" s="127"/>
      <c r="P726" s="127"/>
      <c r="Q726" s="127"/>
      <c r="R726" s="127"/>
      <c r="S726" s="127"/>
      <c r="T726" s="127"/>
    </row>
    <row r="727" spans="1:20">
      <c r="A727" s="127"/>
      <c r="B727" s="127"/>
      <c r="C727" s="127"/>
      <c r="D727" s="127"/>
      <c r="E727" s="127"/>
      <c r="F727" s="127"/>
      <c r="G727" s="127"/>
      <c r="H727" s="127"/>
      <c r="I727" s="127"/>
      <c r="J727" s="127"/>
      <c r="K727" s="127"/>
      <c r="L727" s="127"/>
      <c r="M727" s="127"/>
      <c r="N727" s="127"/>
      <c r="O727" s="127"/>
      <c r="P727" s="127"/>
      <c r="Q727" s="127"/>
      <c r="R727" s="127"/>
      <c r="S727" s="127"/>
      <c r="T727" s="127"/>
    </row>
    <row r="728" spans="1:20">
      <c r="A728" s="127"/>
      <c r="B728" s="127"/>
      <c r="C728" s="127"/>
      <c r="D728" s="127"/>
      <c r="E728" s="127"/>
      <c r="F728" s="127"/>
      <c r="G728" s="127"/>
      <c r="H728" s="127"/>
      <c r="I728" s="127"/>
      <c r="J728" s="127"/>
      <c r="K728" s="127"/>
      <c r="L728" s="127"/>
      <c r="M728" s="127"/>
      <c r="N728" s="127"/>
      <c r="O728" s="127"/>
      <c r="P728" s="127"/>
      <c r="Q728" s="127"/>
      <c r="R728" s="127"/>
      <c r="S728" s="127"/>
      <c r="T728" s="127"/>
    </row>
    <row r="729" spans="1:20">
      <c r="A729" s="127"/>
      <c r="B729" s="127"/>
      <c r="C729" s="127"/>
      <c r="D729" s="127"/>
      <c r="E729" s="127"/>
      <c r="F729" s="127"/>
      <c r="G729" s="127"/>
      <c r="H729" s="127"/>
      <c r="I729" s="127"/>
      <c r="J729" s="127"/>
      <c r="K729" s="127"/>
      <c r="L729" s="127"/>
      <c r="M729" s="127"/>
      <c r="N729" s="127"/>
      <c r="O729" s="127"/>
      <c r="P729" s="127"/>
      <c r="Q729" s="127"/>
      <c r="R729" s="127"/>
      <c r="S729" s="127"/>
      <c r="T729" s="127"/>
    </row>
    <row r="730" spans="1:20">
      <c r="A730" s="127"/>
      <c r="B730" s="127"/>
      <c r="C730" s="127"/>
      <c r="D730" s="127"/>
      <c r="E730" s="127"/>
      <c r="F730" s="127"/>
      <c r="G730" s="127"/>
      <c r="H730" s="127"/>
      <c r="I730" s="127"/>
      <c r="J730" s="127"/>
      <c r="K730" s="127"/>
      <c r="L730" s="127"/>
      <c r="M730" s="127"/>
      <c r="N730" s="127"/>
      <c r="O730" s="127"/>
      <c r="P730" s="127"/>
      <c r="Q730" s="127"/>
      <c r="R730" s="127"/>
      <c r="S730" s="127"/>
      <c r="T730" s="127"/>
    </row>
    <row r="731" spans="1:20">
      <c r="A731" s="127"/>
      <c r="B731" s="127"/>
      <c r="C731" s="127"/>
      <c r="D731" s="127"/>
      <c r="E731" s="127"/>
      <c r="F731" s="127"/>
      <c r="G731" s="127"/>
      <c r="H731" s="127"/>
      <c r="I731" s="127"/>
      <c r="J731" s="127"/>
      <c r="K731" s="127"/>
      <c r="L731" s="127"/>
      <c r="M731" s="127"/>
      <c r="N731" s="127"/>
      <c r="O731" s="127"/>
      <c r="P731" s="127"/>
      <c r="Q731" s="127"/>
      <c r="R731" s="127"/>
      <c r="S731" s="127"/>
      <c r="T731" s="127"/>
    </row>
    <row r="732" spans="1:20">
      <c r="A732" s="127"/>
      <c r="B732" s="127"/>
      <c r="C732" s="127"/>
      <c r="D732" s="127"/>
      <c r="E732" s="127"/>
      <c r="F732" s="127"/>
      <c r="G732" s="127"/>
      <c r="H732" s="127"/>
      <c r="I732" s="127"/>
      <c r="J732" s="127"/>
      <c r="K732" s="127"/>
      <c r="L732" s="127"/>
      <c r="M732" s="127"/>
      <c r="N732" s="127"/>
      <c r="O732" s="127"/>
      <c r="P732" s="127"/>
      <c r="Q732" s="127"/>
      <c r="R732" s="127"/>
      <c r="S732" s="127"/>
      <c r="T732" s="127"/>
    </row>
    <row r="733" spans="1:20">
      <c r="A733" s="127"/>
      <c r="B733" s="127"/>
      <c r="C733" s="127"/>
      <c r="D733" s="127"/>
      <c r="E733" s="127"/>
      <c r="F733" s="127"/>
      <c r="G733" s="127"/>
      <c r="H733" s="127"/>
      <c r="I733" s="127"/>
      <c r="J733" s="127"/>
      <c r="K733" s="127"/>
      <c r="L733" s="127"/>
      <c r="M733" s="127"/>
      <c r="N733" s="127"/>
      <c r="O733" s="127"/>
      <c r="P733" s="127"/>
      <c r="Q733" s="127"/>
      <c r="R733" s="127"/>
      <c r="S733" s="127"/>
      <c r="T733" s="127"/>
    </row>
    <row r="734" spans="1:20">
      <c r="A734" s="127"/>
      <c r="B734" s="127"/>
      <c r="C734" s="127"/>
      <c r="D734" s="127"/>
      <c r="E734" s="127"/>
      <c r="F734" s="127"/>
      <c r="G734" s="127"/>
      <c r="H734" s="127"/>
      <c r="I734" s="127"/>
      <c r="J734" s="127"/>
      <c r="K734" s="127"/>
      <c r="L734" s="127"/>
      <c r="M734" s="127"/>
      <c r="N734" s="127"/>
      <c r="O734" s="127"/>
      <c r="P734" s="127"/>
      <c r="Q734" s="127"/>
      <c r="R734" s="127"/>
      <c r="S734" s="127"/>
      <c r="T734" s="127"/>
    </row>
    <row r="735" spans="1:20">
      <c r="A735" s="127"/>
      <c r="B735" s="127"/>
      <c r="C735" s="127"/>
      <c r="D735" s="127"/>
      <c r="E735" s="127"/>
      <c r="F735" s="127"/>
      <c r="G735" s="127"/>
      <c r="H735" s="127"/>
      <c r="I735" s="127"/>
      <c r="J735" s="127"/>
      <c r="K735" s="127"/>
      <c r="L735" s="127"/>
      <c r="M735" s="127"/>
      <c r="N735" s="127"/>
      <c r="O735" s="127"/>
      <c r="P735" s="127"/>
      <c r="Q735" s="127"/>
      <c r="R735" s="127"/>
      <c r="S735" s="127"/>
      <c r="T735" s="127"/>
    </row>
    <row r="736" spans="1:20">
      <c r="A736" s="127"/>
      <c r="B736" s="127"/>
      <c r="C736" s="127"/>
      <c r="D736" s="127"/>
      <c r="E736" s="127"/>
      <c r="F736" s="127"/>
      <c r="G736" s="127"/>
      <c r="H736" s="127"/>
      <c r="I736" s="127"/>
      <c r="J736" s="127"/>
      <c r="K736" s="127"/>
      <c r="L736" s="127"/>
      <c r="M736" s="127"/>
      <c r="N736" s="127"/>
      <c r="O736" s="127"/>
      <c r="P736" s="127"/>
      <c r="Q736" s="127"/>
      <c r="R736" s="127"/>
      <c r="S736" s="127"/>
      <c r="T736" s="127"/>
    </row>
    <row r="737" spans="1:20">
      <c r="A737" s="127"/>
      <c r="B737" s="127"/>
      <c r="C737" s="127"/>
      <c r="D737" s="127"/>
      <c r="E737" s="127"/>
      <c r="F737" s="127"/>
      <c r="G737" s="127"/>
      <c r="H737" s="127"/>
      <c r="I737" s="127"/>
      <c r="J737" s="127"/>
      <c r="K737" s="127"/>
      <c r="L737" s="127"/>
      <c r="M737" s="127"/>
      <c r="N737" s="127"/>
      <c r="O737" s="127"/>
      <c r="P737" s="127"/>
      <c r="Q737" s="127"/>
      <c r="R737" s="127"/>
      <c r="S737" s="127"/>
      <c r="T737" s="127"/>
    </row>
    <row r="738" spans="1:20">
      <c r="A738" s="127"/>
      <c r="B738" s="127"/>
      <c r="C738" s="127"/>
      <c r="D738" s="127"/>
      <c r="E738" s="127"/>
      <c r="F738" s="127"/>
      <c r="G738" s="127"/>
      <c r="H738" s="127"/>
      <c r="I738" s="127"/>
      <c r="J738" s="127"/>
      <c r="K738" s="127"/>
      <c r="L738" s="127"/>
      <c r="M738" s="127"/>
      <c r="N738" s="127"/>
      <c r="O738" s="127"/>
      <c r="P738" s="127"/>
      <c r="Q738" s="127"/>
      <c r="R738" s="127"/>
      <c r="S738" s="127"/>
      <c r="T738" s="127"/>
    </row>
    <row r="739" spans="1:20">
      <c r="A739" s="127"/>
      <c r="B739" s="127"/>
      <c r="C739" s="127"/>
      <c r="D739" s="127"/>
      <c r="E739" s="127"/>
      <c r="F739" s="127"/>
      <c r="G739" s="127"/>
      <c r="H739" s="127"/>
      <c r="I739" s="127"/>
      <c r="J739" s="127"/>
      <c r="K739" s="127"/>
      <c r="L739" s="127"/>
      <c r="M739" s="127"/>
      <c r="N739" s="127"/>
      <c r="O739" s="127"/>
      <c r="P739" s="127"/>
      <c r="Q739" s="127"/>
      <c r="R739" s="127"/>
      <c r="S739" s="127"/>
      <c r="T739" s="127"/>
    </row>
    <row r="740" spans="1:20">
      <c r="A740" s="127"/>
      <c r="B740" s="127"/>
      <c r="C740" s="127"/>
      <c r="D740" s="127"/>
      <c r="E740" s="127"/>
      <c r="F740" s="127"/>
      <c r="G740" s="127"/>
      <c r="H740" s="127"/>
      <c r="I740" s="127"/>
      <c r="J740" s="127"/>
      <c r="K740" s="127"/>
      <c r="L740" s="127"/>
      <c r="M740" s="127"/>
      <c r="N740" s="127"/>
      <c r="O740" s="127"/>
      <c r="P740" s="127"/>
      <c r="Q740" s="127"/>
      <c r="R740" s="127"/>
      <c r="S740" s="127"/>
      <c r="T740" s="127"/>
    </row>
    <row r="741" spans="1:20">
      <c r="A741" s="127"/>
      <c r="B741" s="127"/>
      <c r="C741" s="127"/>
      <c r="D741" s="127"/>
      <c r="E741" s="127"/>
      <c r="F741" s="127"/>
      <c r="G741" s="127"/>
      <c r="H741" s="127"/>
      <c r="I741" s="127"/>
      <c r="J741" s="127"/>
      <c r="K741" s="127"/>
      <c r="L741" s="127"/>
      <c r="M741" s="127"/>
      <c r="N741" s="127"/>
      <c r="O741" s="127"/>
      <c r="P741" s="127"/>
      <c r="Q741" s="127"/>
      <c r="R741" s="127"/>
      <c r="S741" s="127"/>
      <c r="T741" s="127"/>
    </row>
    <row r="742" spans="1:20">
      <c r="A742" s="127"/>
      <c r="B742" s="127"/>
      <c r="C742" s="127"/>
      <c r="D742" s="127"/>
      <c r="E742" s="127"/>
      <c r="F742" s="127"/>
      <c r="G742" s="127"/>
      <c r="H742" s="127"/>
      <c r="I742" s="127"/>
      <c r="J742" s="127"/>
      <c r="K742" s="127"/>
      <c r="L742" s="127"/>
      <c r="M742" s="127"/>
      <c r="N742" s="127"/>
      <c r="O742" s="127"/>
      <c r="P742" s="127"/>
      <c r="Q742" s="127"/>
      <c r="R742" s="127"/>
      <c r="S742" s="127"/>
      <c r="T742" s="127"/>
    </row>
    <row r="743" spans="1:20">
      <c r="A743" s="127"/>
      <c r="B743" s="127"/>
      <c r="C743" s="127"/>
      <c r="D743" s="127"/>
      <c r="E743" s="127"/>
      <c r="F743" s="127"/>
      <c r="G743" s="127"/>
      <c r="H743" s="127"/>
      <c r="I743" s="127"/>
      <c r="J743" s="127"/>
      <c r="K743" s="127"/>
      <c r="L743" s="127"/>
      <c r="M743" s="127"/>
      <c r="N743" s="127"/>
      <c r="O743" s="127"/>
      <c r="P743" s="127"/>
      <c r="Q743" s="127"/>
      <c r="R743" s="127"/>
      <c r="S743" s="127"/>
      <c r="T743" s="127"/>
    </row>
    <row r="744" spans="1:20">
      <c r="A744" s="127"/>
      <c r="B744" s="127"/>
      <c r="C744" s="127"/>
      <c r="D744" s="127"/>
      <c r="E744" s="127"/>
      <c r="F744" s="127"/>
      <c r="G744" s="127"/>
      <c r="H744" s="127"/>
      <c r="I744" s="127"/>
      <c r="J744" s="127"/>
      <c r="K744" s="127"/>
      <c r="L744" s="127"/>
      <c r="M744" s="127"/>
      <c r="N744" s="127"/>
      <c r="O744" s="127"/>
      <c r="P744" s="127"/>
      <c r="Q744" s="127"/>
      <c r="R744" s="127"/>
      <c r="S744" s="127"/>
      <c r="T744" s="127"/>
    </row>
    <row r="745" spans="1:20">
      <c r="A745" s="127"/>
      <c r="B745" s="127"/>
      <c r="C745" s="127"/>
      <c r="D745" s="127"/>
      <c r="E745" s="127"/>
      <c r="F745" s="127"/>
      <c r="G745" s="127"/>
      <c r="H745" s="127"/>
      <c r="I745" s="127"/>
      <c r="J745" s="127"/>
      <c r="K745" s="127"/>
      <c r="L745" s="127"/>
      <c r="M745" s="127"/>
      <c r="N745" s="127"/>
      <c r="O745" s="127"/>
      <c r="P745" s="127"/>
      <c r="Q745" s="127"/>
      <c r="R745" s="127"/>
      <c r="S745" s="127"/>
      <c r="T745" s="127"/>
    </row>
    <row r="746" spans="1:20">
      <c r="A746" s="127"/>
      <c r="B746" s="127"/>
      <c r="C746" s="127"/>
      <c r="D746" s="127"/>
      <c r="E746" s="127"/>
      <c r="F746" s="127"/>
      <c r="G746" s="127"/>
      <c r="H746" s="127"/>
      <c r="I746" s="127"/>
      <c r="J746" s="127"/>
      <c r="K746" s="127"/>
      <c r="L746" s="127"/>
      <c r="M746" s="127"/>
      <c r="N746" s="127"/>
      <c r="O746" s="127"/>
      <c r="P746" s="127"/>
      <c r="Q746" s="127"/>
      <c r="R746" s="127"/>
      <c r="S746" s="127"/>
      <c r="T746" s="127"/>
    </row>
    <row r="747" spans="1:20">
      <c r="A747" s="127"/>
      <c r="B747" s="127"/>
      <c r="C747" s="127"/>
      <c r="D747" s="127"/>
      <c r="E747" s="127"/>
      <c r="F747" s="127"/>
      <c r="G747" s="127"/>
      <c r="H747" s="127"/>
      <c r="I747" s="127"/>
      <c r="J747" s="127"/>
      <c r="K747" s="127"/>
      <c r="L747" s="127"/>
      <c r="M747" s="127"/>
      <c r="N747" s="127"/>
      <c r="O747" s="127"/>
      <c r="P747" s="127"/>
      <c r="Q747" s="127"/>
      <c r="R747" s="127"/>
      <c r="S747" s="127"/>
      <c r="T747" s="127"/>
    </row>
    <row r="748" spans="1:20">
      <c r="A748" s="127"/>
      <c r="B748" s="127"/>
      <c r="C748" s="127"/>
      <c r="D748" s="127"/>
      <c r="E748" s="127"/>
      <c r="F748" s="127"/>
      <c r="G748" s="127"/>
      <c r="H748" s="127"/>
      <c r="I748" s="127"/>
      <c r="J748" s="127"/>
      <c r="K748" s="127"/>
      <c r="L748" s="127"/>
      <c r="M748" s="127"/>
      <c r="N748" s="127"/>
      <c r="O748" s="127"/>
      <c r="P748" s="127"/>
      <c r="Q748" s="127"/>
      <c r="R748" s="127"/>
      <c r="S748" s="127"/>
      <c r="T748" s="127"/>
    </row>
    <row r="749" spans="1:20">
      <c r="A749" s="127"/>
      <c r="B749" s="127"/>
      <c r="C749" s="127"/>
      <c r="D749" s="127"/>
      <c r="E749" s="127"/>
      <c r="F749" s="127"/>
      <c r="G749" s="127"/>
      <c r="H749" s="127"/>
      <c r="I749" s="127"/>
      <c r="J749" s="127"/>
      <c r="K749" s="127"/>
      <c r="L749" s="127"/>
      <c r="M749" s="127"/>
      <c r="N749" s="127"/>
      <c r="O749" s="127"/>
      <c r="P749" s="127"/>
      <c r="Q749" s="127"/>
      <c r="R749" s="127"/>
      <c r="S749" s="127"/>
      <c r="T749" s="127"/>
    </row>
    <row r="750" spans="1:20">
      <c r="A750" s="127"/>
      <c r="B750" s="127"/>
      <c r="C750" s="127"/>
      <c r="D750" s="127"/>
      <c r="E750" s="127"/>
      <c r="F750" s="127"/>
      <c r="G750" s="127"/>
      <c r="H750" s="127"/>
      <c r="I750" s="127"/>
      <c r="J750" s="127"/>
      <c r="K750" s="127"/>
      <c r="L750" s="127"/>
      <c r="M750" s="127"/>
      <c r="N750" s="127"/>
      <c r="O750" s="127"/>
      <c r="P750" s="127"/>
      <c r="Q750" s="127"/>
      <c r="R750" s="127"/>
      <c r="S750" s="127"/>
      <c r="T750" s="127"/>
    </row>
    <row r="751" spans="1:20">
      <c r="A751" s="127"/>
      <c r="B751" s="127"/>
      <c r="C751" s="127"/>
      <c r="D751" s="127"/>
      <c r="E751" s="127"/>
      <c r="F751" s="127"/>
      <c r="G751" s="127"/>
      <c r="H751" s="127"/>
      <c r="I751" s="127"/>
      <c r="J751" s="127"/>
      <c r="K751" s="127"/>
      <c r="L751" s="127"/>
      <c r="M751" s="127"/>
      <c r="N751" s="127"/>
      <c r="O751" s="127"/>
      <c r="P751" s="127"/>
      <c r="Q751" s="127"/>
      <c r="R751" s="127"/>
      <c r="S751" s="127"/>
      <c r="T751" s="127"/>
    </row>
    <row r="752" spans="1:20">
      <c r="A752" s="127"/>
      <c r="B752" s="127"/>
      <c r="C752" s="127"/>
      <c r="D752" s="127"/>
      <c r="E752" s="127"/>
      <c r="F752" s="127"/>
      <c r="G752" s="127"/>
      <c r="H752" s="127"/>
      <c r="I752" s="127"/>
      <c r="J752" s="127"/>
      <c r="K752" s="127"/>
      <c r="L752" s="127"/>
      <c r="M752" s="127"/>
      <c r="N752" s="127"/>
      <c r="O752" s="127"/>
      <c r="P752" s="127"/>
      <c r="Q752" s="127"/>
      <c r="R752" s="127"/>
      <c r="S752" s="127"/>
      <c r="T752" s="127"/>
    </row>
    <row r="753" spans="1:20">
      <c r="A753" s="127"/>
      <c r="B753" s="127"/>
      <c r="C753" s="127"/>
      <c r="D753" s="127"/>
      <c r="E753" s="127"/>
      <c r="F753" s="127"/>
      <c r="G753" s="127"/>
      <c r="H753" s="127"/>
      <c r="I753" s="127"/>
      <c r="J753" s="127"/>
      <c r="K753" s="127"/>
      <c r="L753" s="127"/>
      <c r="M753" s="127"/>
      <c r="N753" s="127"/>
      <c r="O753" s="127"/>
      <c r="P753" s="127"/>
      <c r="Q753" s="127"/>
      <c r="R753" s="127"/>
      <c r="S753" s="127"/>
      <c r="T753" s="127"/>
    </row>
    <row r="754" spans="1:20">
      <c r="A754" s="127"/>
      <c r="B754" s="127"/>
      <c r="C754" s="127"/>
      <c r="D754" s="127"/>
      <c r="E754" s="127"/>
      <c r="F754" s="127"/>
      <c r="G754" s="127"/>
      <c r="H754" s="127"/>
      <c r="I754" s="127"/>
      <c r="J754" s="127"/>
      <c r="K754" s="127"/>
      <c r="L754" s="127"/>
      <c r="M754" s="127"/>
      <c r="N754" s="127"/>
      <c r="O754" s="127"/>
      <c r="P754" s="127"/>
      <c r="Q754" s="127"/>
      <c r="R754" s="127"/>
      <c r="S754" s="127"/>
      <c r="T754" s="127"/>
    </row>
    <row r="755" spans="1:20">
      <c r="A755" s="127"/>
      <c r="B755" s="127"/>
      <c r="C755" s="127"/>
      <c r="D755" s="127"/>
      <c r="E755" s="127"/>
      <c r="F755" s="127"/>
      <c r="G755" s="127"/>
      <c r="H755" s="127"/>
      <c r="I755" s="127"/>
      <c r="J755" s="127"/>
      <c r="K755" s="127"/>
      <c r="L755" s="127"/>
      <c r="M755" s="127"/>
      <c r="N755" s="127"/>
      <c r="O755" s="127"/>
      <c r="P755" s="127"/>
      <c r="Q755" s="127"/>
      <c r="R755" s="127"/>
      <c r="S755" s="127"/>
      <c r="T755" s="127"/>
    </row>
    <row r="756" spans="1:20">
      <c r="A756" s="127"/>
      <c r="B756" s="127"/>
      <c r="C756" s="127"/>
      <c r="D756" s="127"/>
      <c r="E756" s="127"/>
      <c r="F756" s="127"/>
      <c r="G756" s="127"/>
      <c r="H756" s="127"/>
      <c r="I756" s="127"/>
      <c r="J756" s="127"/>
      <c r="K756" s="127"/>
      <c r="L756" s="127"/>
      <c r="M756" s="127"/>
      <c r="N756" s="127"/>
      <c r="O756" s="127"/>
      <c r="P756" s="127"/>
      <c r="Q756" s="127"/>
      <c r="R756" s="127"/>
      <c r="S756" s="127"/>
      <c r="T756" s="127"/>
    </row>
    <row r="757" spans="1:20">
      <c r="A757" s="127"/>
      <c r="B757" s="127"/>
      <c r="C757" s="127"/>
      <c r="D757" s="127"/>
      <c r="E757" s="127"/>
      <c r="F757" s="127"/>
      <c r="G757" s="127"/>
      <c r="H757" s="127"/>
      <c r="I757" s="127"/>
      <c r="J757" s="127"/>
      <c r="K757" s="127"/>
      <c r="L757" s="127"/>
      <c r="M757" s="127"/>
      <c r="N757" s="127"/>
      <c r="O757" s="127"/>
      <c r="P757" s="127"/>
      <c r="Q757" s="127"/>
      <c r="R757" s="127"/>
      <c r="S757" s="127"/>
      <c r="T757" s="127"/>
    </row>
    <row r="758" spans="1:20">
      <c r="A758" s="127"/>
      <c r="B758" s="127"/>
      <c r="C758" s="127"/>
      <c r="D758" s="127"/>
      <c r="E758" s="127"/>
      <c r="F758" s="127"/>
      <c r="G758" s="127"/>
      <c r="H758" s="127"/>
      <c r="I758" s="127"/>
      <c r="J758" s="127"/>
      <c r="K758" s="127"/>
      <c r="L758" s="127"/>
      <c r="M758" s="127"/>
      <c r="N758" s="127"/>
      <c r="O758" s="127"/>
      <c r="P758" s="127"/>
      <c r="Q758" s="127"/>
      <c r="R758" s="127"/>
      <c r="S758" s="127"/>
      <c r="T758" s="127"/>
    </row>
    <row r="759" spans="1:20">
      <c r="A759" s="127"/>
      <c r="B759" s="127"/>
      <c r="C759" s="127"/>
      <c r="D759" s="127"/>
      <c r="E759" s="127"/>
      <c r="F759" s="127"/>
      <c r="G759" s="127"/>
      <c r="H759" s="127"/>
      <c r="I759" s="127"/>
      <c r="J759" s="127"/>
      <c r="K759" s="127"/>
      <c r="L759" s="127"/>
      <c r="M759" s="127"/>
      <c r="N759" s="127"/>
      <c r="O759" s="127"/>
      <c r="P759" s="127"/>
      <c r="Q759" s="127"/>
      <c r="R759" s="127"/>
      <c r="S759" s="127"/>
      <c r="T759" s="127"/>
    </row>
    <row r="760" spans="1:20">
      <c r="A760" s="127"/>
      <c r="B760" s="127"/>
      <c r="C760" s="127"/>
      <c r="D760" s="127"/>
      <c r="E760" s="127"/>
      <c r="F760" s="127"/>
      <c r="G760" s="127"/>
      <c r="H760" s="127"/>
      <c r="I760" s="127"/>
      <c r="J760" s="127"/>
      <c r="K760" s="127"/>
      <c r="L760" s="127"/>
      <c r="M760" s="127"/>
      <c r="N760" s="127"/>
      <c r="O760" s="127"/>
      <c r="P760" s="127"/>
      <c r="Q760" s="127"/>
      <c r="R760" s="127"/>
      <c r="S760" s="127"/>
      <c r="T760" s="127"/>
    </row>
    <row r="761" spans="1:20">
      <c r="A761" s="127"/>
      <c r="B761" s="127"/>
      <c r="C761" s="127"/>
      <c r="D761" s="127"/>
      <c r="E761" s="127"/>
      <c r="F761" s="127"/>
      <c r="G761" s="127"/>
      <c r="H761" s="127"/>
      <c r="I761" s="127"/>
      <c r="J761" s="127"/>
      <c r="K761" s="127"/>
      <c r="L761" s="127"/>
      <c r="M761" s="127"/>
      <c r="N761" s="127"/>
      <c r="O761" s="127"/>
      <c r="P761" s="127"/>
      <c r="Q761" s="127"/>
      <c r="R761" s="127"/>
      <c r="S761" s="127"/>
      <c r="T761" s="127"/>
    </row>
    <row r="762" spans="1:20">
      <c r="A762" s="127"/>
      <c r="B762" s="127"/>
      <c r="C762" s="127"/>
      <c r="D762" s="127"/>
      <c r="E762" s="127"/>
      <c r="F762" s="127"/>
      <c r="G762" s="127"/>
      <c r="H762" s="127"/>
      <c r="I762" s="127"/>
      <c r="J762" s="127"/>
      <c r="K762" s="127"/>
      <c r="L762" s="127"/>
      <c r="M762" s="127"/>
      <c r="N762" s="127"/>
      <c r="O762" s="127"/>
      <c r="P762" s="127"/>
      <c r="Q762" s="127"/>
      <c r="R762" s="127"/>
      <c r="S762" s="127"/>
      <c r="T762" s="127"/>
    </row>
    <row r="763" spans="1:20">
      <c r="A763" s="127"/>
      <c r="B763" s="127"/>
      <c r="C763" s="127"/>
      <c r="D763" s="127"/>
      <c r="E763" s="127"/>
      <c r="F763" s="127"/>
      <c r="G763" s="127"/>
      <c r="H763" s="127"/>
      <c r="I763" s="127"/>
      <c r="J763" s="127"/>
      <c r="K763" s="127"/>
      <c r="L763" s="127"/>
      <c r="M763" s="127"/>
      <c r="N763" s="127"/>
      <c r="O763" s="127"/>
      <c r="P763" s="127"/>
      <c r="Q763" s="127"/>
      <c r="R763" s="127"/>
      <c r="S763" s="127"/>
      <c r="T763" s="127"/>
    </row>
    <row r="764" spans="1:20">
      <c r="A764" s="127"/>
      <c r="B764" s="127"/>
      <c r="C764" s="127"/>
      <c r="D764" s="127"/>
      <c r="E764" s="127"/>
      <c r="F764" s="127"/>
      <c r="G764" s="127"/>
      <c r="H764" s="127"/>
      <c r="I764" s="127"/>
      <c r="J764" s="127"/>
      <c r="K764" s="127"/>
      <c r="L764" s="127"/>
      <c r="M764" s="127"/>
      <c r="N764" s="127"/>
      <c r="O764" s="127"/>
      <c r="P764" s="127"/>
      <c r="Q764" s="127"/>
      <c r="R764" s="127"/>
      <c r="S764" s="127"/>
      <c r="T764" s="127"/>
    </row>
    <row r="765" spans="1:20">
      <c r="A765" s="127"/>
      <c r="B765" s="127"/>
      <c r="C765" s="127"/>
      <c r="D765" s="127"/>
      <c r="E765" s="127"/>
      <c r="F765" s="127"/>
      <c r="G765" s="127"/>
      <c r="H765" s="127"/>
      <c r="I765" s="127"/>
      <c r="J765" s="127"/>
      <c r="K765" s="127"/>
      <c r="L765" s="127"/>
      <c r="M765" s="127"/>
      <c r="N765" s="127"/>
      <c r="O765" s="127"/>
      <c r="P765" s="127"/>
      <c r="Q765" s="127"/>
      <c r="R765" s="127"/>
      <c r="S765" s="127"/>
      <c r="T765" s="127"/>
    </row>
    <row r="766" spans="1:20">
      <c r="A766" s="127"/>
      <c r="B766" s="127"/>
      <c r="C766" s="127"/>
      <c r="D766" s="127"/>
      <c r="E766" s="127"/>
      <c r="F766" s="127"/>
      <c r="G766" s="127"/>
      <c r="H766" s="127"/>
      <c r="I766" s="127"/>
      <c r="J766" s="127"/>
      <c r="K766" s="127"/>
      <c r="L766" s="127"/>
      <c r="M766" s="127"/>
      <c r="N766" s="127"/>
      <c r="O766" s="127"/>
      <c r="P766" s="127"/>
      <c r="Q766" s="127"/>
      <c r="R766" s="127"/>
      <c r="S766" s="127"/>
      <c r="T766" s="127"/>
    </row>
    <row r="767" spans="1:20">
      <c r="A767" s="127"/>
      <c r="B767" s="127"/>
      <c r="C767" s="127"/>
      <c r="D767" s="127"/>
      <c r="E767" s="127"/>
      <c r="F767" s="127"/>
      <c r="G767" s="127"/>
      <c r="H767" s="127"/>
      <c r="I767" s="127"/>
      <c r="J767" s="127"/>
      <c r="K767" s="127"/>
      <c r="L767" s="127"/>
      <c r="M767" s="127"/>
      <c r="N767" s="127"/>
      <c r="O767" s="127"/>
      <c r="P767" s="127"/>
      <c r="Q767" s="127"/>
      <c r="R767" s="127"/>
      <c r="S767" s="127"/>
      <c r="T767" s="127"/>
    </row>
    <row r="768" spans="1:20">
      <c r="A768" s="127"/>
      <c r="B768" s="127"/>
      <c r="C768" s="127"/>
      <c r="D768" s="127"/>
      <c r="E768" s="127"/>
      <c r="F768" s="127"/>
      <c r="G768" s="127"/>
      <c r="H768" s="127"/>
      <c r="I768" s="127"/>
      <c r="J768" s="127"/>
      <c r="K768" s="127"/>
      <c r="L768" s="127"/>
      <c r="M768" s="127"/>
      <c r="N768" s="127"/>
      <c r="O768" s="127"/>
      <c r="P768" s="127"/>
      <c r="Q768" s="127"/>
      <c r="R768" s="127"/>
      <c r="S768" s="127"/>
      <c r="T768" s="127"/>
    </row>
    <row r="769" spans="1:20">
      <c r="A769" s="127"/>
      <c r="B769" s="127"/>
      <c r="C769" s="127"/>
      <c r="D769" s="127"/>
      <c r="E769" s="127"/>
      <c r="F769" s="127"/>
      <c r="G769" s="127"/>
      <c r="H769" s="127"/>
      <c r="I769" s="127"/>
      <c r="J769" s="127"/>
      <c r="K769" s="127"/>
      <c r="L769" s="127"/>
      <c r="M769" s="127"/>
      <c r="N769" s="127"/>
      <c r="O769" s="127"/>
      <c r="P769" s="127"/>
      <c r="Q769" s="127"/>
      <c r="R769" s="127"/>
      <c r="S769" s="127"/>
      <c r="T769" s="127"/>
    </row>
    <row r="770" spans="1:20">
      <c r="A770" s="127"/>
      <c r="B770" s="127"/>
      <c r="C770" s="127"/>
      <c r="D770" s="127"/>
      <c r="E770" s="127"/>
      <c r="F770" s="127"/>
      <c r="G770" s="127"/>
      <c r="H770" s="127"/>
      <c r="I770" s="127"/>
      <c r="J770" s="127"/>
      <c r="K770" s="127"/>
      <c r="L770" s="127"/>
      <c r="M770" s="127"/>
      <c r="N770" s="127"/>
      <c r="O770" s="127"/>
      <c r="P770" s="127"/>
      <c r="Q770" s="127"/>
      <c r="R770" s="127"/>
      <c r="S770" s="127"/>
      <c r="T770" s="127"/>
    </row>
    <row r="771" spans="1:20">
      <c r="A771" s="127"/>
      <c r="B771" s="127"/>
      <c r="C771" s="127"/>
      <c r="D771" s="127"/>
      <c r="E771" s="127"/>
      <c r="F771" s="127"/>
      <c r="G771" s="127"/>
      <c r="H771" s="127"/>
      <c r="I771" s="127"/>
      <c r="J771" s="127"/>
      <c r="K771" s="127"/>
      <c r="L771" s="127"/>
      <c r="M771" s="127"/>
      <c r="N771" s="127"/>
      <c r="O771" s="127"/>
      <c r="P771" s="127"/>
      <c r="Q771" s="127"/>
      <c r="R771" s="127"/>
      <c r="S771" s="127"/>
      <c r="T771" s="127"/>
    </row>
    <row r="772" spans="1:20">
      <c r="A772" s="127"/>
      <c r="B772" s="127"/>
      <c r="C772" s="127"/>
      <c r="D772" s="127"/>
      <c r="E772" s="127"/>
      <c r="F772" s="127"/>
      <c r="G772" s="127"/>
      <c r="H772" s="127"/>
      <c r="I772" s="127"/>
      <c r="J772" s="127"/>
      <c r="K772" s="127"/>
      <c r="L772" s="127"/>
      <c r="M772" s="127"/>
      <c r="N772" s="127"/>
      <c r="O772" s="127"/>
      <c r="P772" s="127"/>
      <c r="Q772" s="127"/>
      <c r="R772" s="127"/>
      <c r="S772" s="127"/>
      <c r="T772" s="127"/>
    </row>
    <row r="773" spans="1:20">
      <c r="A773" s="127"/>
      <c r="B773" s="127"/>
      <c r="C773" s="127"/>
      <c r="D773" s="127"/>
      <c r="E773" s="127"/>
      <c r="F773" s="127"/>
      <c r="G773" s="127"/>
      <c r="H773" s="127"/>
      <c r="I773" s="127"/>
      <c r="J773" s="127"/>
      <c r="K773" s="127"/>
      <c r="L773" s="127"/>
      <c r="M773" s="127"/>
      <c r="N773" s="127"/>
      <c r="O773" s="127"/>
      <c r="P773" s="127"/>
      <c r="Q773" s="127"/>
      <c r="R773" s="127"/>
      <c r="S773" s="127"/>
      <c r="T773" s="127"/>
    </row>
    <row r="774" spans="1:20">
      <c r="A774" s="127"/>
      <c r="B774" s="127"/>
      <c r="C774" s="127"/>
      <c r="D774" s="127"/>
      <c r="E774" s="127"/>
      <c r="F774" s="127"/>
      <c r="G774" s="127"/>
      <c r="H774" s="127"/>
      <c r="I774" s="127"/>
      <c r="J774" s="127"/>
      <c r="K774" s="127"/>
      <c r="L774" s="127"/>
      <c r="M774" s="127"/>
      <c r="N774" s="127"/>
      <c r="O774" s="127"/>
      <c r="P774" s="127"/>
      <c r="Q774" s="127"/>
      <c r="R774" s="127"/>
      <c r="S774" s="127"/>
      <c r="T774" s="127"/>
    </row>
    <row r="775" spans="1:20">
      <c r="A775" s="127"/>
      <c r="B775" s="127"/>
      <c r="C775" s="127"/>
      <c r="D775" s="127"/>
      <c r="E775" s="127"/>
      <c r="F775" s="127"/>
      <c r="G775" s="127"/>
      <c r="H775" s="127"/>
      <c r="I775" s="127"/>
      <c r="J775" s="127"/>
      <c r="K775" s="127"/>
      <c r="L775" s="127"/>
      <c r="M775" s="127"/>
      <c r="N775" s="127"/>
      <c r="O775" s="127"/>
      <c r="P775" s="127"/>
      <c r="Q775" s="127"/>
      <c r="R775" s="127"/>
      <c r="S775" s="127"/>
      <c r="T775" s="127"/>
    </row>
    <row r="776" spans="1:20">
      <c r="A776" s="127"/>
      <c r="B776" s="127"/>
      <c r="C776" s="127"/>
      <c r="D776" s="127"/>
      <c r="E776" s="127"/>
      <c r="F776" s="127"/>
      <c r="G776" s="127"/>
      <c r="H776" s="127"/>
      <c r="I776" s="127"/>
      <c r="J776" s="127"/>
      <c r="K776" s="127"/>
      <c r="L776" s="127"/>
      <c r="M776" s="127"/>
      <c r="N776" s="127"/>
      <c r="O776" s="127"/>
      <c r="P776" s="127"/>
      <c r="Q776" s="127"/>
      <c r="R776" s="127"/>
      <c r="S776" s="127"/>
      <c r="T776" s="127"/>
    </row>
    <row r="777" spans="1:20">
      <c r="A777" s="127"/>
      <c r="B777" s="127"/>
      <c r="C777" s="127"/>
      <c r="D777" s="127"/>
      <c r="E777" s="127"/>
      <c r="F777" s="127"/>
      <c r="G777" s="127"/>
      <c r="H777" s="127"/>
      <c r="I777" s="127"/>
      <c r="J777" s="127"/>
      <c r="K777" s="127"/>
      <c r="L777" s="127"/>
      <c r="M777" s="127"/>
      <c r="N777" s="127"/>
      <c r="O777" s="127"/>
      <c r="P777" s="127"/>
      <c r="Q777" s="127"/>
      <c r="R777" s="127"/>
      <c r="S777" s="127"/>
      <c r="T777" s="127"/>
    </row>
    <row r="778" spans="1:20">
      <c r="A778" s="127"/>
      <c r="B778" s="127"/>
      <c r="C778" s="127"/>
      <c r="D778" s="127"/>
      <c r="E778" s="127"/>
      <c r="F778" s="127"/>
      <c r="G778" s="127"/>
      <c r="H778" s="127"/>
      <c r="I778" s="127"/>
      <c r="J778" s="127"/>
      <c r="K778" s="127"/>
      <c r="L778" s="127"/>
      <c r="M778" s="127"/>
      <c r="N778" s="127"/>
      <c r="O778" s="127"/>
      <c r="P778" s="127"/>
      <c r="Q778" s="127"/>
      <c r="R778" s="127"/>
      <c r="S778" s="127"/>
      <c r="T778" s="127"/>
    </row>
    <row r="779" spans="1:20">
      <c r="A779" s="127"/>
      <c r="B779" s="127"/>
      <c r="C779" s="127"/>
      <c r="D779" s="127"/>
      <c r="E779" s="127"/>
      <c r="F779" s="127"/>
      <c r="G779" s="127"/>
      <c r="H779" s="127"/>
      <c r="I779" s="127"/>
      <c r="J779" s="127"/>
      <c r="K779" s="127"/>
      <c r="L779" s="127"/>
      <c r="M779" s="127"/>
      <c r="N779" s="127"/>
      <c r="O779" s="127"/>
      <c r="P779" s="127"/>
      <c r="Q779" s="127"/>
      <c r="R779" s="127"/>
      <c r="S779" s="127"/>
      <c r="T779" s="127"/>
    </row>
    <row r="780" spans="1:20">
      <c r="A780" s="127"/>
      <c r="B780" s="127"/>
      <c r="C780" s="127"/>
      <c r="D780" s="127"/>
      <c r="E780" s="127"/>
      <c r="F780" s="127"/>
      <c r="G780" s="127"/>
      <c r="H780" s="127"/>
      <c r="I780" s="127"/>
      <c r="J780" s="127"/>
      <c r="K780" s="127"/>
      <c r="L780" s="127"/>
      <c r="M780" s="127"/>
      <c r="N780" s="127"/>
      <c r="O780" s="127"/>
      <c r="P780" s="127"/>
      <c r="Q780" s="127"/>
      <c r="R780" s="127"/>
      <c r="S780" s="127"/>
      <c r="T780" s="127"/>
    </row>
    <row r="781" spans="1:20">
      <c r="A781" s="127"/>
      <c r="B781" s="127"/>
      <c r="C781" s="127"/>
      <c r="D781" s="127"/>
      <c r="E781" s="127"/>
      <c r="F781" s="127"/>
      <c r="G781" s="127"/>
      <c r="H781" s="127"/>
      <c r="I781" s="127"/>
      <c r="J781" s="127"/>
      <c r="K781" s="127"/>
      <c r="L781" s="127"/>
      <c r="M781" s="127"/>
      <c r="N781" s="127"/>
      <c r="O781" s="127"/>
      <c r="P781" s="127"/>
      <c r="Q781" s="127"/>
      <c r="R781" s="127"/>
      <c r="S781" s="127"/>
      <c r="T781" s="127"/>
    </row>
    <row r="782" spans="1:20">
      <c r="A782" s="127"/>
      <c r="B782" s="127"/>
      <c r="C782" s="127"/>
      <c r="D782" s="127"/>
      <c r="E782" s="127"/>
      <c r="F782" s="127"/>
      <c r="G782" s="127"/>
      <c r="H782" s="127"/>
      <c r="I782" s="127"/>
      <c r="J782" s="127"/>
      <c r="K782" s="127"/>
      <c r="L782" s="127"/>
      <c r="M782" s="127"/>
      <c r="N782" s="127"/>
      <c r="O782" s="127"/>
      <c r="P782" s="127"/>
      <c r="Q782" s="127"/>
      <c r="R782" s="127"/>
      <c r="S782" s="127"/>
      <c r="T782" s="127"/>
    </row>
    <row r="783" spans="1:20">
      <c r="A783" s="127"/>
      <c r="B783" s="127"/>
      <c r="C783" s="127"/>
      <c r="D783" s="127"/>
      <c r="E783" s="127"/>
      <c r="F783" s="127"/>
      <c r="G783" s="127"/>
      <c r="H783" s="127"/>
      <c r="I783" s="127"/>
      <c r="J783" s="127"/>
      <c r="K783" s="127"/>
      <c r="L783" s="127"/>
      <c r="M783" s="127"/>
      <c r="N783" s="127"/>
      <c r="O783" s="127"/>
      <c r="P783" s="127"/>
      <c r="Q783" s="127"/>
      <c r="R783" s="127"/>
      <c r="S783" s="127"/>
      <c r="T783" s="127"/>
    </row>
    <row r="784" spans="1:20">
      <c r="A784" s="127"/>
      <c r="B784" s="127"/>
      <c r="C784" s="127"/>
      <c r="D784" s="127"/>
      <c r="E784" s="127"/>
      <c r="F784" s="127"/>
      <c r="G784" s="127"/>
      <c r="H784" s="127"/>
      <c r="I784" s="127"/>
      <c r="J784" s="127"/>
      <c r="K784" s="127"/>
      <c r="L784" s="127"/>
      <c r="M784" s="127"/>
      <c r="N784" s="127"/>
      <c r="O784" s="127"/>
      <c r="P784" s="127"/>
      <c r="Q784" s="127"/>
      <c r="R784" s="127"/>
      <c r="S784" s="127"/>
      <c r="T784" s="127"/>
    </row>
    <row r="785" spans="1:20">
      <c r="A785" s="127"/>
      <c r="B785" s="127"/>
      <c r="C785" s="127"/>
      <c r="D785" s="127"/>
      <c r="E785" s="127"/>
      <c r="F785" s="127"/>
      <c r="G785" s="127"/>
      <c r="H785" s="127"/>
      <c r="I785" s="127"/>
      <c r="J785" s="127"/>
      <c r="K785" s="127"/>
      <c r="L785" s="127"/>
      <c r="M785" s="127"/>
      <c r="N785" s="127"/>
      <c r="O785" s="127"/>
      <c r="P785" s="127"/>
      <c r="Q785" s="127"/>
      <c r="R785" s="127"/>
      <c r="S785" s="127"/>
      <c r="T785" s="127"/>
    </row>
    <row r="786" spans="1:20">
      <c r="A786" s="127"/>
      <c r="B786" s="127"/>
      <c r="C786" s="127"/>
      <c r="D786" s="127"/>
      <c r="E786" s="127"/>
      <c r="F786" s="127"/>
      <c r="G786" s="127"/>
      <c r="H786" s="127"/>
      <c r="I786" s="127"/>
      <c r="J786" s="127"/>
      <c r="K786" s="127"/>
      <c r="L786" s="127"/>
      <c r="M786" s="127"/>
      <c r="N786" s="127"/>
      <c r="O786" s="127"/>
      <c r="P786" s="127"/>
      <c r="Q786" s="127"/>
      <c r="R786" s="127"/>
      <c r="S786" s="127"/>
      <c r="T786" s="127"/>
    </row>
    <row r="787" spans="1:20">
      <c r="A787" s="127"/>
      <c r="B787" s="127"/>
      <c r="C787" s="127"/>
      <c r="D787" s="127"/>
      <c r="E787" s="127"/>
      <c r="F787" s="127"/>
      <c r="G787" s="127"/>
      <c r="H787" s="127"/>
      <c r="I787" s="127"/>
      <c r="J787" s="127"/>
      <c r="K787" s="127"/>
      <c r="L787" s="127"/>
      <c r="M787" s="127"/>
      <c r="N787" s="127"/>
      <c r="O787" s="127"/>
      <c r="P787" s="127"/>
      <c r="Q787" s="127"/>
      <c r="R787" s="127"/>
      <c r="S787" s="127"/>
      <c r="T787" s="127"/>
    </row>
    <row r="788" spans="1:20">
      <c r="A788" s="127"/>
      <c r="B788" s="127"/>
      <c r="C788" s="127"/>
      <c r="D788" s="127"/>
      <c r="E788" s="127"/>
      <c r="F788" s="127"/>
      <c r="G788" s="127"/>
      <c r="H788" s="127"/>
      <c r="I788" s="127"/>
      <c r="J788" s="127"/>
      <c r="K788" s="127"/>
      <c r="L788" s="127"/>
      <c r="M788" s="127"/>
      <c r="N788" s="127"/>
      <c r="O788" s="127"/>
      <c r="P788" s="127"/>
      <c r="Q788" s="127"/>
      <c r="R788" s="127"/>
      <c r="S788" s="127"/>
      <c r="T788" s="127"/>
    </row>
    <row r="789" spans="1:20">
      <c r="A789" s="127"/>
      <c r="B789" s="127"/>
      <c r="C789" s="127"/>
      <c r="D789" s="127"/>
      <c r="E789" s="127"/>
      <c r="F789" s="127"/>
      <c r="G789" s="127"/>
      <c r="H789" s="127"/>
      <c r="I789" s="127"/>
      <c r="J789" s="127"/>
      <c r="K789" s="127"/>
      <c r="L789" s="127"/>
      <c r="M789" s="127"/>
      <c r="N789" s="127"/>
      <c r="O789" s="127"/>
      <c r="P789" s="127"/>
      <c r="Q789" s="127"/>
      <c r="R789" s="127"/>
      <c r="S789" s="127"/>
      <c r="T789" s="127"/>
    </row>
    <row r="790" spans="1:20">
      <c r="A790" s="127"/>
      <c r="B790" s="127"/>
      <c r="C790" s="127"/>
      <c r="D790" s="127"/>
      <c r="E790" s="127"/>
      <c r="F790" s="127"/>
      <c r="G790" s="127"/>
      <c r="H790" s="127"/>
      <c r="I790" s="127"/>
      <c r="J790" s="127"/>
      <c r="K790" s="127"/>
      <c r="L790" s="127"/>
      <c r="M790" s="127"/>
      <c r="N790" s="127"/>
      <c r="O790" s="127"/>
      <c r="P790" s="127"/>
      <c r="Q790" s="127"/>
      <c r="R790" s="127"/>
      <c r="S790" s="127"/>
      <c r="T790" s="127"/>
    </row>
    <row r="791" spans="1:20">
      <c r="A791" s="127"/>
      <c r="B791" s="127"/>
      <c r="C791" s="127"/>
      <c r="D791" s="127"/>
      <c r="E791" s="127"/>
      <c r="F791" s="127"/>
      <c r="G791" s="127"/>
      <c r="H791" s="127"/>
      <c r="I791" s="127"/>
      <c r="J791" s="127"/>
      <c r="K791" s="127"/>
      <c r="L791" s="127"/>
      <c r="M791" s="127"/>
      <c r="N791" s="127"/>
      <c r="O791" s="127"/>
      <c r="P791" s="127"/>
      <c r="Q791" s="127"/>
      <c r="R791" s="127"/>
      <c r="S791" s="127"/>
      <c r="T791" s="127"/>
    </row>
    <row r="792" spans="1:20">
      <c r="A792" s="127"/>
      <c r="B792" s="127"/>
      <c r="C792" s="127"/>
      <c r="D792" s="127"/>
      <c r="E792" s="127"/>
      <c r="F792" s="127"/>
      <c r="G792" s="127"/>
      <c r="H792" s="127"/>
      <c r="I792" s="127"/>
      <c r="J792" s="127"/>
      <c r="K792" s="127"/>
      <c r="L792" s="127"/>
      <c r="M792" s="127"/>
      <c r="N792" s="127"/>
      <c r="O792" s="127"/>
      <c r="P792" s="127"/>
      <c r="Q792" s="127"/>
      <c r="R792" s="127"/>
      <c r="S792" s="127"/>
      <c r="T792" s="127"/>
    </row>
    <row r="793" spans="1:20">
      <c r="A793" s="127"/>
      <c r="B793" s="127"/>
      <c r="C793" s="127"/>
      <c r="D793" s="127"/>
      <c r="E793" s="127"/>
      <c r="F793" s="127"/>
      <c r="G793" s="127"/>
      <c r="H793" s="127"/>
      <c r="I793" s="127"/>
      <c r="J793" s="127"/>
      <c r="K793" s="127"/>
      <c r="L793" s="127"/>
      <c r="M793" s="127"/>
      <c r="N793" s="127"/>
      <c r="O793" s="127"/>
      <c r="P793" s="127"/>
      <c r="Q793" s="127"/>
      <c r="R793" s="127"/>
      <c r="S793" s="127"/>
      <c r="T793" s="127"/>
    </row>
    <row r="794" spans="1:20">
      <c r="A794" s="127"/>
      <c r="B794" s="127"/>
      <c r="C794" s="127"/>
      <c r="D794" s="127"/>
      <c r="E794" s="127"/>
      <c r="F794" s="127"/>
      <c r="G794" s="127"/>
      <c r="H794" s="127"/>
      <c r="I794" s="127"/>
      <c r="J794" s="127"/>
      <c r="K794" s="127"/>
      <c r="L794" s="127"/>
      <c r="M794" s="127"/>
      <c r="N794" s="127"/>
      <c r="O794" s="127"/>
      <c r="P794" s="127"/>
      <c r="Q794" s="127"/>
      <c r="R794" s="127"/>
      <c r="S794" s="127"/>
      <c r="T794" s="127"/>
    </row>
    <row r="795" spans="1:20">
      <c r="A795" s="127"/>
      <c r="B795" s="127"/>
      <c r="C795" s="127"/>
      <c r="D795" s="127"/>
      <c r="E795" s="127"/>
      <c r="F795" s="127"/>
      <c r="G795" s="127"/>
      <c r="H795" s="127"/>
      <c r="I795" s="127"/>
      <c r="J795" s="127"/>
      <c r="K795" s="127"/>
      <c r="L795" s="127"/>
      <c r="M795" s="127"/>
      <c r="N795" s="127"/>
      <c r="O795" s="127"/>
      <c r="P795" s="127"/>
      <c r="Q795" s="127"/>
      <c r="R795" s="127"/>
      <c r="S795" s="127"/>
      <c r="T795" s="127"/>
    </row>
    <row r="796" spans="1:20">
      <c r="A796" s="127"/>
      <c r="B796" s="127"/>
      <c r="C796" s="127"/>
      <c r="D796" s="127"/>
      <c r="E796" s="127"/>
      <c r="F796" s="127"/>
      <c r="G796" s="127"/>
      <c r="H796" s="127"/>
      <c r="I796" s="127"/>
      <c r="J796" s="127"/>
      <c r="K796" s="127"/>
      <c r="L796" s="127"/>
      <c r="M796" s="127"/>
      <c r="N796" s="127"/>
      <c r="O796" s="127"/>
      <c r="P796" s="127"/>
      <c r="Q796" s="127"/>
      <c r="R796" s="127"/>
      <c r="S796" s="127"/>
      <c r="T796" s="127"/>
    </row>
    <row r="797" spans="1:20">
      <c r="A797" s="127"/>
      <c r="B797" s="127"/>
      <c r="C797" s="127"/>
      <c r="D797" s="127"/>
      <c r="E797" s="127"/>
      <c r="F797" s="127"/>
      <c r="G797" s="127"/>
      <c r="H797" s="127"/>
      <c r="I797" s="127"/>
      <c r="J797" s="127"/>
      <c r="K797" s="127"/>
      <c r="L797" s="127"/>
      <c r="M797" s="127"/>
      <c r="N797" s="127"/>
      <c r="O797" s="127"/>
      <c r="P797" s="127"/>
      <c r="Q797" s="127"/>
      <c r="R797" s="127"/>
      <c r="S797" s="127"/>
      <c r="T797" s="127"/>
    </row>
    <row r="798" spans="1:20">
      <c r="A798" s="127"/>
      <c r="B798" s="127"/>
      <c r="C798" s="127"/>
      <c r="D798" s="127"/>
      <c r="E798" s="127"/>
      <c r="F798" s="127"/>
      <c r="G798" s="127"/>
      <c r="H798" s="127"/>
      <c r="I798" s="127"/>
      <c r="J798" s="127"/>
      <c r="K798" s="127"/>
      <c r="L798" s="127"/>
      <c r="M798" s="127"/>
      <c r="N798" s="127"/>
      <c r="O798" s="127"/>
      <c r="P798" s="127"/>
      <c r="Q798" s="127"/>
      <c r="R798" s="127"/>
      <c r="S798" s="127"/>
      <c r="T798" s="127"/>
    </row>
    <row r="799" spans="1:20">
      <c r="A799" s="127"/>
      <c r="B799" s="127"/>
      <c r="C799" s="127"/>
      <c r="D799" s="127"/>
      <c r="E799" s="127"/>
      <c r="F799" s="127"/>
      <c r="G799" s="127"/>
      <c r="H799" s="127"/>
      <c r="I799" s="127"/>
      <c r="J799" s="127"/>
      <c r="K799" s="127"/>
      <c r="L799" s="127"/>
      <c r="M799" s="127"/>
      <c r="N799" s="127"/>
      <c r="O799" s="127"/>
      <c r="P799" s="127"/>
      <c r="Q799" s="127"/>
      <c r="R799" s="127"/>
      <c r="S799" s="127"/>
      <c r="T799" s="127"/>
    </row>
    <row r="800" spans="1:20">
      <c r="A800" s="127"/>
      <c r="B800" s="127"/>
      <c r="C800" s="127"/>
      <c r="D800" s="127"/>
      <c r="E800" s="127"/>
      <c r="F800" s="127"/>
      <c r="G800" s="127"/>
      <c r="H800" s="127"/>
      <c r="I800" s="127"/>
      <c r="J800" s="127"/>
      <c r="K800" s="127"/>
      <c r="L800" s="127"/>
      <c r="M800" s="127"/>
      <c r="N800" s="127"/>
      <c r="O800" s="127"/>
      <c r="P800" s="127"/>
      <c r="Q800" s="127"/>
      <c r="R800" s="127"/>
      <c r="S800" s="127"/>
      <c r="T800" s="127"/>
    </row>
    <row r="801" spans="1:20">
      <c r="A801" s="127"/>
      <c r="B801" s="127"/>
      <c r="C801" s="127"/>
      <c r="D801" s="127"/>
      <c r="E801" s="127"/>
      <c r="F801" s="127"/>
      <c r="G801" s="127"/>
      <c r="H801" s="127"/>
      <c r="I801" s="127"/>
      <c r="J801" s="127"/>
      <c r="K801" s="127"/>
      <c r="L801" s="127"/>
      <c r="M801" s="127"/>
      <c r="N801" s="127"/>
      <c r="O801" s="127"/>
      <c r="P801" s="127"/>
      <c r="Q801" s="127"/>
      <c r="R801" s="127"/>
      <c r="S801" s="127"/>
      <c r="T801" s="127"/>
    </row>
    <row r="802" spans="1:20">
      <c r="A802" s="127"/>
      <c r="B802" s="127"/>
      <c r="C802" s="127"/>
      <c r="D802" s="127"/>
      <c r="E802" s="127"/>
      <c r="F802" s="127"/>
      <c r="G802" s="127"/>
      <c r="H802" s="127"/>
      <c r="I802" s="127"/>
      <c r="J802" s="127"/>
      <c r="K802" s="127"/>
      <c r="L802" s="127"/>
      <c r="M802" s="127"/>
      <c r="N802" s="127"/>
      <c r="O802" s="127"/>
      <c r="P802" s="127"/>
      <c r="Q802" s="127"/>
      <c r="R802" s="127"/>
      <c r="S802" s="127"/>
      <c r="T802" s="127"/>
    </row>
    <row r="803" spans="1:20">
      <c r="A803" s="127"/>
      <c r="B803" s="127"/>
      <c r="C803" s="127"/>
      <c r="D803" s="127"/>
      <c r="E803" s="127"/>
      <c r="F803" s="127"/>
      <c r="G803" s="127"/>
      <c r="H803" s="127"/>
      <c r="I803" s="127"/>
      <c r="J803" s="127"/>
      <c r="K803" s="127"/>
      <c r="L803" s="127"/>
      <c r="M803" s="127"/>
      <c r="N803" s="127"/>
      <c r="O803" s="127"/>
      <c r="P803" s="127"/>
      <c r="Q803" s="127"/>
      <c r="R803" s="127"/>
      <c r="S803" s="127"/>
      <c r="T803" s="127"/>
    </row>
    <row r="804" spans="1:20">
      <c r="A804" s="127"/>
      <c r="B804" s="127"/>
      <c r="C804" s="127"/>
      <c r="D804" s="127"/>
      <c r="E804" s="127"/>
      <c r="F804" s="127"/>
      <c r="G804" s="127"/>
      <c r="H804" s="127"/>
      <c r="I804" s="127"/>
      <c r="J804" s="127"/>
      <c r="K804" s="127"/>
      <c r="L804" s="127"/>
      <c r="M804" s="127"/>
      <c r="N804" s="127"/>
      <c r="O804" s="127"/>
      <c r="P804" s="127"/>
      <c r="Q804" s="127"/>
      <c r="R804" s="127"/>
      <c r="S804" s="127"/>
      <c r="T804" s="127"/>
    </row>
    <row r="805" spans="1:20">
      <c r="A805" s="127"/>
      <c r="B805" s="127"/>
      <c r="C805" s="127"/>
      <c r="D805" s="127"/>
      <c r="E805" s="127"/>
      <c r="F805" s="127"/>
      <c r="G805" s="127"/>
      <c r="H805" s="127"/>
      <c r="I805" s="127"/>
      <c r="J805" s="127"/>
      <c r="K805" s="127"/>
      <c r="L805" s="127"/>
      <c r="M805" s="127"/>
      <c r="N805" s="127"/>
      <c r="O805" s="127"/>
      <c r="P805" s="127"/>
      <c r="Q805" s="127"/>
      <c r="R805" s="127"/>
      <c r="S805" s="127"/>
      <c r="T805" s="127"/>
    </row>
    <row r="806" spans="1:20">
      <c r="A806" s="127"/>
      <c r="B806" s="127"/>
      <c r="C806" s="127"/>
      <c r="D806" s="127"/>
      <c r="E806" s="127"/>
      <c r="F806" s="127"/>
      <c r="G806" s="127"/>
      <c r="H806" s="127"/>
      <c r="I806" s="127"/>
      <c r="J806" s="127"/>
      <c r="K806" s="127"/>
      <c r="L806" s="127"/>
      <c r="M806" s="127"/>
      <c r="N806" s="127"/>
      <c r="O806" s="127"/>
      <c r="P806" s="127"/>
      <c r="Q806" s="127"/>
      <c r="R806" s="127"/>
      <c r="S806" s="127"/>
      <c r="T806" s="127"/>
    </row>
    <row r="807" spans="1:20">
      <c r="A807" s="127"/>
      <c r="B807" s="127"/>
      <c r="C807" s="127"/>
      <c r="D807" s="127"/>
      <c r="E807" s="127"/>
      <c r="F807" s="127"/>
      <c r="G807" s="127"/>
      <c r="H807" s="127"/>
      <c r="I807" s="127"/>
      <c r="J807" s="127"/>
      <c r="K807" s="127"/>
      <c r="L807" s="127"/>
      <c r="M807" s="127"/>
      <c r="N807" s="127"/>
      <c r="O807" s="127"/>
      <c r="P807" s="127"/>
      <c r="Q807" s="127"/>
      <c r="R807" s="127"/>
      <c r="S807" s="127"/>
      <c r="T807" s="127"/>
    </row>
    <row r="808" spans="1:20">
      <c r="A808" s="127"/>
      <c r="B808" s="127"/>
      <c r="C808" s="127"/>
      <c r="D808" s="127"/>
      <c r="E808" s="127"/>
      <c r="F808" s="127"/>
      <c r="G808" s="127"/>
      <c r="H808" s="127"/>
      <c r="I808" s="127"/>
      <c r="J808" s="127"/>
      <c r="K808" s="127"/>
      <c r="L808" s="127"/>
      <c r="M808" s="127"/>
      <c r="N808" s="127"/>
      <c r="O808" s="127"/>
      <c r="P808" s="127"/>
      <c r="Q808" s="127"/>
      <c r="R808" s="127"/>
      <c r="S808" s="127"/>
      <c r="T808" s="127"/>
    </row>
    <row r="809" spans="1:20">
      <c r="A809" s="127"/>
      <c r="B809" s="127"/>
      <c r="C809" s="127"/>
      <c r="D809" s="127"/>
      <c r="E809" s="127"/>
      <c r="F809" s="127"/>
      <c r="G809" s="127"/>
      <c r="H809" s="127"/>
      <c r="I809" s="127"/>
      <c r="J809" s="127"/>
      <c r="K809" s="127"/>
      <c r="L809" s="127"/>
      <c r="M809" s="127"/>
      <c r="N809" s="127"/>
      <c r="O809" s="127"/>
      <c r="P809" s="127"/>
      <c r="Q809" s="127"/>
      <c r="R809" s="127"/>
      <c r="S809" s="127"/>
      <c r="T809" s="127"/>
    </row>
    <row r="810" spans="1:20">
      <c r="A810" s="127"/>
      <c r="B810" s="127"/>
      <c r="C810" s="127"/>
      <c r="D810" s="127"/>
      <c r="E810" s="127"/>
      <c r="F810" s="127"/>
      <c r="G810" s="127"/>
      <c r="H810" s="127"/>
      <c r="I810" s="127"/>
      <c r="J810" s="127"/>
      <c r="K810" s="127"/>
      <c r="L810" s="127"/>
      <c r="M810" s="127"/>
      <c r="N810" s="127"/>
      <c r="O810" s="127"/>
      <c r="P810" s="127"/>
      <c r="Q810" s="127"/>
      <c r="R810" s="127"/>
      <c r="S810" s="127"/>
      <c r="T810" s="127"/>
    </row>
    <row r="811" spans="1:20">
      <c r="A811" s="127"/>
      <c r="B811" s="127"/>
      <c r="C811" s="127"/>
      <c r="D811" s="127"/>
      <c r="E811" s="127"/>
      <c r="F811" s="127"/>
      <c r="G811" s="127"/>
      <c r="H811" s="127"/>
      <c r="I811" s="127"/>
      <c r="J811" s="127"/>
      <c r="K811" s="127"/>
      <c r="L811" s="127"/>
      <c r="M811" s="127"/>
      <c r="N811" s="127"/>
      <c r="O811" s="127"/>
      <c r="P811" s="127"/>
      <c r="Q811" s="127"/>
      <c r="R811" s="127"/>
      <c r="S811" s="127"/>
      <c r="T811" s="127"/>
    </row>
    <row r="812" spans="1:20">
      <c r="A812" s="127"/>
      <c r="B812" s="127"/>
      <c r="C812" s="127"/>
      <c r="D812" s="127"/>
      <c r="E812" s="127"/>
      <c r="F812" s="127"/>
      <c r="G812" s="127"/>
      <c r="H812" s="127"/>
      <c r="I812" s="127"/>
      <c r="J812" s="127"/>
      <c r="K812" s="127"/>
      <c r="L812" s="127"/>
      <c r="M812" s="127"/>
      <c r="N812" s="127"/>
      <c r="O812" s="127"/>
      <c r="P812" s="127"/>
      <c r="Q812" s="127"/>
      <c r="R812" s="127"/>
      <c r="S812" s="127"/>
      <c r="T812" s="127"/>
    </row>
    <row r="813" spans="1:20">
      <c r="A813" s="127"/>
      <c r="B813" s="127"/>
      <c r="C813" s="127"/>
      <c r="D813" s="127"/>
      <c r="E813" s="127"/>
      <c r="F813" s="127"/>
      <c r="G813" s="127"/>
      <c r="H813" s="127"/>
      <c r="I813" s="127"/>
      <c r="J813" s="127"/>
      <c r="K813" s="127"/>
      <c r="L813" s="127"/>
      <c r="M813" s="127"/>
      <c r="N813" s="127"/>
      <c r="O813" s="127"/>
      <c r="P813" s="127"/>
      <c r="Q813" s="127"/>
      <c r="R813" s="127"/>
      <c r="S813" s="127"/>
      <c r="T813" s="127"/>
    </row>
    <row r="814" spans="1:20">
      <c r="A814" s="127"/>
      <c r="B814" s="127"/>
      <c r="C814" s="127"/>
      <c r="D814" s="127"/>
      <c r="E814" s="127"/>
      <c r="F814" s="127"/>
      <c r="G814" s="127"/>
      <c r="H814" s="127"/>
      <c r="I814" s="127"/>
      <c r="J814" s="127"/>
      <c r="K814" s="127"/>
      <c r="L814" s="127"/>
      <c r="M814" s="127"/>
      <c r="N814" s="127"/>
      <c r="O814" s="127"/>
      <c r="P814" s="127"/>
      <c r="Q814" s="127"/>
      <c r="R814" s="127"/>
      <c r="S814" s="127"/>
      <c r="T814" s="127"/>
    </row>
    <row r="815" spans="1:20">
      <c r="A815" s="127"/>
      <c r="B815" s="127"/>
      <c r="C815" s="127"/>
      <c r="D815" s="127"/>
      <c r="E815" s="127"/>
      <c r="F815" s="127"/>
      <c r="G815" s="127"/>
      <c r="H815" s="127"/>
      <c r="I815" s="127"/>
      <c r="J815" s="127"/>
      <c r="K815" s="127"/>
      <c r="L815" s="127"/>
      <c r="M815" s="127"/>
      <c r="N815" s="127"/>
      <c r="O815" s="127"/>
      <c r="P815" s="127"/>
      <c r="Q815" s="127"/>
      <c r="R815" s="127"/>
      <c r="S815" s="127"/>
      <c r="T815" s="127"/>
    </row>
    <row r="816" spans="1:20">
      <c r="A816" s="127"/>
      <c r="B816" s="127"/>
      <c r="C816" s="127"/>
      <c r="D816" s="127"/>
      <c r="E816" s="127"/>
      <c r="F816" s="127"/>
      <c r="G816" s="127"/>
      <c r="H816" s="127"/>
      <c r="I816" s="127"/>
      <c r="J816" s="127"/>
      <c r="K816" s="127"/>
      <c r="L816" s="127"/>
      <c r="M816" s="127"/>
      <c r="N816" s="127"/>
      <c r="O816" s="127"/>
      <c r="P816" s="127"/>
      <c r="Q816" s="127"/>
      <c r="R816" s="127"/>
      <c r="S816" s="127"/>
      <c r="T816" s="127"/>
    </row>
    <row r="817" spans="1:20">
      <c r="A817" s="127"/>
      <c r="B817" s="127"/>
      <c r="C817" s="127"/>
      <c r="D817" s="127"/>
      <c r="E817" s="127"/>
      <c r="F817" s="127"/>
      <c r="G817" s="127"/>
      <c r="H817" s="127"/>
      <c r="I817" s="127"/>
      <c r="J817" s="127"/>
      <c r="K817" s="127"/>
      <c r="L817" s="127"/>
      <c r="M817" s="127"/>
      <c r="N817" s="127"/>
      <c r="O817" s="127"/>
      <c r="P817" s="127"/>
      <c r="Q817" s="127"/>
      <c r="R817" s="127"/>
      <c r="S817" s="127"/>
      <c r="T817" s="127"/>
    </row>
    <row r="818" spans="1:20">
      <c r="A818" s="127"/>
      <c r="B818" s="127"/>
      <c r="C818" s="127"/>
      <c r="D818" s="127"/>
      <c r="E818" s="127"/>
      <c r="F818" s="127"/>
      <c r="G818" s="127"/>
      <c r="H818" s="127"/>
      <c r="I818" s="127"/>
      <c r="J818" s="127"/>
      <c r="K818" s="127"/>
      <c r="L818" s="127"/>
      <c r="M818" s="127"/>
      <c r="N818" s="127"/>
      <c r="O818" s="127"/>
      <c r="P818" s="127"/>
      <c r="Q818" s="127"/>
      <c r="R818" s="127"/>
      <c r="S818" s="127"/>
      <c r="T818" s="127"/>
    </row>
    <row r="819" spans="1:20">
      <c r="A819" s="127"/>
      <c r="B819" s="127"/>
      <c r="C819" s="127"/>
      <c r="D819" s="127"/>
      <c r="E819" s="127"/>
      <c r="F819" s="127"/>
      <c r="G819" s="127"/>
      <c r="H819" s="127"/>
      <c r="I819" s="127"/>
      <c r="J819" s="127"/>
      <c r="K819" s="127"/>
      <c r="L819" s="127"/>
      <c r="M819" s="127"/>
      <c r="N819" s="127"/>
      <c r="O819" s="127"/>
      <c r="P819" s="127"/>
      <c r="Q819" s="127"/>
      <c r="R819" s="127"/>
      <c r="S819" s="127"/>
      <c r="T819" s="127"/>
    </row>
    <row r="820" spans="1:20">
      <c r="A820" s="127"/>
      <c r="B820" s="127"/>
      <c r="C820" s="127"/>
      <c r="D820" s="127"/>
      <c r="E820" s="127"/>
      <c r="F820" s="127"/>
      <c r="G820" s="127"/>
      <c r="H820" s="127"/>
      <c r="I820" s="127"/>
      <c r="J820" s="127"/>
      <c r="K820" s="127"/>
      <c r="L820" s="127"/>
      <c r="M820" s="127"/>
      <c r="N820" s="127"/>
      <c r="O820" s="127"/>
      <c r="P820" s="127"/>
      <c r="Q820" s="127"/>
      <c r="R820" s="127"/>
      <c r="S820" s="127"/>
      <c r="T820" s="127"/>
    </row>
    <row r="821" spans="1:20">
      <c r="A821" s="127"/>
      <c r="B821" s="127"/>
      <c r="C821" s="127"/>
      <c r="D821" s="127"/>
      <c r="E821" s="127"/>
      <c r="F821" s="127"/>
      <c r="G821" s="127"/>
      <c r="H821" s="127"/>
      <c r="I821" s="127"/>
      <c r="J821" s="127"/>
      <c r="K821" s="127"/>
      <c r="L821" s="127"/>
      <c r="M821" s="127"/>
      <c r="N821" s="127"/>
      <c r="O821" s="127"/>
      <c r="P821" s="127"/>
      <c r="Q821" s="127"/>
      <c r="R821" s="127"/>
      <c r="S821" s="127"/>
      <c r="T821" s="127"/>
    </row>
    <row r="822" spans="1:20">
      <c r="A822" s="127"/>
      <c r="B822" s="127"/>
      <c r="C822" s="127"/>
      <c r="D822" s="127"/>
      <c r="E822" s="127"/>
      <c r="F822" s="127"/>
      <c r="G822" s="127"/>
      <c r="H822" s="127"/>
      <c r="I822" s="127"/>
      <c r="J822" s="127"/>
      <c r="K822" s="127"/>
      <c r="L822" s="127"/>
      <c r="M822" s="127"/>
      <c r="N822" s="127"/>
      <c r="O822" s="127"/>
      <c r="P822" s="127"/>
      <c r="Q822" s="127"/>
      <c r="R822" s="127"/>
      <c r="S822" s="127"/>
      <c r="T822" s="127"/>
    </row>
    <row r="823" spans="1:20">
      <c r="A823" s="127"/>
      <c r="B823" s="127"/>
      <c r="C823" s="127"/>
      <c r="D823" s="127"/>
      <c r="E823" s="127"/>
      <c r="F823" s="127"/>
      <c r="G823" s="127"/>
      <c r="H823" s="127"/>
      <c r="I823" s="127"/>
      <c r="J823" s="127"/>
      <c r="K823" s="127"/>
      <c r="L823" s="127"/>
      <c r="M823" s="127"/>
      <c r="N823" s="127"/>
      <c r="O823" s="127"/>
      <c r="P823" s="127"/>
      <c r="Q823" s="127"/>
      <c r="R823" s="127"/>
      <c r="S823" s="127"/>
      <c r="T823" s="127"/>
    </row>
    <row r="824" spans="1:20">
      <c r="A824" s="127"/>
      <c r="B824" s="127"/>
      <c r="C824" s="127"/>
      <c r="D824" s="127"/>
      <c r="E824" s="127"/>
      <c r="F824" s="127"/>
      <c r="G824" s="127"/>
      <c r="H824" s="127"/>
      <c r="I824" s="127"/>
      <c r="J824" s="127"/>
      <c r="K824" s="127"/>
      <c r="L824" s="127"/>
      <c r="M824" s="127"/>
      <c r="N824" s="127"/>
      <c r="O824" s="127"/>
      <c r="P824" s="127"/>
      <c r="Q824" s="127"/>
      <c r="R824" s="127"/>
      <c r="S824" s="127"/>
      <c r="T824" s="127"/>
    </row>
    <row r="825" spans="1:20">
      <c r="A825" s="127"/>
      <c r="B825" s="127"/>
      <c r="C825" s="127"/>
      <c r="D825" s="127"/>
      <c r="E825" s="127"/>
      <c r="F825" s="127"/>
      <c r="G825" s="127"/>
      <c r="H825" s="127"/>
      <c r="I825" s="127"/>
      <c r="J825" s="127"/>
      <c r="K825" s="127"/>
      <c r="L825" s="127"/>
      <c r="M825" s="127"/>
      <c r="N825" s="127"/>
      <c r="O825" s="127"/>
      <c r="P825" s="127"/>
      <c r="Q825" s="127"/>
      <c r="R825" s="127"/>
      <c r="S825" s="127"/>
      <c r="T825" s="127"/>
    </row>
    <row r="826" spans="1:20">
      <c r="Q826" s="15"/>
      <c r="R826" s="15"/>
      <c r="S826" s="15"/>
      <c r="T826" s="15"/>
    </row>
    <row r="827" spans="1:20">
      <c r="Q827" s="15"/>
      <c r="R827" s="15"/>
      <c r="S827" s="15"/>
      <c r="T827" s="15"/>
    </row>
    <row r="828" spans="1:20">
      <c r="Q828" s="15"/>
      <c r="R828" s="15"/>
      <c r="S828" s="15"/>
      <c r="T828" s="15"/>
    </row>
    <row r="829" spans="1:20">
      <c r="Q829" s="15"/>
      <c r="R829" s="15"/>
      <c r="S829" s="15"/>
      <c r="T829" s="15"/>
    </row>
    <row r="830" spans="1:20">
      <c r="Q830" s="15"/>
      <c r="R830" s="15"/>
      <c r="S830" s="15"/>
      <c r="T830" s="15"/>
    </row>
    <row r="831" spans="1:20">
      <c r="Q831" s="15"/>
      <c r="R831" s="15"/>
      <c r="S831" s="15"/>
      <c r="T831" s="15"/>
    </row>
    <row r="832" spans="1:20">
      <c r="Q832" s="15"/>
      <c r="R832" s="15"/>
      <c r="S832" s="15"/>
      <c r="T832" s="15"/>
    </row>
    <row r="833" spans="17:20">
      <c r="Q833" s="15"/>
      <c r="R833" s="15"/>
      <c r="S833" s="15"/>
      <c r="T833" s="15"/>
    </row>
    <row r="834" spans="17:20">
      <c r="Q834" s="15"/>
      <c r="R834" s="15"/>
      <c r="S834" s="15"/>
      <c r="T834" s="15"/>
    </row>
    <row r="835" spans="17:20">
      <c r="Q835" s="15"/>
      <c r="R835" s="15"/>
      <c r="S835" s="15"/>
      <c r="T835" s="15"/>
    </row>
    <row r="836" spans="17:20">
      <c r="Q836" s="15"/>
      <c r="R836" s="15"/>
      <c r="S836" s="15"/>
      <c r="T836" s="15"/>
    </row>
    <row r="837" spans="17:20">
      <c r="Q837" s="15"/>
      <c r="R837" s="15"/>
      <c r="S837" s="15"/>
      <c r="T837" s="15"/>
    </row>
    <row r="838" spans="17:20">
      <c r="Q838" s="15"/>
      <c r="R838" s="15"/>
      <c r="S838" s="15"/>
      <c r="T838" s="15"/>
    </row>
    <row r="839" spans="17:20">
      <c r="Q839" s="15"/>
      <c r="R839" s="15"/>
      <c r="S839" s="15"/>
      <c r="T839" s="15"/>
    </row>
    <row r="840" spans="17:20">
      <c r="Q840" s="15"/>
      <c r="R840" s="15"/>
      <c r="S840" s="15"/>
      <c r="T840" s="15"/>
    </row>
    <row r="841" spans="17:20">
      <c r="Q841" s="15"/>
      <c r="R841" s="15"/>
      <c r="S841" s="15"/>
      <c r="T841" s="15"/>
    </row>
    <row r="842" spans="17:20">
      <c r="Q842" s="15"/>
      <c r="R842" s="15"/>
      <c r="S842" s="15"/>
      <c r="T842" s="15"/>
    </row>
    <row r="843" spans="17:20">
      <c r="Q843" s="15"/>
      <c r="R843" s="15"/>
      <c r="S843" s="15"/>
      <c r="T843" s="15"/>
    </row>
    <row r="844" spans="17:20">
      <c r="Q844" s="15"/>
      <c r="R844" s="15"/>
      <c r="S844" s="15"/>
      <c r="T844" s="15"/>
    </row>
    <row r="845" spans="17:20">
      <c r="Q845" s="15"/>
      <c r="R845" s="15"/>
      <c r="S845" s="15"/>
      <c r="T845" s="15"/>
    </row>
    <row r="846" spans="17:20">
      <c r="Q846" s="15"/>
      <c r="R846" s="15"/>
      <c r="S846" s="15"/>
      <c r="T846" s="15"/>
    </row>
    <row r="847" spans="17:20">
      <c r="Q847" s="15"/>
      <c r="R847" s="15"/>
      <c r="S847" s="15"/>
      <c r="T847" s="15"/>
    </row>
    <row r="848" spans="17:20">
      <c r="Q848" s="15"/>
      <c r="R848" s="15"/>
      <c r="S848" s="15"/>
      <c r="T848" s="15"/>
    </row>
    <row r="849" spans="17:20">
      <c r="Q849" s="15"/>
      <c r="R849" s="15"/>
      <c r="S849" s="15"/>
      <c r="T849" s="15"/>
    </row>
    <row r="850" spans="17:20">
      <c r="Q850" s="15"/>
      <c r="R850" s="15"/>
      <c r="S850" s="15"/>
      <c r="T850" s="15"/>
    </row>
    <row r="851" spans="17:20">
      <c r="Q851" s="15"/>
      <c r="R851" s="15"/>
      <c r="S851" s="15"/>
      <c r="T851" s="15"/>
    </row>
    <row r="852" spans="17:20">
      <c r="Q852" s="15"/>
      <c r="R852" s="15"/>
      <c r="S852" s="15"/>
      <c r="T852" s="15"/>
    </row>
    <row r="853" spans="17:20">
      <c r="Q853" s="15"/>
      <c r="R853" s="15"/>
      <c r="S853" s="15"/>
      <c r="T853" s="15"/>
    </row>
    <row r="854" spans="17:20">
      <c r="Q854" s="15"/>
      <c r="R854" s="15"/>
      <c r="S854" s="15"/>
      <c r="T854" s="15"/>
    </row>
    <row r="855" spans="17:20">
      <c r="Q855" s="15"/>
      <c r="R855" s="15"/>
      <c r="S855" s="15"/>
      <c r="T855" s="15"/>
    </row>
    <row r="856" spans="17:20">
      <c r="Q856" s="15"/>
      <c r="R856" s="15"/>
      <c r="S856" s="15"/>
      <c r="T856" s="15"/>
    </row>
    <row r="857" spans="17:20">
      <c r="Q857" s="15"/>
      <c r="R857" s="15"/>
      <c r="S857" s="15"/>
      <c r="T857" s="15"/>
    </row>
    <row r="858" spans="17:20">
      <c r="Q858" s="15"/>
      <c r="R858" s="15"/>
      <c r="S858" s="15"/>
      <c r="T858" s="15"/>
    </row>
    <row r="859" spans="17:20">
      <c r="Q859" s="15"/>
      <c r="R859" s="15"/>
      <c r="S859" s="15"/>
      <c r="T859" s="15"/>
    </row>
    <row r="860" spans="17:20">
      <c r="Q860" s="15"/>
      <c r="R860" s="15"/>
      <c r="S860" s="15"/>
      <c r="T860" s="15"/>
    </row>
    <row r="861" spans="17:20">
      <c r="Q861" s="15"/>
      <c r="R861" s="15"/>
      <c r="S861" s="15"/>
      <c r="T861" s="15"/>
    </row>
    <row r="862" spans="17:20">
      <c r="Q862" s="15"/>
      <c r="R862" s="15"/>
      <c r="S862" s="15"/>
      <c r="T862" s="15"/>
    </row>
    <row r="863" spans="17:20">
      <c r="Q863" s="15"/>
      <c r="R863" s="15"/>
      <c r="S863" s="15"/>
      <c r="T863" s="15"/>
    </row>
    <row r="864" spans="17:20">
      <c r="Q864" s="15"/>
      <c r="R864" s="15"/>
      <c r="S864" s="15"/>
      <c r="T864" s="15"/>
    </row>
    <row r="865" spans="17:20">
      <c r="Q865" s="15"/>
      <c r="R865" s="15"/>
      <c r="S865" s="15"/>
      <c r="T865" s="15"/>
    </row>
    <row r="866" spans="17:20">
      <c r="Q866" s="15"/>
      <c r="R866" s="15"/>
      <c r="S866" s="15"/>
      <c r="T866" s="15"/>
    </row>
    <row r="867" spans="17:20">
      <c r="Q867" s="15"/>
      <c r="R867" s="15"/>
      <c r="S867" s="15"/>
      <c r="T867" s="15"/>
    </row>
    <row r="868" spans="17:20">
      <c r="Q868" s="15"/>
      <c r="R868" s="15"/>
      <c r="S868" s="15"/>
      <c r="T868" s="15"/>
    </row>
    <row r="869" spans="17:20">
      <c r="Q869" s="15"/>
      <c r="R869" s="15"/>
      <c r="S869" s="15"/>
      <c r="T869" s="15"/>
    </row>
    <row r="870" spans="17:20">
      <c r="Q870" s="15"/>
      <c r="R870" s="15"/>
      <c r="S870" s="15"/>
      <c r="T870" s="15"/>
    </row>
    <row r="871" spans="17:20">
      <c r="Q871" s="15"/>
      <c r="R871" s="15"/>
      <c r="S871" s="15"/>
      <c r="T871" s="15"/>
    </row>
    <row r="872" spans="17:20">
      <c r="Q872" s="15"/>
      <c r="R872" s="15"/>
      <c r="S872" s="15"/>
      <c r="T872" s="15"/>
    </row>
    <row r="873" spans="17:20">
      <c r="Q873" s="15"/>
      <c r="R873" s="15"/>
      <c r="S873" s="15"/>
      <c r="T873" s="15"/>
    </row>
    <row r="874" spans="17:20">
      <c r="Q874" s="15"/>
      <c r="R874" s="15"/>
      <c r="S874" s="15"/>
      <c r="T874" s="15"/>
    </row>
    <row r="875" spans="17:20">
      <c r="Q875" s="15"/>
      <c r="R875" s="15"/>
      <c r="S875" s="15"/>
      <c r="T875" s="15"/>
    </row>
    <row r="876" spans="17:20">
      <c r="Q876" s="15"/>
      <c r="R876" s="15"/>
      <c r="S876" s="15"/>
      <c r="T876" s="15"/>
    </row>
    <row r="877" spans="17:20">
      <c r="Q877" s="15"/>
      <c r="R877" s="15"/>
      <c r="S877" s="15"/>
      <c r="T877" s="15"/>
    </row>
    <row r="878" spans="17:20">
      <c r="Q878" s="15"/>
      <c r="R878" s="15"/>
      <c r="S878" s="15"/>
      <c r="T878" s="15"/>
    </row>
    <row r="879" spans="17:20">
      <c r="Q879" s="15"/>
      <c r="R879" s="15"/>
      <c r="S879" s="15"/>
      <c r="T879" s="15"/>
    </row>
    <row r="880" spans="17:20">
      <c r="Q880" s="15"/>
      <c r="R880" s="15"/>
      <c r="S880" s="15"/>
      <c r="T880" s="15"/>
    </row>
    <row r="881" spans="17:20">
      <c r="Q881" s="15"/>
      <c r="R881" s="15"/>
      <c r="S881" s="15"/>
      <c r="T881" s="15"/>
    </row>
    <row r="882" spans="17:20">
      <c r="Q882" s="15"/>
      <c r="R882" s="15"/>
      <c r="S882" s="15"/>
      <c r="T882" s="15"/>
    </row>
    <row r="883" spans="17:20">
      <c r="Q883" s="15"/>
      <c r="R883" s="15"/>
      <c r="S883" s="15"/>
      <c r="T883" s="15"/>
    </row>
    <row r="884" spans="17:20">
      <c r="Q884" s="15"/>
      <c r="R884" s="15"/>
      <c r="S884" s="15"/>
      <c r="T884" s="15"/>
    </row>
    <row r="885" spans="17:20">
      <c r="Q885" s="15"/>
      <c r="R885" s="15"/>
      <c r="S885" s="15"/>
      <c r="T885" s="15"/>
    </row>
    <row r="886" spans="17:20">
      <c r="Q886" s="15"/>
      <c r="R886" s="15"/>
      <c r="S886" s="15"/>
      <c r="T886" s="15"/>
    </row>
    <row r="887" spans="17:20">
      <c r="Q887" s="15"/>
      <c r="R887" s="15"/>
      <c r="S887" s="15"/>
      <c r="T887" s="15"/>
    </row>
    <row r="888" spans="17:20">
      <c r="Q888" s="15"/>
      <c r="R888" s="15"/>
      <c r="S888" s="15"/>
      <c r="T888" s="15"/>
    </row>
    <row r="889" spans="17:20">
      <c r="Q889" s="15"/>
      <c r="R889" s="15"/>
      <c r="S889" s="15"/>
      <c r="T889" s="15"/>
    </row>
    <row r="890" spans="17:20">
      <c r="Q890" s="15"/>
      <c r="R890" s="15"/>
      <c r="S890" s="15"/>
      <c r="T890" s="15"/>
    </row>
    <row r="891" spans="17:20">
      <c r="Q891" s="15"/>
      <c r="R891" s="15"/>
      <c r="S891" s="15"/>
      <c r="T891" s="15"/>
    </row>
    <row r="892" spans="17:20">
      <c r="Q892" s="15"/>
      <c r="R892" s="15"/>
      <c r="S892" s="15"/>
      <c r="T892" s="15"/>
    </row>
    <row r="893" spans="17:20">
      <c r="Q893" s="15"/>
      <c r="R893" s="15"/>
      <c r="S893" s="15"/>
      <c r="T893" s="15"/>
    </row>
    <row r="894" spans="17:20">
      <c r="Q894" s="15"/>
      <c r="R894" s="15"/>
      <c r="S894" s="15"/>
      <c r="T894" s="15"/>
    </row>
    <row r="895" spans="17:20">
      <c r="Q895" s="15"/>
      <c r="R895" s="15"/>
      <c r="S895" s="15"/>
      <c r="T895" s="15"/>
    </row>
    <row r="896" spans="17:20">
      <c r="Q896" s="15"/>
      <c r="R896" s="15"/>
      <c r="S896" s="15"/>
      <c r="T896" s="15"/>
    </row>
    <row r="897" spans="17:20">
      <c r="Q897" s="15"/>
      <c r="R897" s="15"/>
      <c r="S897" s="15"/>
      <c r="T897" s="15"/>
    </row>
    <row r="898" spans="17:20">
      <c r="Q898" s="15"/>
      <c r="R898" s="15"/>
      <c r="S898" s="15"/>
      <c r="T898" s="15"/>
    </row>
    <row r="899" spans="17:20">
      <c r="Q899" s="15"/>
      <c r="R899" s="15"/>
      <c r="S899" s="15"/>
      <c r="T899" s="15"/>
    </row>
    <row r="900" spans="17:20">
      <c r="Q900" s="15"/>
      <c r="R900" s="15"/>
      <c r="S900" s="15"/>
      <c r="T900" s="15"/>
    </row>
    <row r="901" spans="17:20">
      <c r="Q901" s="15"/>
      <c r="R901" s="15"/>
      <c r="S901" s="15"/>
      <c r="T901" s="15"/>
    </row>
    <row r="902" spans="17:20">
      <c r="Q902" s="15"/>
      <c r="R902" s="15"/>
      <c r="S902" s="15"/>
      <c r="T902" s="15"/>
    </row>
    <row r="903" spans="17:20">
      <c r="Q903" s="15"/>
      <c r="R903" s="15"/>
      <c r="S903" s="15"/>
      <c r="T903" s="15"/>
    </row>
    <row r="904" spans="17:20">
      <c r="Q904" s="15"/>
      <c r="R904" s="15"/>
      <c r="S904" s="15"/>
      <c r="T904" s="15"/>
    </row>
    <row r="905" spans="17:20">
      <c r="Q905" s="15"/>
      <c r="R905" s="15"/>
      <c r="S905" s="15"/>
      <c r="T905" s="15"/>
    </row>
    <row r="906" spans="17:20">
      <c r="Q906" s="15"/>
      <c r="R906" s="15"/>
      <c r="S906" s="15"/>
      <c r="T906" s="15"/>
    </row>
    <row r="907" spans="17:20">
      <c r="Q907" s="15"/>
      <c r="R907" s="15"/>
      <c r="S907" s="15"/>
      <c r="T907" s="15"/>
    </row>
    <row r="908" spans="17:20">
      <c r="Q908" s="15"/>
      <c r="R908" s="15"/>
      <c r="S908" s="15"/>
      <c r="T908" s="15"/>
    </row>
    <row r="909" spans="17:20">
      <c r="Q909" s="15"/>
      <c r="R909" s="15"/>
      <c r="S909" s="15"/>
      <c r="T909" s="15"/>
    </row>
    <row r="910" spans="17:20">
      <c r="Q910" s="15"/>
      <c r="R910" s="15"/>
      <c r="S910" s="15"/>
      <c r="T910" s="15"/>
    </row>
    <row r="911" spans="17:20">
      <c r="Q911" s="15"/>
      <c r="R911" s="15"/>
      <c r="S911" s="15"/>
      <c r="T911" s="15"/>
    </row>
    <row r="912" spans="17:20">
      <c r="Q912" s="15"/>
      <c r="R912" s="15"/>
      <c r="S912" s="15"/>
      <c r="T912" s="15"/>
    </row>
    <row r="913" spans="17:20">
      <c r="Q913" s="15"/>
      <c r="R913" s="15"/>
      <c r="S913" s="15"/>
      <c r="T913" s="15"/>
    </row>
    <row r="914" spans="17:20">
      <c r="Q914" s="15"/>
      <c r="R914" s="15"/>
      <c r="S914" s="15"/>
      <c r="T914" s="15"/>
    </row>
    <row r="915" spans="17:20">
      <c r="Q915" s="15"/>
      <c r="R915" s="15"/>
      <c r="S915" s="15"/>
      <c r="T915" s="15"/>
    </row>
    <row r="916" spans="17:20">
      <c r="Q916" s="15"/>
      <c r="R916" s="15"/>
      <c r="S916" s="15"/>
      <c r="T916" s="15"/>
    </row>
    <row r="917" spans="17:20">
      <c r="Q917" s="15"/>
      <c r="R917" s="15"/>
      <c r="S917" s="15"/>
      <c r="T917" s="15"/>
    </row>
    <row r="918" spans="17:20">
      <c r="Q918" s="15"/>
      <c r="R918" s="15"/>
      <c r="S918" s="15"/>
      <c r="T918" s="15"/>
    </row>
    <row r="919" spans="17:20">
      <c r="Q919" s="15"/>
      <c r="R919" s="15"/>
      <c r="S919" s="15"/>
      <c r="T919" s="15"/>
    </row>
    <row r="920" spans="17:20">
      <c r="Q920" s="15"/>
      <c r="R920" s="15"/>
      <c r="S920" s="15"/>
      <c r="T920" s="15"/>
    </row>
    <row r="921" spans="17:20">
      <c r="Q921" s="15"/>
      <c r="R921" s="15"/>
      <c r="S921" s="15"/>
      <c r="T921" s="15"/>
    </row>
    <row r="922" spans="17:20">
      <c r="Q922" s="15"/>
      <c r="R922" s="15"/>
      <c r="S922" s="15"/>
      <c r="T922" s="15"/>
    </row>
    <row r="923" spans="17:20">
      <c r="Q923" s="15"/>
      <c r="R923" s="15"/>
      <c r="S923" s="15"/>
      <c r="T923" s="15"/>
    </row>
    <row r="924" spans="17:20">
      <c r="Q924" s="15"/>
      <c r="R924" s="15"/>
      <c r="S924" s="15"/>
      <c r="T924" s="15"/>
    </row>
    <row r="925" spans="17:20">
      <c r="Q925" s="15"/>
      <c r="R925" s="15"/>
      <c r="S925" s="15"/>
      <c r="T925" s="15"/>
    </row>
    <row r="926" spans="17:20">
      <c r="Q926" s="15"/>
      <c r="R926" s="15"/>
      <c r="S926" s="15"/>
      <c r="T926" s="15"/>
    </row>
    <row r="927" spans="17:20">
      <c r="Q927" s="15"/>
      <c r="R927" s="15"/>
      <c r="S927" s="15"/>
      <c r="T927" s="15"/>
    </row>
    <row r="928" spans="17:20">
      <c r="Q928" s="15"/>
      <c r="R928" s="15"/>
      <c r="S928" s="15"/>
      <c r="T928" s="15"/>
    </row>
    <row r="929" spans="17:20">
      <c r="Q929" s="15"/>
      <c r="R929" s="15"/>
      <c r="S929" s="15"/>
      <c r="T929" s="15"/>
    </row>
    <row r="930" spans="17:20">
      <c r="Q930" s="15"/>
      <c r="R930" s="15"/>
      <c r="S930" s="15"/>
      <c r="T930" s="15"/>
    </row>
    <row r="931" spans="17:20">
      <c r="Q931" s="15"/>
      <c r="R931" s="15"/>
      <c r="S931" s="15"/>
      <c r="T931" s="15"/>
    </row>
    <row r="932" spans="17:20">
      <c r="Q932" s="15"/>
      <c r="R932" s="15"/>
      <c r="S932" s="15"/>
      <c r="T932" s="15"/>
    </row>
    <row r="933" spans="17:20">
      <c r="Q933" s="15"/>
      <c r="R933" s="15"/>
      <c r="S933" s="15"/>
      <c r="T933" s="15"/>
    </row>
    <row r="934" spans="17:20">
      <c r="Q934" s="15"/>
      <c r="R934" s="15"/>
      <c r="S934" s="15"/>
      <c r="T934" s="15"/>
    </row>
    <row r="935" spans="17:20">
      <c r="Q935" s="15"/>
      <c r="R935" s="15"/>
      <c r="S935" s="15"/>
      <c r="T935" s="15"/>
    </row>
    <row r="936" spans="17:20">
      <c r="Q936" s="15"/>
      <c r="R936" s="15"/>
      <c r="S936" s="15"/>
      <c r="T936" s="15"/>
    </row>
  </sheetData>
  <sheetProtection algorithmName="SHA-512" hashValue="Aw1pNu4+Q1AHgCAzwintGm+Ua4W1Jh9M2rgQWGJmN8WVQVgaUjhQ6gaX/tSm9S5vKWPD5foH11+7EMhLvXOh8Q==" saltValue="KKAm3TIy7yrQbyw3G+Ot1Q==" spinCount="100000" sheet="1" objects="1" formatCells="0" formatColumns="0" formatRows="0"/>
  <mergeCells count="2462">
    <mergeCell ref="B477:C478"/>
    <mergeCell ref="A477:A478"/>
    <mergeCell ref="C466:C468"/>
    <mergeCell ref="D466:D468"/>
    <mergeCell ref="E466:F466"/>
    <mergeCell ref="G466:H468"/>
    <mergeCell ref="K466:L468"/>
    <mergeCell ref="M466:M468"/>
    <mergeCell ref="N466:O468"/>
    <mergeCell ref="P466:Q468"/>
    <mergeCell ref="R466:R468"/>
    <mergeCell ref="S466:S468"/>
    <mergeCell ref="T466:T468"/>
    <mergeCell ref="U466:U468"/>
    <mergeCell ref="V466:V468"/>
    <mergeCell ref="W466:W468"/>
    <mergeCell ref="X466:X468"/>
    <mergeCell ref="W472:W474"/>
    <mergeCell ref="P472:Q474"/>
    <mergeCell ref="C472:C474"/>
    <mergeCell ref="D469:D471"/>
    <mergeCell ref="D472:D474"/>
    <mergeCell ref="E472:F472"/>
    <mergeCell ref="X472:X474"/>
    <mergeCell ref="T472:T474"/>
    <mergeCell ref="U472:U474"/>
    <mergeCell ref="R472:R474"/>
    <mergeCell ref="Y466:Y468"/>
    <mergeCell ref="E467:F467"/>
    <mergeCell ref="E468:F468"/>
    <mergeCell ref="C463:C465"/>
    <mergeCell ref="D463:D465"/>
    <mergeCell ref="E463:F463"/>
    <mergeCell ref="G463:H465"/>
    <mergeCell ref="K463:L465"/>
    <mergeCell ref="M463:M465"/>
    <mergeCell ref="N463:O465"/>
    <mergeCell ref="P463:Q465"/>
    <mergeCell ref="R463:R465"/>
    <mergeCell ref="S463:S465"/>
    <mergeCell ref="T463:T465"/>
    <mergeCell ref="U463:U465"/>
    <mergeCell ref="V463:V465"/>
    <mergeCell ref="W463:W465"/>
    <mergeCell ref="X463:X465"/>
    <mergeCell ref="Y463:Y465"/>
    <mergeCell ref="E464:F464"/>
    <mergeCell ref="E465:F465"/>
    <mergeCell ref="C460:C462"/>
    <mergeCell ref="D460:D462"/>
    <mergeCell ref="E460:F460"/>
    <mergeCell ref="G460:H462"/>
    <mergeCell ref="K460:L462"/>
    <mergeCell ref="M460:M462"/>
    <mergeCell ref="N460:O462"/>
    <mergeCell ref="P460:Q462"/>
    <mergeCell ref="R460:R462"/>
    <mergeCell ref="S460:S462"/>
    <mergeCell ref="T460:T462"/>
    <mergeCell ref="U460:U462"/>
    <mergeCell ref="V460:V462"/>
    <mergeCell ref="W460:W462"/>
    <mergeCell ref="X460:X462"/>
    <mergeCell ref="Y460:Y462"/>
    <mergeCell ref="E461:F461"/>
    <mergeCell ref="E462:F462"/>
    <mergeCell ref="C457:C459"/>
    <mergeCell ref="D457:D459"/>
    <mergeCell ref="E457:F457"/>
    <mergeCell ref="G457:H459"/>
    <mergeCell ref="K457:L459"/>
    <mergeCell ref="M457:M459"/>
    <mergeCell ref="N457:O459"/>
    <mergeCell ref="P457:Q459"/>
    <mergeCell ref="R457:R459"/>
    <mergeCell ref="S457:S459"/>
    <mergeCell ref="T457:T459"/>
    <mergeCell ref="U457:U459"/>
    <mergeCell ref="V457:V459"/>
    <mergeCell ref="W457:W459"/>
    <mergeCell ref="X457:X459"/>
    <mergeCell ref="Y457:Y459"/>
    <mergeCell ref="E458:F458"/>
    <mergeCell ref="E459:F459"/>
    <mergeCell ref="C454:C456"/>
    <mergeCell ref="D454:D456"/>
    <mergeCell ref="E454:F454"/>
    <mergeCell ref="G454:H456"/>
    <mergeCell ref="K454:L456"/>
    <mergeCell ref="M454:M456"/>
    <mergeCell ref="N454:O456"/>
    <mergeCell ref="P454:Q456"/>
    <mergeCell ref="R454:R456"/>
    <mergeCell ref="S454:S456"/>
    <mergeCell ref="T454:T456"/>
    <mergeCell ref="U454:U456"/>
    <mergeCell ref="V454:V456"/>
    <mergeCell ref="W454:W456"/>
    <mergeCell ref="X454:X456"/>
    <mergeCell ref="Y454:Y456"/>
    <mergeCell ref="E455:F455"/>
    <mergeCell ref="E456:F456"/>
    <mergeCell ref="C445:C447"/>
    <mergeCell ref="D445:D447"/>
    <mergeCell ref="E445:F445"/>
    <mergeCell ref="G445:H447"/>
    <mergeCell ref="K445:L447"/>
    <mergeCell ref="M445:M447"/>
    <mergeCell ref="N445:O447"/>
    <mergeCell ref="P445:Q447"/>
    <mergeCell ref="R445:R447"/>
    <mergeCell ref="S445:S447"/>
    <mergeCell ref="T445:T447"/>
    <mergeCell ref="U445:U447"/>
    <mergeCell ref="V445:V447"/>
    <mergeCell ref="W445:W447"/>
    <mergeCell ref="X445:X447"/>
    <mergeCell ref="Y445:Y447"/>
    <mergeCell ref="E446:F446"/>
    <mergeCell ref="E447:F447"/>
    <mergeCell ref="C442:C444"/>
    <mergeCell ref="D442:D444"/>
    <mergeCell ref="E442:F442"/>
    <mergeCell ref="G442:H444"/>
    <mergeCell ref="K442:L444"/>
    <mergeCell ref="M442:M444"/>
    <mergeCell ref="N442:O444"/>
    <mergeCell ref="P442:Q444"/>
    <mergeCell ref="R442:R444"/>
    <mergeCell ref="S442:S444"/>
    <mergeCell ref="T442:T444"/>
    <mergeCell ref="U442:U444"/>
    <mergeCell ref="V442:V444"/>
    <mergeCell ref="W442:W444"/>
    <mergeCell ref="X442:X444"/>
    <mergeCell ref="Y442:Y444"/>
    <mergeCell ref="E443:F443"/>
    <mergeCell ref="E444:F444"/>
    <mergeCell ref="C439:C441"/>
    <mergeCell ref="D439:D441"/>
    <mergeCell ref="E439:F439"/>
    <mergeCell ref="G439:H441"/>
    <mergeCell ref="K439:L441"/>
    <mergeCell ref="M439:M441"/>
    <mergeCell ref="N439:O441"/>
    <mergeCell ref="P439:Q441"/>
    <mergeCell ref="R439:R441"/>
    <mergeCell ref="S439:S441"/>
    <mergeCell ref="T439:T441"/>
    <mergeCell ref="U439:U441"/>
    <mergeCell ref="V439:V441"/>
    <mergeCell ref="W439:W441"/>
    <mergeCell ref="X439:X441"/>
    <mergeCell ref="Y439:Y441"/>
    <mergeCell ref="E440:F440"/>
    <mergeCell ref="E441:F441"/>
    <mergeCell ref="C436:C438"/>
    <mergeCell ref="D436:D438"/>
    <mergeCell ref="E436:F436"/>
    <mergeCell ref="G436:H438"/>
    <mergeCell ref="K436:L438"/>
    <mergeCell ref="M436:M438"/>
    <mergeCell ref="N436:O438"/>
    <mergeCell ref="P436:Q438"/>
    <mergeCell ref="R436:R438"/>
    <mergeCell ref="S436:S438"/>
    <mergeCell ref="T436:T438"/>
    <mergeCell ref="U436:U438"/>
    <mergeCell ref="V436:V438"/>
    <mergeCell ref="W436:W438"/>
    <mergeCell ref="X436:X438"/>
    <mergeCell ref="Y436:Y438"/>
    <mergeCell ref="E437:F437"/>
    <mergeCell ref="E438:F438"/>
    <mergeCell ref="C433:C435"/>
    <mergeCell ref="D433:D435"/>
    <mergeCell ref="E433:F433"/>
    <mergeCell ref="G433:H435"/>
    <mergeCell ref="K433:L435"/>
    <mergeCell ref="M433:M435"/>
    <mergeCell ref="N433:O435"/>
    <mergeCell ref="P433:Q435"/>
    <mergeCell ref="R433:R435"/>
    <mergeCell ref="S433:S435"/>
    <mergeCell ref="T433:T435"/>
    <mergeCell ref="U433:U435"/>
    <mergeCell ref="V433:V435"/>
    <mergeCell ref="W433:W435"/>
    <mergeCell ref="X433:X435"/>
    <mergeCell ref="Y433:Y435"/>
    <mergeCell ref="E434:F434"/>
    <mergeCell ref="E435:F435"/>
    <mergeCell ref="C430:C432"/>
    <mergeCell ref="D430:D432"/>
    <mergeCell ref="E430:F430"/>
    <mergeCell ref="G430:H432"/>
    <mergeCell ref="K430:L432"/>
    <mergeCell ref="M430:M432"/>
    <mergeCell ref="N430:O432"/>
    <mergeCell ref="P430:Q432"/>
    <mergeCell ref="R430:R432"/>
    <mergeCell ref="S430:S432"/>
    <mergeCell ref="T430:T432"/>
    <mergeCell ref="U430:U432"/>
    <mergeCell ref="V430:V432"/>
    <mergeCell ref="W430:W432"/>
    <mergeCell ref="X430:X432"/>
    <mergeCell ref="Y430:Y432"/>
    <mergeCell ref="E431:F431"/>
    <mergeCell ref="E432:F432"/>
    <mergeCell ref="C427:C429"/>
    <mergeCell ref="D427:D429"/>
    <mergeCell ref="E427:F427"/>
    <mergeCell ref="G427:H429"/>
    <mergeCell ref="K427:L429"/>
    <mergeCell ref="M427:M429"/>
    <mergeCell ref="N427:O429"/>
    <mergeCell ref="P427:Q429"/>
    <mergeCell ref="R427:R429"/>
    <mergeCell ref="S427:S429"/>
    <mergeCell ref="T427:T429"/>
    <mergeCell ref="U427:U429"/>
    <mergeCell ref="V427:V429"/>
    <mergeCell ref="W427:W429"/>
    <mergeCell ref="X427:X429"/>
    <mergeCell ref="Y427:Y429"/>
    <mergeCell ref="E428:F428"/>
    <mergeCell ref="E429:F429"/>
    <mergeCell ref="C424:C426"/>
    <mergeCell ref="D424:D426"/>
    <mergeCell ref="E424:F424"/>
    <mergeCell ref="G424:H426"/>
    <mergeCell ref="K424:L426"/>
    <mergeCell ref="M424:M426"/>
    <mergeCell ref="N424:O426"/>
    <mergeCell ref="P424:Q426"/>
    <mergeCell ref="R424:R426"/>
    <mergeCell ref="S424:S426"/>
    <mergeCell ref="T424:T426"/>
    <mergeCell ref="U424:U426"/>
    <mergeCell ref="V424:V426"/>
    <mergeCell ref="W424:W426"/>
    <mergeCell ref="X424:X426"/>
    <mergeCell ref="Y424:Y426"/>
    <mergeCell ref="E425:F425"/>
    <mergeCell ref="E426:F426"/>
    <mergeCell ref="C421:C423"/>
    <mergeCell ref="D421:D423"/>
    <mergeCell ref="E421:F421"/>
    <mergeCell ref="G421:H423"/>
    <mergeCell ref="K421:L423"/>
    <mergeCell ref="M421:M423"/>
    <mergeCell ref="N421:O423"/>
    <mergeCell ref="P421:Q423"/>
    <mergeCell ref="R421:R423"/>
    <mergeCell ref="S421:S423"/>
    <mergeCell ref="T421:T423"/>
    <mergeCell ref="U421:U423"/>
    <mergeCell ref="V421:V423"/>
    <mergeCell ref="W421:W423"/>
    <mergeCell ref="X421:X423"/>
    <mergeCell ref="Y421:Y423"/>
    <mergeCell ref="E422:F422"/>
    <mergeCell ref="E423:F423"/>
    <mergeCell ref="C418:C420"/>
    <mergeCell ref="D418:D420"/>
    <mergeCell ref="E418:F418"/>
    <mergeCell ref="G418:H420"/>
    <mergeCell ref="K418:L420"/>
    <mergeCell ref="M418:M420"/>
    <mergeCell ref="N418:O420"/>
    <mergeCell ref="P418:Q420"/>
    <mergeCell ref="R418:R420"/>
    <mergeCell ref="S418:S420"/>
    <mergeCell ref="T418:T420"/>
    <mergeCell ref="U418:U420"/>
    <mergeCell ref="V418:V420"/>
    <mergeCell ref="W418:W420"/>
    <mergeCell ref="X418:X420"/>
    <mergeCell ref="Y418:Y420"/>
    <mergeCell ref="E419:F419"/>
    <mergeCell ref="E420:F420"/>
    <mergeCell ref="C415:C417"/>
    <mergeCell ref="D415:D417"/>
    <mergeCell ref="E415:F415"/>
    <mergeCell ref="G415:H417"/>
    <mergeCell ref="K415:L417"/>
    <mergeCell ref="M415:M417"/>
    <mergeCell ref="N415:O417"/>
    <mergeCell ref="P415:Q417"/>
    <mergeCell ref="R415:R417"/>
    <mergeCell ref="S415:S417"/>
    <mergeCell ref="T415:T417"/>
    <mergeCell ref="U415:U417"/>
    <mergeCell ref="V415:V417"/>
    <mergeCell ref="W415:W417"/>
    <mergeCell ref="X415:X417"/>
    <mergeCell ref="Y415:Y417"/>
    <mergeCell ref="E416:F416"/>
    <mergeCell ref="E417:F417"/>
    <mergeCell ref="C412:C414"/>
    <mergeCell ref="D412:D414"/>
    <mergeCell ref="E412:F412"/>
    <mergeCell ref="G412:H414"/>
    <mergeCell ref="K412:L414"/>
    <mergeCell ref="M412:M414"/>
    <mergeCell ref="N412:O414"/>
    <mergeCell ref="P412:Q414"/>
    <mergeCell ref="R412:R414"/>
    <mergeCell ref="S412:S414"/>
    <mergeCell ref="T412:T414"/>
    <mergeCell ref="U412:U414"/>
    <mergeCell ref="V412:V414"/>
    <mergeCell ref="W412:W414"/>
    <mergeCell ref="X412:X414"/>
    <mergeCell ref="Y412:Y414"/>
    <mergeCell ref="E413:F413"/>
    <mergeCell ref="E414:F414"/>
    <mergeCell ref="C409:C411"/>
    <mergeCell ref="D409:D411"/>
    <mergeCell ref="E409:F409"/>
    <mergeCell ref="G409:H411"/>
    <mergeCell ref="K409:L411"/>
    <mergeCell ref="M409:M411"/>
    <mergeCell ref="N409:O411"/>
    <mergeCell ref="P409:Q411"/>
    <mergeCell ref="R409:R411"/>
    <mergeCell ref="S409:S411"/>
    <mergeCell ref="T409:T411"/>
    <mergeCell ref="U409:U411"/>
    <mergeCell ref="V409:V411"/>
    <mergeCell ref="W409:W411"/>
    <mergeCell ref="X409:X411"/>
    <mergeCell ref="Y409:Y411"/>
    <mergeCell ref="E410:F410"/>
    <mergeCell ref="E411:F411"/>
    <mergeCell ref="C406:C408"/>
    <mergeCell ref="D406:D408"/>
    <mergeCell ref="E406:F406"/>
    <mergeCell ref="G406:H408"/>
    <mergeCell ref="K406:L408"/>
    <mergeCell ref="M406:M408"/>
    <mergeCell ref="N406:O408"/>
    <mergeCell ref="P406:Q408"/>
    <mergeCell ref="R406:R408"/>
    <mergeCell ref="S406:S408"/>
    <mergeCell ref="T406:T408"/>
    <mergeCell ref="U406:U408"/>
    <mergeCell ref="V406:V408"/>
    <mergeCell ref="W406:W408"/>
    <mergeCell ref="X406:X408"/>
    <mergeCell ref="Y406:Y408"/>
    <mergeCell ref="E407:F407"/>
    <mergeCell ref="E408:F408"/>
    <mergeCell ref="C403:C405"/>
    <mergeCell ref="D403:D405"/>
    <mergeCell ref="E403:F403"/>
    <mergeCell ref="G403:H405"/>
    <mergeCell ref="K403:L405"/>
    <mergeCell ref="M403:M405"/>
    <mergeCell ref="N403:O405"/>
    <mergeCell ref="P403:Q405"/>
    <mergeCell ref="R403:R405"/>
    <mergeCell ref="S403:S405"/>
    <mergeCell ref="T403:T405"/>
    <mergeCell ref="U403:U405"/>
    <mergeCell ref="V403:V405"/>
    <mergeCell ref="W403:W405"/>
    <mergeCell ref="X403:X405"/>
    <mergeCell ref="Y403:Y405"/>
    <mergeCell ref="E404:F404"/>
    <mergeCell ref="E405:F405"/>
    <mergeCell ref="C397:C399"/>
    <mergeCell ref="D397:D399"/>
    <mergeCell ref="E397:F397"/>
    <mergeCell ref="G397:H399"/>
    <mergeCell ref="K397:L399"/>
    <mergeCell ref="M397:M399"/>
    <mergeCell ref="N397:O399"/>
    <mergeCell ref="P397:Q399"/>
    <mergeCell ref="R397:R399"/>
    <mergeCell ref="S397:S399"/>
    <mergeCell ref="T397:T399"/>
    <mergeCell ref="U397:U399"/>
    <mergeCell ref="V397:V399"/>
    <mergeCell ref="W397:W399"/>
    <mergeCell ref="X397:X399"/>
    <mergeCell ref="Y397:Y399"/>
    <mergeCell ref="E398:F398"/>
    <mergeCell ref="E399:F399"/>
    <mergeCell ref="C394:C396"/>
    <mergeCell ref="D394:D396"/>
    <mergeCell ref="E394:F394"/>
    <mergeCell ref="G394:H396"/>
    <mergeCell ref="K394:L396"/>
    <mergeCell ref="M394:M396"/>
    <mergeCell ref="N394:O396"/>
    <mergeCell ref="P394:Q396"/>
    <mergeCell ref="R394:R396"/>
    <mergeCell ref="S394:S396"/>
    <mergeCell ref="T394:T396"/>
    <mergeCell ref="U394:U396"/>
    <mergeCell ref="V394:V396"/>
    <mergeCell ref="W394:W396"/>
    <mergeCell ref="X394:X396"/>
    <mergeCell ref="Y394:Y396"/>
    <mergeCell ref="E395:F395"/>
    <mergeCell ref="E396:F396"/>
    <mergeCell ref="C391:C393"/>
    <mergeCell ref="D391:D393"/>
    <mergeCell ref="E391:F391"/>
    <mergeCell ref="G391:H393"/>
    <mergeCell ref="K391:L393"/>
    <mergeCell ref="M391:M393"/>
    <mergeCell ref="N391:O393"/>
    <mergeCell ref="P391:Q393"/>
    <mergeCell ref="R391:R393"/>
    <mergeCell ref="S391:S393"/>
    <mergeCell ref="T391:T393"/>
    <mergeCell ref="U391:U393"/>
    <mergeCell ref="V391:V393"/>
    <mergeCell ref="W391:W393"/>
    <mergeCell ref="X391:X393"/>
    <mergeCell ref="Y391:Y393"/>
    <mergeCell ref="E392:F392"/>
    <mergeCell ref="E393:F393"/>
    <mergeCell ref="D388:D390"/>
    <mergeCell ref="E388:F388"/>
    <mergeCell ref="G388:H390"/>
    <mergeCell ref="K388:L390"/>
    <mergeCell ref="M388:M390"/>
    <mergeCell ref="N388:O390"/>
    <mergeCell ref="P388:Q390"/>
    <mergeCell ref="R388:R390"/>
    <mergeCell ref="S388:S390"/>
    <mergeCell ref="T388:T390"/>
    <mergeCell ref="U388:U390"/>
    <mergeCell ref="V388:V390"/>
    <mergeCell ref="W388:W390"/>
    <mergeCell ref="X388:X390"/>
    <mergeCell ref="Y388:Y390"/>
    <mergeCell ref="E389:F389"/>
    <mergeCell ref="E390:F390"/>
    <mergeCell ref="U378:U380"/>
    <mergeCell ref="V378:V380"/>
    <mergeCell ref="B380:C381"/>
    <mergeCell ref="B383:B384"/>
    <mergeCell ref="C383:C384"/>
    <mergeCell ref="D383:D384"/>
    <mergeCell ref="E383:F384"/>
    <mergeCell ref="G383:H384"/>
    <mergeCell ref="I383:J384"/>
    <mergeCell ref="K383:L384"/>
    <mergeCell ref="M383:M384"/>
    <mergeCell ref="N383:O384"/>
    <mergeCell ref="P383:Q384"/>
    <mergeCell ref="R383:R384"/>
    <mergeCell ref="S383:S384"/>
    <mergeCell ref="T383:T384"/>
    <mergeCell ref="U383:U384"/>
    <mergeCell ref="V383:V384"/>
    <mergeCell ref="W383:W384"/>
    <mergeCell ref="X383:X384"/>
    <mergeCell ref="Y383:Y384"/>
    <mergeCell ref="A380:A381"/>
    <mergeCell ref="S345:S347"/>
    <mergeCell ref="T345:T347"/>
    <mergeCell ref="U345:U347"/>
    <mergeCell ref="V345:V347"/>
    <mergeCell ref="W345:W347"/>
    <mergeCell ref="X345:X347"/>
    <mergeCell ref="Y345:Y347"/>
    <mergeCell ref="E346:F346"/>
    <mergeCell ref="E347:F347"/>
    <mergeCell ref="C345:C347"/>
    <mergeCell ref="D345:D347"/>
    <mergeCell ref="E345:F345"/>
    <mergeCell ref="G345:H347"/>
    <mergeCell ref="K345:L347"/>
    <mergeCell ref="M345:M347"/>
    <mergeCell ref="N345:O347"/>
    <mergeCell ref="P345:Q347"/>
    <mergeCell ref="R345:R347"/>
    <mergeCell ref="K369:L371"/>
    <mergeCell ref="M369:M371"/>
    <mergeCell ref="N369:O371"/>
    <mergeCell ref="P369:Q371"/>
    <mergeCell ref="R369:R371"/>
    <mergeCell ref="S366:S368"/>
    <mergeCell ref="T366:T368"/>
    <mergeCell ref="U366:U368"/>
    <mergeCell ref="V366:V368"/>
    <mergeCell ref="W366:W368"/>
    <mergeCell ref="S342:S344"/>
    <mergeCell ref="T342:T344"/>
    <mergeCell ref="U342:U344"/>
    <mergeCell ref="V342:V344"/>
    <mergeCell ref="W342:W344"/>
    <mergeCell ref="X342:X344"/>
    <mergeCell ref="Y342:Y344"/>
    <mergeCell ref="E343:F343"/>
    <mergeCell ref="E344:F344"/>
    <mergeCell ref="C342:C344"/>
    <mergeCell ref="D342:D344"/>
    <mergeCell ref="E342:F342"/>
    <mergeCell ref="G342:H344"/>
    <mergeCell ref="K342:L344"/>
    <mergeCell ref="M342:M344"/>
    <mergeCell ref="N342:O344"/>
    <mergeCell ref="P342:Q344"/>
    <mergeCell ref="R342:R344"/>
    <mergeCell ref="S339:S341"/>
    <mergeCell ref="T339:T341"/>
    <mergeCell ref="U339:U341"/>
    <mergeCell ref="V339:V341"/>
    <mergeCell ref="W339:W341"/>
    <mergeCell ref="X339:X341"/>
    <mergeCell ref="Y339:Y341"/>
    <mergeCell ref="E340:F340"/>
    <mergeCell ref="E341:F341"/>
    <mergeCell ref="C339:C341"/>
    <mergeCell ref="D339:D341"/>
    <mergeCell ref="E339:F339"/>
    <mergeCell ref="G339:H341"/>
    <mergeCell ref="K339:L341"/>
    <mergeCell ref="M339:M341"/>
    <mergeCell ref="N339:O341"/>
    <mergeCell ref="P339:Q341"/>
    <mergeCell ref="R339:R341"/>
    <mergeCell ref="S336:S338"/>
    <mergeCell ref="T336:T338"/>
    <mergeCell ref="U336:U338"/>
    <mergeCell ref="V336:V338"/>
    <mergeCell ref="W336:W338"/>
    <mergeCell ref="X336:X338"/>
    <mergeCell ref="Y336:Y338"/>
    <mergeCell ref="E337:F337"/>
    <mergeCell ref="E338:F338"/>
    <mergeCell ref="C336:C338"/>
    <mergeCell ref="D336:D338"/>
    <mergeCell ref="E336:F336"/>
    <mergeCell ref="G336:H338"/>
    <mergeCell ref="K336:L338"/>
    <mergeCell ref="M336:M338"/>
    <mergeCell ref="N336:O338"/>
    <mergeCell ref="P336:Q338"/>
    <mergeCell ref="R336:R338"/>
    <mergeCell ref="S333:S335"/>
    <mergeCell ref="T333:T335"/>
    <mergeCell ref="U333:U335"/>
    <mergeCell ref="V333:V335"/>
    <mergeCell ref="W333:W335"/>
    <mergeCell ref="X333:X335"/>
    <mergeCell ref="Y333:Y335"/>
    <mergeCell ref="E334:F334"/>
    <mergeCell ref="E335:F335"/>
    <mergeCell ref="C333:C335"/>
    <mergeCell ref="D333:D335"/>
    <mergeCell ref="E333:F333"/>
    <mergeCell ref="G333:H335"/>
    <mergeCell ref="K333:L335"/>
    <mergeCell ref="M333:M335"/>
    <mergeCell ref="N333:O335"/>
    <mergeCell ref="P333:Q335"/>
    <mergeCell ref="R333:R335"/>
    <mergeCell ref="S330:S332"/>
    <mergeCell ref="T330:T332"/>
    <mergeCell ref="U330:U332"/>
    <mergeCell ref="V330:V332"/>
    <mergeCell ref="W330:W332"/>
    <mergeCell ref="X330:X332"/>
    <mergeCell ref="Y330:Y332"/>
    <mergeCell ref="E331:F331"/>
    <mergeCell ref="E332:F332"/>
    <mergeCell ref="C330:C332"/>
    <mergeCell ref="D330:D332"/>
    <mergeCell ref="E330:F330"/>
    <mergeCell ref="G330:H332"/>
    <mergeCell ref="K330:L332"/>
    <mergeCell ref="M330:M332"/>
    <mergeCell ref="N330:O332"/>
    <mergeCell ref="P330:Q332"/>
    <mergeCell ref="R330:R332"/>
    <mergeCell ref="S327:S329"/>
    <mergeCell ref="T327:T329"/>
    <mergeCell ref="U327:U329"/>
    <mergeCell ref="V327:V329"/>
    <mergeCell ref="W327:W329"/>
    <mergeCell ref="X327:X329"/>
    <mergeCell ref="Y327:Y329"/>
    <mergeCell ref="E328:F328"/>
    <mergeCell ref="E329:F329"/>
    <mergeCell ref="C327:C329"/>
    <mergeCell ref="D327:D329"/>
    <mergeCell ref="E327:F327"/>
    <mergeCell ref="G327:H329"/>
    <mergeCell ref="K327:L329"/>
    <mergeCell ref="M327:M329"/>
    <mergeCell ref="N327:O329"/>
    <mergeCell ref="P327:Q329"/>
    <mergeCell ref="R327:R329"/>
    <mergeCell ref="S324:S326"/>
    <mergeCell ref="T324:T326"/>
    <mergeCell ref="U324:U326"/>
    <mergeCell ref="V324:V326"/>
    <mergeCell ref="W324:W326"/>
    <mergeCell ref="X324:X326"/>
    <mergeCell ref="Y324:Y326"/>
    <mergeCell ref="E325:F325"/>
    <mergeCell ref="E326:F326"/>
    <mergeCell ref="C324:C326"/>
    <mergeCell ref="D324:D326"/>
    <mergeCell ref="E324:F324"/>
    <mergeCell ref="G324:H326"/>
    <mergeCell ref="K324:L326"/>
    <mergeCell ref="M324:M326"/>
    <mergeCell ref="N324:O326"/>
    <mergeCell ref="P324:Q326"/>
    <mergeCell ref="R324:R326"/>
    <mergeCell ref="S321:S323"/>
    <mergeCell ref="T321:T323"/>
    <mergeCell ref="U321:U323"/>
    <mergeCell ref="V321:V323"/>
    <mergeCell ref="W321:W323"/>
    <mergeCell ref="X321:X323"/>
    <mergeCell ref="Y321:Y323"/>
    <mergeCell ref="E322:F322"/>
    <mergeCell ref="E323:F323"/>
    <mergeCell ref="C321:C323"/>
    <mergeCell ref="D321:D323"/>
    <mergeCell ref="E321:F321"/>
    <mergeCell ref="G321:H323"/>
    <mergeCell ref="K321:L323"/>
    <mergeCell ref="M321:M323"/>
    <mergeCell ref="N321:O323"/>
    <mergeCell ref="P321:Q323"/>
    <mergeCell ref="R321:R323"/>
    <mergeCell ref="S318:S320"/>
    <mergeCell ref="T318:T320"/>
    <mergeCell ref="U318:U320"/>
    <mergeCell ref="V318:V320"/>
    <mergeCell ref="W318:W320"/>
    <mergeCell ref="X318:X320"/>
    <mergeCell ref="Y318:Y320"/>
    <mergeCell ref="E319:F319"/>
    <mergeCell ref="E320:F320"/>
    <mergeCell ref="C318:C320"/>
    <mergeCell ref="D318:D320"/>
    <mergeCell ref="E318:F318"/>
    <mergeCell ref="G318:H320"/>
    <mergeCell ref="K318:L320"/>
    <mergeCell ref="M318:M320"/>
    <mergeCell ref="N318:O320"/>
    <mergeCell ref="P318:Q320"/>
    <mergeCell ref="R318:R320"/>
    <mergeCell ref="S315:S317"/>
    <mergeCell ref="T315:T317"/>
    <mergeCell ref="U315:U317"/>
    <mergeCell ref="V315:V317"/>
    <mergeCell ref="W315:W317"/>
    <mergeCell ref="X315:X317"/>
    <mergeCell ref="Y315:Y317"/>
    <mergeCell ref="E316:F316"/>
    <mergeCell ref="E317:F317"/>
    <mergeCell ref="C315:C317"/>
    <mergeCell ref="D315:D317"/>
    <mergeCell ref="E315:F315"/>
    <mergeCell ref="G315:H317"/>
    <mergeCell ref="K315:L317"/>
    <mergeCell ref="M315:M317"/>
    <mergeCell ref="N315:O317"/>
    <mergeCell ref="P315:Q317"/>
    <mergeCell ref="R315:R317"/>
    <mergeCell ref="S312:S314"/>
    <mergeCell ref="T312:T314"/>
    <mergeCell ref="U312:U314"/>
    <mergeCell ref="V312:V314"/>
    <mergeCell ref="W312:W314"/>
    <mergeCell ref="X312:X314"/>
    <mergeCell ref="Y312:Y314"/>
    <mergeCell ref="E313:F313"/>
    <mergeCell ref="E314:F314"/>
    <mergeCell ref="C312:C314"/>
    <mergeCell ref="D312:D314"/>
    <mergeCell ref="E312:F312"/>
    <mergeCell ref="G312:H314"/>
    <mergeCell ref="K312:L314"/>
    <mergeCell ref="M312:M314"/>
    <mergeCell ref="N312:O314"/>
    <mergeCell ref="P312:Q314"/>
    <mergeCell ref="R312:R314"/>
    <mergeCell ref="S309:S311"/>
    <mergeCell ref="T309:T311"/>
    <mergeCell ref="U309:U311"/>
    <mergeCell ref="V309:V311"/>
    <mergeCell ref="W309:W311"/>
    <mergeCell ref="X309:X311"/>
    <mergeCell ref="Y309:Y311"/>
    <mergeCell ref="E310:F310"/>
    <mergeCell ref="E311:F311"/>
    <mergeCell ref="C309:C311"/>
    <mergeCell ref="D309:D311"/>
    <mergeCell ref="E309:F309"/>
    <mergeCell ref="G309:H311"/>
    <mergeCell ref="K309:L311"/>
    <mergeCell ref="M309:M311"/>
    <mergeCell ref="N309:O311"/>
    <mergeCell ref="P309:Q311"/>
    <mergeCell ref="R309:R311"/>
    <mergeCell ref="S306:S308"/>
    <mergeCell ref="T306:T308"/>
    <mergeCell ref="U306:U308"/>
    <mergeCell ref="V306:V308"/>
    <mergeCell ref="W306:W308"/>
    <mergeCell ref="X306:X308"/>
    <mergeCell ref="Y306:Y308"/>
    <mergeCell ref="E307:F307"/>
    <mergeCell ref="E308:F308"/>
    <mergeCell ref="C306:C308"/>
    <mergeCell ref="D306:D308"/>
    <mergeCell ref="E306:F306"/>
    <mergeCell ref="G306:H308"/>
    <mergeCell ref="K306:L308"/>
    <mergeCell ref="M306:M308"/>
    <mergeCell ref="N306:O308"/>
    <mergeCell ref="P306:Q308"/>
    <mergeCell ref="R306:R308"/>
    <mergeCell ref="S303:S305"/>
    <mergeCell ref="T303:T305"/>
    <mergeCell ref="U303:U305"/>
    <mergeCell ref="V303:V305"/>
    <mergeCell ref="W303:W305"/>
    <mergeCell ref="X303:X305"/>
    <mergeCell ref="Y303:Y305"/>
    <mergeCell ref="E304:F304"/>
    <mergeCell ref="E305:F305"/>
    <mergeCell ref="C303:C305"/>
    <mergeCell ref="D303:D305"/>
    <mergeCell ref="E303:F303"/>
    <mergeCell ref="G303:H305"/>
    <mergeCell ref="K303:L305"/>
    <mergeCell ref="M303:M305"/>
    <mergeCell ref="N303:O305"/>
    <mergeCell ref="P303:Q305"/>
    <mergeCell ref="R303:R305"/>
    <mergeCell ref="S300:S302"/>
    <mergeCell ref="T300:T302"/>
    <mergeCell ref="U300:U302"/>
    <mergeCell ref="V300:V302"/>
    <mergeCell ref="W300:W302"/>
    <mergeCell ref="X300:X302"/>
    <mergeCell ref="Y300:Y302"/>
    <mergeCell ref="E301:F301"/>
    <mergeCell ref="E302:F302"/>
    <mergeCell ref="C300:C302"/>
    <mergeCell ref="D300:D302"/>
    <mergeCell ref="E300:F300"/>
    <mergeCell ref="G300:H302"/>
    <mergeCell ref="K300:L302"/>
    <mergeCell ref="M300:M302"/>
    <mergeCell ref="N300:O302"/>
    <mergeCell ref="P300:Q302"/>
    <mergeCell ref="R300:R302"/>
    <mergeCell ref="S297:S299"/>
    <mergeCell ref="T297:T299"/>
    <mergeCell ref="U297:U299"/>
    <mergeCell ref="V297:V299"/>
    <mergeCell ref="W297:W299"/>
    <mergeCell ref="X297:X299"/>
    <mergeCell ref="Y297:Y299"/>
    <mergeCell ref="E298:F298"/>
    <mergeCell ref="E299:F299"/>
    <mergeCell ref="C297:C299"/>
    <mergeCell ref="D297:D299"/>
    <mergeCell ref="E297:F297"/>
    <mergeCell ref="G297:H299"/>
    <mergeCell ref="K297:L299"/>
    <mergeCell ref="M297:M299"/>
    <mergeCell ref="N297:O299"/>
    <mergeCell ref="P297:Q299"/>
    <mergeCell ref="R297:R299"/>
    <mergeCell ref="S294:S296"/>
    <mergeCell ref="T294:T296"/>
    <mergeCell ref="U294:U296"/>
    <mergeCell ref="V294:V296"/>
    <mergeCell ref="W294:W296"/>
    <mergeCell ref="X294:X296"/>
    <mergeCell ref="Y294:Y296"/>
    <mergeCell ref="E295:F295"/>
    <mergeCell ref="E296:F296"/>
    <mergeCell ref="C294:C296"/>
    <mergeCell ref="D294:D296"/>
    <mergeCell ref="E294:F294"/>
    <mergeCell ref="G294:H296"/>
    <mergeCell ref="K294:L296"/>
    <mergeCell ref="M294:M296"/>
    <mergeCell ref="N294:O296"/>
    <mergeCell ref="P294:Q296"/>
    <mergeCell ref="R294:R296"/>
    <mergeCell ref="S258:S260"/>
    <mergeCell ref="T258:T260"/>
    <mergeCell ref="U258:U260"/>
    <mergeCell ref="V258:V260"/>
    <mergeCell ref="W258:W260"/>
    <mergeCell ref="X258:X260"/>
    <mergeCell ref="Y258:Y260"/>
    <mergeCell ref="E259:F259"/>
    <mergeCell ref="E260:F260"/>
    <mergeCell ref="C258:C260"/>
    <mergeCell ref="D258:D260"/>
    <mergeCell ref="E258:F258"/>
    <mergeCell ref="G258:H260"/>
    <mergeCell ref="K258:L260"/>
    <mergeCell ref="M258:M260"/>
    <mergeCell ref="N258:O260"/>
    <mergeCell ref="P258:Q260"/>
    <mergeCell ref="R258:R260"/>
    <mergeCell ref="S255:S257"/>
    <mergeCell ref="T255:T257"/>
    <mergeCell ref="U255:U257"/>
    <mergeCell ref="V255:V257"/>
    <mergeCell ref="W255:W257"/>
    <mergeCell ref="X255:X257"/>
    <mergeCell ref="Y255:Y257"/>
    <mergeCell ref="E256:F256"/>
    <mergeCell ref="E257:F257"/>
    <mergeCell ref="C255:C257"/>
    <mergeCell ref="D255:D257"/>
    <mergeCell ref="E255:F255"/>
    <mergeCell ref="G255:H257"/>
    <mergeCell ref="K255:L257"/>
    <mergeCell ref="M255:M257"/>
    <mergeCell ref="N255:O257"/>
    <mergeCell ref="P255:Q257"/>
    <mergeCell ref="R255:R257"/>
    <mergeCell ref="S252:S254"/>
    <mergeCell ref="T252:T254"/>
    <mergeCell ref="U252:U254"/>
    <mergeCell ref="V252:V254"/>
    <mergeCell ref="W252:W254"/>
    <mergeCell ref="X252:X254"/>
    <mergeCell ref="Y252:Y254"/>
    <mergeCell ref="E253:F253"/>
    <mergeCell ref="E254:F254"/>
    <mergeCell ref="C252:C254"/>
    <mergeCell ref="D252:D254"/>
    <mergeCell ref="E252:F252"/>
    <mergeCell ref="G252:H254"/>
    <mergeCell ref="K252:L254"/>
    <mergeCell ref="M252:M254"/>
    <mergeCell ref="N252:O254"/>
    <mergeCell ref="P252:Q254"/>
    <mergeCell ref="R252:R254"/>
    <mergeCell ref="S249:S251"/>
    <mergeCell ref="T249:T251"/>
    <mergeCell ref="U249:U251"/>
    <mergeCell ref="V249:V251"/>
    <mergeCell ref="W249:W251"/>
    <mergeCell ref="X249:X251"/>
    <mergeCell ref="Y249:Y251"/>
    <mergeCell ref="E250:F250"/>
    <mergeCell ref="E251:F251"/>
    <mergeCell ref="C249:C251"/>
    <mergeCell ref="D249:D251"/>
    <mergeCell ref="E249:F249"/>
    <mergeCell ref="G249:H251"/>
    <mergeCell ref="K249:L251"/>
    <mergeCell ref="M249:M251"/>
    <mergeCell ref="N249:O251"/>
    <mergeCell ref="P249:Q251"/>
    <mergeCell ref="R249:R251"/>
    <mergeCell ref="S246:S248"/>
    <mergeCell ref="T246:T248"/>
    <mergeCell ref="U246:U248"/>
    <mergeCell ref="V246:V248"/>
    <mergeCell ref="W246:W248"/>
    <mergeCell ref="X246:X248"/>
    <mergeCell ref="Y246:Y248"/>
    <mergeCell ref="E247:F247"/>
    <mergeCell ref="E248:F248"/>
    <mergeCell ref="C246:C248"/>
    <mergeCell ref="D246:D248"/>
    <mergeCell ref="E246:F246"/>
    <mergeCell ref="G246:H248"/>
    <mergeCell ref="K246:L248"/>
    <mergeCell ref="M246:M248"/>
    <mergeCell ref="N246:O248"/>
    <mergeCell ref="P246:Q248"/>
    <mergeCell ref="R246:R248"/>
    <mergeCell ref="T243:T245"/>
    <mergeCell ref="U243:U245"/>
    <mergeCell ref="V243:V245"/>
    <mergeCell ref="W243:W245"/>
    <mergeCell ref="X243:X245"/>
    <mergeCell ref="Y243:Y245"/>
    <mergeCell ref="E244:F244"/>
    <mergeCell ref="E245:F245"/>
    <mergeCell ref="C243:C245"/>
    <mergeCell ref="D243:D245"/>
    <mergeCell ref="E243:F243"/>
    <mergeCell ref="G243:H245"/>
    <mergeCell ref="K243:L245"/>
    <mergeCell ref="M243:M245"/>
    <mergeCell ref="N243:O245"/>
    <mergeCell ref="P243:Q245"/>
    <mergeCell ref="R243:R245"/>
    <mergeCell ref="T240:T242"/>
    <mergeCell ref="U240:U242"/>
    <mergeCell ref="V240:V242"/>
    <mergeCell ref="W240:W242"/>
    <mergeCell ref="X240:X242"/>
    <mergeCell ref="Y240:Y242"/>
    <mergeCell ref="E241:F241"/>
    <mergeCell ref="E242:F242"/>
    <mergeCell ref="C240:C242"/>
    <mergeCell ref="D240:D242"/>
    <mergeCell ref="E240:F240"/>
    <mergeCell ref="G240:H242"/>
    <mergeCell ref="K240:L242"/>
    <mergeCell ref="M240:M242"/>
    <mergeCell ref="N240:O242"/>
    <mergeCell ref="P240:Q242"/>
    <mergeCell ref="R240:R242"/>
    <mergeCell ref="T237:T239"/>
    <mergeCell ref="U237:U239"/>
    <mergeCell ref="V237:V239"/>
    <mergeCell ref="W237:W239"/>
    <mergeCell ref="X237:X239"/>
    <mergeCell ref="Y237:Y239"/>
    <mergeCell ref="E238:F238"/>
    <mergeCell ref="E239:F239"/>
    <mergeCell ref="C237:C239"/>
    <mergeCell ref="D237:D239"/>
    <mergeCell ref="E237:F237"/>
    <mergeCell ref="G237:H239"/>
    <mergeCell ref="K237:L239"/>
    <mergeCell ref="M237:M239"/>
    <mergeCell ref="N237:O239"/>
    <mergeCell ref="P237:Q239"/>
    <mergeCell ref="R237:R239"/>
    <mergeCell ref="T234:T236"/>
    <mergeCell ref="U234:U236"/>
    <mergeCell ref="V234:V236"/>
    <mergeCell ref="W234:W236"/>
    <mergeCell ref="X234:X236"/>
    <mergeCell ref="Y234:Y236"/>
    <mergeCell ref="E235:F235"/>
    <mergeCell ref="E236:F236"/>
    <mergeCell ref="C234:C236"/>
    <mergeCell ref="D234:D236"/>
    <mergeCell ref="E234:F234"/>
    <mergeCell ref="G234:H236"/>
    <mergeCell ref="K234:L236"/>
    <mergeCell ref="M234:M236"/>
    <mergeCell ref="N234:O236"/>
    <mergeCell ref="P234:Q236"/>
    <mergeCell ref="R234:R236"/>
    <mergeCell ref="T231:T233"/>
    <mergeCell ref="U231:U233"/>
    <mergeCell ref="V231:V233"/>
    <mergeCell ref="W231:W233"/>
    <mergeCell ref="X231:X233"/>
    <mergeCell ref="Y231:Y233"/>
    <mergeCell ref="E232:F232"/>
    <mergeCell ref="E233:F233"/>
    <mergeCell ref="C231:C233"/>
    <mergeCell ref="D231:D233"/>
    <mergeCell ref="E231:F231"/>
    <mergeCell ref="G231:H233"/>
    <mergeCell ref="K231:L233"/>
    <mergeCell ref="M231:M233"/>
    <mergeCell ref="N231:O233"/>
    <mergeCell ref="P231:Q233"/>
    <mergeCell ref="R231:R233"/>
    <mergeCell ref="T228:T230"/>
    <mergeCell ref="U228:U230"/>
    <mergeCell ref="V228:V230"/>
    <mergeCell ref="W228:W230"/>
    <mergeCell ref="X228:X230"/>
    <mergeCell ref="Y228:Y230"/>
    <mergeCell ref="E229:F229"/>
    <mergeCell ref="E230:F230"/>
    <mergeCell ref="C228:C230"/>
    <mergeCell ref="D228:D230"/>
    <mergeCell ref="E228:F228"/>
    <mergeCell ref="G228:H230"/>
    <mergeCell ref="K228:L230"/>
    <mergeCell ref="M228:M230"/>
    <mergeCell ref="N228:O230"/>
    <mergeCell ref="P228:Q230"/>
    <mergeCell ref="R228:R230"/>
    <mergeCell ref="T225:T227"/>
    <mergeCell ref="U225:U227"/>
    <mergeCell ref="V225:V227"/>
    <mergeCell ref="W225:W227"/>
    <mergeCell ref="X225:X227"/>
    <mergeCell ref="Y225:Y227"/>
    <mergeCell ref="E226:F226"/>
    <mergeCell ref="E227:F227"/>
    <mergeCell ref="C225:C227"/>
    <mergeCell ref="D225:D227"/>
    <mergeCell ref="E225:F225"/>
    <mergeCell ref="G225:H227"/>
    <mergeCell ref="K225:L227"/>
    <mergeCell ref="M225:M227"/>
    <mergeCell ref="N225:O227"/>
    <mergeCell ref="P225:Q227"/>
    <mergeCell ref="R225:R227"/>
    <mergeCell ref="T222:T224"/>
    <mergeCell ref="U222:U224"/>
    <mergeCell ref="V222:V224"/>
    <mergeCell ref="W222:W224"/>
    <mergeCell ref="X222:X224"/>
    <mergeCell ref="Y222:Y224"/>
    <mergeCell ref="E223:F223"/>
    <mergeCell ref="E224:F224"/>
    <mergeCell ref="C222:C224"/>
    <mergeCell ref="D222:D224"/>
    <mergeCell ref="E222:F222"/>
    <mergeCell ref="G222:H224"/>
    <mergeCell ref="K222:L224"/>
    <mergeCell ref="M222:M224"/>
    <mergeCell ref="N222:O224"/>
    <mergeCell ref="P222:Q224"/>
    <mergeCell ref="R222:R224"/>
    <mergeCell ref="T219:T221"/>
    <mergeCell ref="U219:U221"/>
    <mergeCell ref="V219:V221"/>
    <mergeCell ref="W219:W221"/>
    <mergeCell ref="X219:X221"/>
    <mergeCell ref="Y219:Y221"/>
    <mergeCell ref="E220:F220"/>
    <mergeCell ref="E221:F221"/>
    <mergeCell ref="C219:C221"/>
    <mergeCell ref="D219:D221"/>
    <mergeCell ref="E219:F219"/>
    <mergeCell ref="G219:H221"/>
    <mergeCell ref="K219:L221"/>
    <mergeCell ref="M219:M221"/>
    <mergeCell ref="N219:O221"/>
    <mergeCell ref="P219:Q221"/>
    <mergeCell ref="R219:R221"/>
    <mergeCell ref="T216:T218"/>
    <mergeCell ref="U216:U218"/>
    <mergeCell ref="V216:V218"/>
    <mergeCell ref="W216:W218"/>
    <mergeCell ref="X216:X218"/>
    <mergeCell ref="Y216:Y218"/>
    <mergeCell ref="E217:F217"/>
    <mergeCell ref="E218:F218"/>
    <mergeCell ref="C216:C218"/>
    <mergeCell ref="D216:D218"/>
    <mergeCell ref="E216:F216"/>
    <mergeCell ref="G216:H218"/>
    <mergeCell ref="K216:L218"/>
    <mergeCell ref="M216:M218"/>
    <mergeCell ref="N216:O218"/>
    <mergeCell ref="P216:Q218"/>
    <mergeCell ref="R216:R218"/>
    <mergeCell ref="T213:T215"/>
    <mergeCell ref="U213:U215"/>
    <mergeCell ref="V213:V215"/>
    <mergeCell ref="W213:W215"/>
    <mergeCell ref="X213:X215"/>
    <mergeCell ref="Y213:Y215"/>
    <mergeCell ref="E214:F214"/>
    <mergeCell ref="E215:F215"/>
    <mergeCell ref="C213:C215"/>
    <mergeCell ref="D213:D215"/>
    <mergeCell ref="E213:F213"/>
    <mergeCell ref="G213:H215"/>
    <mergeCell ref="K213:L215"/>
    <mergeCell ref="M213:M215"/>
    <mergeCell ref="N213:O215"/>
    <mergeCell ref="P213:Q215"/>
    <mergeCell ref="R213:R215"/>
    <mergeCell ref="T210:T212"/>
    <mergeCell ref="U210:U212"/>
    <mergeCell ref="V210:V212"/>
    <mergeCell ref="W210:W212"/>
    <mergeCell ref="X210:X212"/>
    <mergeCell ref="Y210:Y212"/>
    <mergeCell ref="E211:F211"/>
    <mergeCell ref="E212:F212"/>
    <mergeCell ref="C210:C212"/>
    <mergeCell ref="D210:D212"/>
    <mergeCell ref="E210:F210"/>
    <mergeCell ref="G210:H212"/>
    <mergeCell ref="K210:L212"/>
    <mergeCell ref="M210:M212"/>
    <mergeCell ref="N210:O212"/>
    <mergeCell ref="P210:Q212"/>
    <mergeCell ref="R210:R212"/>
    <mergeCell ref="T207:T209"/>
    <mergeCell ref="U207:U209"/>
    <mergeCell ref="V207:V209"/>
    <mergeCell ref="W207:W209"/>
    <mergeCell ref="X207:X209"/>
    <mergeCell ref="Y207:Y209"/>
    <mergeCell ref="E208:F208"/>
    <mergeCell ref="E209:F209"/>
    <mergeCell ref="C207:C209"/>
    <mergeCell ref="D207:D209"/>
    <mergeCell ref="E207:F207"/>
    <mergeCell ref="G207:H209"/>
    <mergeCell ref="K207:L209"/>
    <mergeCell ref="M207:M209"/>
    <mergeCell ref="N207:O209"/>
    <mergeCell ref="P207:Q209"/>
    <mergeCell ref="R207:R209"/>
    <mergeCell ref="T204:T206"/>
    <mergeCell ref="U204:U206"/>
    <mergeCell ref="V204:V206"/>
    <mergeCell ref="W204:W206"/>
    <mergeCell ref="X204:X206"/>
    <mergeCell ref="Y204:Y206"/>
    <mergeCell ref="E205:F205"/>
    <mergeCell ref="E206:F206"/>
    <mergeCell ref="C204:C206"/>
    <mergeCell ref="D204:D206"/>
    <mergeCell ref="E204:F204"/>
    <mergeCell ref="G204:H206"/>
    <mergeCell ref="K204:L206"/>
    <mergeCell ref="M204:M206"/>
    <mergeCell ref="N204:O206"/>
    <mergeCell ref="P204:Q206"/>
    <mergeCell ref="R204:R206"/>
    <mergeCell ref="T201:T203"/>
    <mergeCell ref="U201:U203"/>
    <mergeCell ref="V201:V203"/>
    <mergeCell ref="W201:W203"/>
    <mergeCell ref="X201:X203"/>
    <mergeCell ref="Y201:Y203"/>
    <mergeCell ref="E202:F202"/>
    <mergeCell ref="E203:F203"/>
    <mergeCell ref="C201:C203"/>
    <mergeCell ref="D201:D203"/>
    <mergeCell ref="E201:F201"/>
    <mergeCell ref="G201:H203"/>
    <mergeCell ref="K201:L203"/>
    <mergeCell ref="M201:M203"/>
    <mergeCell ref="N201:O203"/>
    <mergeCell ref="P201:Q203"/>
    <mergeCell ref="R201:R203"/>
    <mergeCell ref="T198:T200"/>
    <mergeCell ref="U198:U200"/>
    <mergeCell ref="V198:V200"/>
    <mergeCell ref="W198:W200"/>
    <mergeCell ref="X198:X200"/>
    <mergeCell ref="Y198:Y200"/>
    <mergeCell ref="E199:F199"/>
    <mergeCell ref="E200:F200"/>
    <mergeCell ref="C198:C200"/>
    <mergeCell ref="D198:D200"/>
    <mergeCell ref="E198:F198"/>
    <mergeCell ref="G198:H200"/>
    <mergeCell ref="K198:L200"/>
    <mergeCell ref="M198:M200"/>
    <mergeCell ref="N198:O200"/>
    <mergeCell ref="P198:Q200"/>
    <mergeCell ref="R198:R200"/>
    <mergeCell ref="T195:T197"/>
    <mergeCell ref="U195:U197"/>
    <mergeCell ref="V195:V197"/>
    <mergeCell ref="W195:W197"/>
    <mergeCell ref="X195:X197"/>
    <mergeCell ref="Y195:Y197"/>
    <mergeCell ref="E196:F196"/>
    <mergeCell ref="E197:F197"/>
    <mergeCell ref="C195:C197"/>
    <mergeCell ref="D195:D197"/>
    <mergeCell ref="E195:F195"/>
    <mergeCell ref="G195:H197"/>
    <mergeCell ref="K195:L197"/>
    <mergeCell ref="M195:M197"/>
    <mergeCell ref="N195:O197"/>
    <mergeCell ref="P195:Q197"/>
    <mergeCell ref="R195:R197"/>
    <mergeCell ref="T192:T194"/>
    <mergeCell ref="U192:U194"/>
    <mergeCell ref="V192:V194"/>
    <mergeCell ref="W192:W194"/>
    <mergeCell ref="X192:X194"/>
    <mergeCell ref="Y192:Y194"/>
    <mergeCell ref="E193:F193"/>
    <mergeCell ref="E194:F194"/>
    <mergeCell ref="C192:C194"/>
    <mergeCell ref="D192:D194"/>
    <mergeCell ref="E192:F192"/>
    <mergeCell ref="G192:H194"/>
    <mergeCell ref="K192:L194"/>
    <mergeCell ref="M192:M194"/>
    <mergeCell ref="N192:O194"/>
    <mergeCell ref="P192:Q194"/>
    <mergeCell ref="R192:R194"/>
    <mergeCell ref="T189:T191"/>
    <mergeCell ref="U189:U191"/>
    <mergeCell ref="V189:V191"/>
    <mergeCell ref="W189:W191"/>
    <mergeCell ref="X189:X191"/>
    <mergeCell ref="Y189:Y191"/>
    <mergeCell ref="E190:F190"/>
    <mergeCell ref="E191:F191"/>
    <mergeCell ref="C189:C191"/>
    <mergeCell ref="D189:D191"/>
    <mergeCell ref="E189:F189"/>
    <mergeCell ref="G189:H191"/>
    <mergeCell ref="K189:L191"/>
    <mergeCell ref="M189:M191"/>
    <mergeCell ref="N189:O191"/>
    <mergeCell ref="P189:Q191"/>
    <mergeCell ref="R189:R191"/>
    <mergeCell ref="T186:T188"/>
    <mergeCell ref="U186:U188"/>
    <mergeCell ref="V186:V188"/>
    <mergeCell ref="W186:W188"/>
    <mergeCell ref="X186:X188"/>
    <mergeCell ref="Y186:Y188"/>
    <mergeCell ref="E187:F187"/>
    <mergeCell ref="E188:F188"/>
    <mergeCell ref="C186:C188"/>
    <mergeCell ref="D186:D188"/>
    <mergeCell ref="E186:F186"/>
    <mergeCell ref="G186:H188"/>
    <mergeCell ref="K186:L188"/>
    <mergeCell ref="M186:M188"/>
    <mergeCell ref="N186:O188"/>
    <mergeCell ref="P186:Q188"/>
    <mergeCell ref="R186:R188"/>
    <mergeCell ref="T183:T185"/>
    <mergeCell ref="U183:U185"/>
    <mergeCell ref="V183:V185"/>
    <mergeCell ref="W183:W185"/>
    <mergeCell ref="X183:X185"/>
    <mergeCell ref="Y183:Y185"/>
    <mergeCell ref="E184:F184"/>
    <mergeCell ref="E185:F185"/>
    <mergeCell ref="C183:C185"/>
    <mergeCell ref="D183:D185"/>
    <mergeCell ref="E183:F183"/>
    <mergeCell ref="G183:H185"/>
    <mergeCell ref="K183:L185"/>
    <mergeCell ref="M183:M185"/>
    <mergeCell ref="N183:O185"/>
    <mergeCell ref="P183:Q185"/>
    <mergeCell ref="R183:R185"/>
    <mergeCell ref="T180:T182"/>
    <mergeCell ref="U180:U182"/>
    <mergeCell ref="V180:V182"/>
    <mergeCell ref="W180:W182"/>
    <mergeCell ref="X180:X182"/>
    <mergeCell ref="Y180:Y182"/>
    <mergeCell ref="E181:F181"/>
    <mergeCell ref="E182:F182"/>
    <mergeCell ref="C180:C182"/>
    <mergeCell ref="D180:D182"/>
    <mergeCell ref="E180:F180"/>
    <mergeCell ref="G180:H182"/>
    <mergeCell ref="K180:L182"/>
    <mergeCell ref="M180:M182"/>
    <mergeCell ref="N180:O182"/>
    <mergeCell ref="P180:Q182"/>
    <mergeCell ref="R180:R182"/>
    <mergeCell ref="T177:T179"/>
    <mergeCell ref="U177:U179"/>
    <mergeCell ref="V177:V179"/>
    <mergeCell ref="W177:W179"/>
    <mergeCell ref="X177:X179"/>
    <mergeCell ref="Y177:Y179"/>
    <mergeCell ref="E178:F178"/>
    <mergeCell ref="E179:F179"/>
    <mergeCell ref="C177:C179"/>
    <mergeCell ref="D177:D179"/>
    <mergeCell ref="E177:F177"/>
    <mergeCell ref="G177:H179"/>
    <mergeCell ref="K177:L179"/>
    <mergeCell ref="M177:M179"/>
    <mergeCell ref="N177:O179"/>
    <mergeCell ref="P177:Q179"/>
    <mergeCell ref="R177:R179"/>
    <mergeCell ref="W171:W173"/>
    <mergeCell ref="X171:X173"/>
    <mergeCell ref="Y171:Y173"/>
    <mergeCell ref="E172:F172"/>
    <mergeCell ref="E173:F173"/>
    <mergeCell ref="C171:C173"/>
    <mergeCell ref="D171:D173"/>
    <mergeCell ref="E171:F171"/>
    <mergeCell ref="G171:H173"/>
    <mergeCell ref="K171:L173"/>
    <mergeCell ref="M171:M173"/>
    <mergeCell ref="N171:O173"/>
    <mergeCell ref="P171:Q173"/>
    <mergeCell ref="R171:R173"/>
    <mergeCell ref="T174:T176"/>
    <mergeCell ref="U174:U176"/>
    <mergeCell ref="V174:V176"/>
    <mergeCell ref="W174:W176"/>
    <mergeCell ref="X174:X176"/>
    <mergeCell ref="Y174:Y176"/>
    <mergeCell ref="E175:F175"/>
    <mergeCell ref="E176:F176"/>
    <mergeCell ref="C174:C176"/>
    <mergeCell ref="D174:D176"/>
    <mergeCell ref="E174:F174"/>
    <mergeCell ref="G174:H176"/>
    <mergeCell ref="K174:L176"/>
    <mergeCell ref="M174:M176"/>
    <mergeCell ref="N174:O176"/>
    <mergeCell ref="P174:Q176"/>
    <mergeCell ref="R174:R176"/>
    <mergeCell ref="W165:W167"/>
    <mergeCell ref="X165:X167"/>
    <mergeCell ref="Y165:Y167"/>
    <mergeCell ref="E166:F166"/>
    <mergeCell ref="E167:F167"/>
    <mergeCell ref="C165:C167"/>
    <mergeCell ref="D165:D167"/>
    <mergeCell ref="E165:F165"/>
    <mergeCell ref="G165:H167"/>
    <mergeCell ref="K165:L167"/>
    <mergeCell ref="M165:M167"/>
    <mergeCell ref="N165:O167"/>
    <mergeCell ref="P165:Q167"/>
    <mergeCell ref="R165:R167"/>
    <mergeCell ref="T168:T170"/>
    <mergeCell ref="U168:U170"/>
    <mergeCell ref="V168:V170"/>
    <mergeCell ref="W168:W170"/>
    <mergeCell ref="X168:X170"/>
    <mergeCell ref="Y168:Y170"/>
    <mergeCell ref="E169:F169"/>
    <mergeCell ref="E170:F170"/>
    <mergeCell ref="C168:C170"/>
    <mergeCell ref="D168:D170"/>
    <mergeCell ref="E168:F168"/>
    <mergeCell ref="G168:H170"/>
    <mergeCell ref="K168:L170"/>
    <mergeCell ref="M168:M170"/>
    <mergeCell ref="N168:O170"/>
    <mergeCell ref="P168:Q170"/>
    <mergeCell ref="R168:R170"/>
    <mergeCell ref="S165:S167"/>
    <mergeCell ref="W159:W161"/>
    <mergeCell ref="X159:X161"/>
    <mergeCell ref="Y159:Y161"/>
    <mergeCell ref="E160:F160"/>
    <mergeCell ref="E161:F161"/>
    <mergeCell ref="C162:C164"/>
    <mergeCell ref="D162:D164"/>
    <mergeCell ref="E162:F162"/>
    <mergeCell ref="G162:H164"/>
    <mergeCell ref="K162:L164"/>
    <mergeCell ref="M162:M164"/>
    <mergeCell ref="N162:O164"/>
    <mergeCell ref="P162:Q164"/>
    <mergeCell ref="R162:R164"/>
    <mergeCell ref="S162:S164"/>
    <mergeCell ref="T162:T164"/>
    <mergeCell ref="U162:U164"/>
    <mergeCell ref="V162:V164"/>
    <mergeCell ref="W162:W164"/>
    <mergeCell ref="X162:X164"/>
    <mergeCell ref="Y162:Y164"/>
    <mergeCell ref="E163:F163"/>
    <mergeCell ref="E164:F164"/>
    <mergeCell ref="G159:H161"/>
    <mergeCell ref="K159:L161"/>
    <mergeCell ref="N159:O161"/>
    <mergeCell ref="P159:Q161"/>
    <mergeCell ref="R159:R161"/>
    <mergeCell ref="S159:S161"/>
    <mergeCell ref="T159:T161"/>
    <mergeCell ref="W150:W152"/>
    <mergeCell ref="X150:X152"/>
    <mergeCell ref="Y150:Y152"/>
    <mergeCell ref="E151:F151"/>
    <mergeCell ref="E152:F152"/>
    <mergeCell ref="U159:U161"/>
    <mergeCell ref="W153:W155"/>
    <mergeCell ref="X153:X155"/>
    <mergeCell ref="Y153:Y155"/>
    <mergeCell ref="E154:F154"/>
    <mergeCell ref="E155:F155"/>
    <mergeCell ref="C156:C158"/>
    <mergeCell ref="D156:D158"/>
    <mergeCell ref="E156:F156"/>
    <mergeCell ref="G156:H158"/>
    <mergeCell ref="K156:L158"/>
    <mergeCell ref="M156:M158"/>
    <mergeCell ref="N156:O158"/>
    <mergeCell ref="P156:Q158"/>
    <mergeCell ref="R156:R158"/>
    <mergeCell ref="S156:S158"/>
    <mergeCell ref="T156:T158"/>
    <mergeCell ref="U156:U158"/>
    <mergeCell ref="V156:V158"/>
    <mergeCell ref="W156:W158"/>
    <mergeCell ref="X156:X158"/>
    <mergeCell ref="Y156:Y158"/>
    <mergeCell ref="E157:F157"/>
    <mergeCell ref="E158:F158"/>
    <mergeCell ref="K153:L155"/>
    <mergeCell ref="N153:O155"/>
    <mergeCell ref="P153:Q155"/>
    <mergeCell ref="X144:X146"/>
    <mergeCell ref="Y144:Y146"/>
    <mergeCell ref="E145:F145"/>
    <mergeCell ref="E146:F146"/>
    <mergeCell ref="K141:L143"/>
    <mergeCell ref="M141:M143"/>
    <mergeCell ref="N141:O143"/>
    <mergeCell ref="P141:Q143"/>
    <mergeCell ref="R141:R143"/>
    <mergeCell ref="S141:S143"/>
    <mergeCell ref="T141:T143"/>
    <mergeCell ref="U141:U143"/>
    <mergeCell ref="V153:V155"/>
    <mergeCell ref="W147:W149"/>
    <mergeCell ref="X147:X149"/>
    <mergeCell ref="Y147:Y149"/>
    <mergeCell ref="E148:F148"/>
    <mergeCell ref="E149:F149"/>
    <mergeCell ref="K147:L149"/>
    <mergeCell ref="M147:M149"/>
    <mergeCell ref="N147:O149"/>
    <mergeCell ref="P147:Q149"/>
    <mergeCell ref="R147:R149"/>
    <mergeCell ref="S147:S149"/>
    <mergeCell ref="T147:T149"/>
    <mergeCell ref="U147:U149"/>
    <mergeCell ref="E150:F150"/>
    <mergeCell ref="G150:H152"/>
    <mergeCell ref="K150:L152"/>
    <mergeCell ref="M150:M152"/>
    <mergeCell ref="N150:O152"/>
    <mergeCell ref="U150:U152"/>
    <mergeCell ref="T369:T371"/>
    <mergeCell ref="U369:U371"/>
    <mergeCell ref="V369:V371"/>
    <mergeCell ref="W369:W371"/>
    <mergeCell ref="X369:X371"/>
    <mergeCell ref="Y369:Y371"/>
    <mergeCell ref="E370:F370"/>
    <mergeCell ref="E371:F371"/>
    <mergeCell ref="C369:C371"/>
    <mergeCell ref="D369:D371"/>
    <mergeCell ref="E369:F369"/>
    <mergeCell ref="G369:H371"/>
    <mergeCell ref="V147:V149"/>
    <mergeCell ref="W141:W143"/>
    <mergeCell ref="X141:X143"/>
    <mergeCell ref="Y141:Y143"/>
    <mergeCell ref="E142:F142"/>
    <mergeCell ref="E143:F143"/>
    <mergeCell ref="C144:C146"/>
    <mergeCell ref="D144:D146"/>
    <mergeCell ref="E144:F144"/>
    <mergeCell ref="G144:H146"/>
    <mergeCell ref="K144:L146"/>
    <mergeCell ref="M144:M146"/>
    <mergeCell ref="N144:O146"/>
    <mergeCell ref="P144:Q146"/>
    <mergeCell ref="R144:R146"/>
    <mergeCell ref="S144:S146"/>
    <mergeCell ref="T144:T146"/>
    <mergeCell ref="U144:U146"/>
    <mergeCell ref="V144:V146"/>
    <mergeCell ref="W144:W146"/>
    <mergeCell ref="T372:T374"/>
    <mergeCell ref="U372:U374"/>
    <mergeCell ref="V372:V374"/>
    <mergeCell ref="W372:W374"/>
    <mergeCell ref="X372:X374"/>
    <mergeCell ref="Y372:Y374"/>
    <mergeCell ref="E373:F373"/>
    <mergeCell ref="E374:F374"/>
    <mergeCell ref="C372:C374"/>
    <mergeCell ref="D372:D374"/>
    <mergeCell ref="E372:F372"/>
    <mergeCell ref="G372:H374"/>
    <mergeCell ref="K372:L374"/>
    <mergeCell ref="M372:M374"/>
    <mergeCell ref="N372:O374"/>
    <mergeCell ref="P372:Q374"/>
    <mergeCell ref="R372:R374"/>
    <mergeCell ref="X366:X368"/>
    <mergeCell ref="Y366:Y368"/>
    <mergeCell ref="E367:F367"/>
    <mergeCell ref="E368:F368"/>
    <mergeCell ref="C366:C368"/>
    <mergeCell ref="D366:D368"/>
    <mergeCell ref="E366:F366"/>
    <mergeCell ref="G366:H368"/>
    <mergeCell ref="K366:L368"/>
    <mergeCell ref="M366:M368"/>
    <mergeCell ref="N366:O368"/>
    <mergeCell ref="P366:Q368"/>
    <mergeCell ref="R366:R368"/>
    <mergeCell ref="S363:S365"/>
    <mergeCell ref="T363:T365"/>
    <mergeCell ref="U363:U365"/>
    <mergeCell ref="V363:V365"/>
    <mergeCell ref="W363:W365"/>
    <mergeCell ref="X363:X365"/>
    <mergeCell ref="Y363:Y365"/>
    <mergeCell ref="E364:F364"/>
    <mergeCell ref="E365:F365"/>
    <mergeCell ref="C363:C365"/>
    <mergeCell ref="D363:D365"/>
    <mergeCell ref="E363:F363"/>
    <mergeCell ref="G363:H365"/>
    <mergeCell ref="K363:L365"/>
    <mergeCell ref="M363:M365"/>
    <mergeCell ref="N363:O365"/>
    <mergeCell ref="P363:Q365"/>
    <mergeCell ref="R363:R365"/>
    <mergeCell ref="T360:T362"/>
    <mergeCell ref="U360:U362"/>
    <mergeCell ref="V360:V362"/>
    <mergeCell ref="W360:W362"/>
    <mergeCell ref="X360:X362"/>
    <mergeCell ref="Y360:Y362"/>
    <mergeCell ref="E361:F361"/>
    <mergeCell ref="E362:F362"/>
    <mergeCell ref="C360:C362"/>
    <mergeCell ref="D360:D362"/>
    <mergeCell ref="E360:F360"/>
    <mergeCell ref="G360:H362"/>
    <mergeCell ref="K360:L362"/>
    <mergeCell ref="M360:M362"/>
    <mergeCell ref="N360:O362"/>
    <mergeCell ref="P360:Q362"/>
    <mergeCell ref="R360:R362"/>
    <mergeCell ref="T357:T359"/>
    <mergeCell ref="U357:U359"/>
    <mergeCell ref="V357:V359"/>
    <mergeCell ref="W357:W359"/>
    <mergeCell ref="X357:X359"/>
    <mergeCell ref="Y357:Y359"/>
    <mergeCell ref="E358:F358"/>
    <mergeCell ref="E359:F359"/>
    <mergeCell ref="C357:C359"/>
    <mergeCell ref="D357:D359"/>
    <mergeCell ref="E357:F357"/>
    <mergeCell ref="G357:H359"/>
    <mergeCell ref="K357:L359"/>
    <mergeCell ref="M357:M359"/>
    <mergeCell ref="N357:O359"/>
    <mergeCell ref="P357:Q359"/>
    <mergeCell ref="R357:R359"/>
    <mergeCell ref="T354:T356"/>
    <mergeCell ref="U354:U356"/>
    <mergeCell ref="V354:V356"/>
    <mergeCell ref="W354:W356"/>
    <mergeCell ref="X354:X356"/>
    <mergeCell ref="Y354:Y356"/>
    <mergeCell ref="E355:F355"/>
    <mergeCell ref="E356:F356"/>
    <mergeCell ref="C354:C356"/>
    <mergeCell ref="D354:D356"/>
    <mergeCell ref="E354:F354"/>
    <mergeCell ref="G354:H356"/>
    <mergeCell ref="K354:L356"/>
    <mergeCell ref="M354:M356"/>
    <mergeCell ref="N354:O356"/>
    <mergeCell ref="P354:Q356"/>
    <mergeCell ref="R354:R356"/>
    <mergeCell ref="S354:S356"/>
    <mergeCell ref="T351:T353"/>
    <mergeCell ref="U351:U353"/>
    <mergeCell ref="V351:V353"/>
    <mergeCell ref="W351:W353"/>
    <mergeCell ref="X351:X353"/>
    <mergeCell ref="Y351:Y353"/>
    <mergeCell ref="E352:F352"/>
    <mergeCell ref="E353:F353"/>
    <mergeCell ref="C351:C353"/>
    <mergeCell ref="D351:D353"/>
    <mergeCell ref="E351:F351"/>
    <mergeCell ref="G351:H353"/>
    <mergeCell ref="K351:L353"/>
    <mergeCell ref="M351:M353"/>
    <mergeCell ref="N351:O353"/>
    <mergeCell ref="P351:Q353"/>
    <mergeCell ref="R351:R353"/>
    <mergeCell ref="S351:S353"/>
    <mergeCell ref="T348:T350"/>
    <mergeCell ref="U348:U350"/>
    <mergeCell ref="V348:V350"/>
    <mergeCell ref="W348:W350"/>
    <mergeCell ref="X348:X350"/>
    <mergeCell ref="Y348:Y350"/>
    <mergeCell ref="E349:F349"/>
    <mergeCell ref="E350:F350"/>
    <mergeCell ref="C348:C350"/>
    <mergeCell ref="D348:D350"/>
    <mergeCell ref="E348:F348"/>
    <mergeCell ref="G348:H350"/>
    <mergeCell ref="K348:L350"/>
    <mergeCell ref="M348:M350"/>
    <mergeCell ref="N348:O350"/>
    <mergeCell ref="P348:Q350"/>
    <mergeCell ref="R348:R350"/>
    <mergeCell ref="S348:S350"/>
    <mergeCell ref="T291:T293"/>
    <mergeCell ref="U291:U293"/>
    <mergeCell ref="V291:V293"/>
    <mergeCell ref="W291:W293"/>
    <mergeCell ref="X291:X293"/>
    <mergeCell ref="Y291:Y293"/>
    <mergeCell ref="E292:F292"/>
    <mergeCell ref="E293:F293"/>
    <mergeCell ref="C291:C293"/>
    <mergeCell ref="D291:D293"/>
    <mergeCell ref="E291:F291"/>
    <mergeCell ref="G291:H293"/>
    <mergeCell ref="K291:L293"/>
    <mergeCell ref="M291:M293"/>
    <mergeCell ref="N291:O293"/>
    <mergeCell ref="P291:Q293"/>
    <mergeCell ref="R291:R293"/>
    <mergeCell ref="S291:S293"/>
    <mergeCell ref="T288:T290"/>
    <mergeCell ref="U288:U290"/>
    <mergeCell ref="V288:V290"/>
    <mergeCell ref="W288:W290"/>
    <mergeCell ref="X288:X290"/>
    <mergeCell ref="Y288:Y290"/>
    <mergeCell ref="E289:F289"/>
    <mergeCell ref="E290:F290"/>
    <mergeCell ref="C288:C290"/>
    <mergeCell ref="D288:D290"/>
    <mergeCell ref="E288:F288"/>
    <mergeCell ref="G288:H290"/>
    <mergeCell ref="K288:L290"/>
    <mergeCell ref="M288:M290"/>
    <mergeCell ref="N288:O290"/>
    <mergeCell ref="P288:Q290"/>
    <mergeCell ref="R288:R290"/>
    <mergeCell ref="S288:S290"/>
    <mergeCell ref="V285:V287"/>
    <mergeCell ref="W285:W287"/>
    <mergeCell ref="X285:X287"/>
    <mergeCell ref="Y285:Y287"/>
    <mergeCell ref="E286:F286"/>
    <mergeCell ref="E287:F287"/>
    <mergeCell ref="E283:F283"/>
    <mergeCell ref="E284:F284"/>
    <mergeCell ref="C285:C287"/>
    <mergeCell ref="D285:D287"/>
    <mergeCell ref="E285:F285"/>
    <mergeCell ref="G285:H287"/>
    <mergeCell ref="K285:L287"/>
    <mergeCell ref="M285:M287"/>
    <mergeCell ref="N285:O287"/>
    <mergeCell ref="P285:Q287"/>
    <mergeCell ref="S285:S287"/>
    <mergeCell ref="U285:U287"/>
    <mergeCell ref="Y279:Y281"/>
    <mergeCell ref="E280:F280"/>
    <mergeCell ref="E281:F281"/>
    <mergeCell ref="C282:C284"/>
    <mergeCell ref="D282:D284"/>
    <mergeCell ref="E282:F282"/>
    <mergeCell ref="G282:H284"/>
    <mergeCell ref="K282:L284"/>
    <mergeCell ref="M282:M284"/>
    <mergeCell ref="N282:O284"/>
    <mergeCell ref="P282:Q284"/>
    <mergeCell ref="R282:R284"/>
    <mergeCell ref="S282:S284"/>
    <mergeCell ref="T282:T284"/>
    <mergeCell ref="U282:U284"/>
    <mergeCell ref="V282:V284"/>
    <mergeCell ref="W282:W284"/>
    <mergeCell ref="X282:X284"/>
    <mergeCell ref="Y282:Y284"/>
    <mergeCell ref="S279:S281"/>
    <mergeCell ref="P267:Q269"/>
    <mergeCell ref="C276:C278"/>
    <mergeCell ref="D276:D278"/>
    <mergeCell ref="E276:F276"/>
    <mergeCell ref="G276:H278"/>
    <mergeCell ref="K276:L278"/>
    <mergeCell ref="M276:M278"/>
    <mergeCell ref="N276:O278"/>
    <mergeCell ref="P276:Q278"/>
    <mergeCell ref="R276:R278"/>
    <mergeCell ref="S276:S278"/>
    <mergeCell ref="T276:T278"/>
    <mergeCell ref="U276:U278"/>
    <mergeCell ref="V276:V278"/>
    <mergeCell ref="W276:W278"/>
    <mergeCell ref="X276:X278"/>
    <mergeCell ref="Y276:Y278"/>
    <mergeCell ref="S273:S275"/>
    <mergeCell ref="M273:M275"/>
    <mergeCell ref="N273:O275"/>
    <mergeCell ref="T273:T275"/>
    <mergeCell ref="U273:U275"/>
    <mergeCell ref="V273:V275"/>
    <mergeCell ref="W273:W275"/>
    <mergeCell ref="X273:X275"/>
    <mergeCell ref="Y273:Y275"/>
    <mergeCell ref="E274:F274"/>
    <mergeCell ref="W264:W266"/>
    <mergeCell ref="X264:X266"/>
    <mergeCell ref="Y264:Y266"/>
    <mergeCell ref="P261:Q263"/>
    <mergeCell ref="S261:S263"/>
    <mergeCell ref="T261:T263"/>
    <mergeCell ref="U261:U263"/>
    <mergeCell ref="V261:V263"/>
    <mergeCell ref="C261:C263"/>
    <mergeCell ref="D261:D263"/>
    <mergeCell ref="E261:F261"/>
    <mergeCell ref="G261:H263"/>
    <mergeCell ref="E265:F265"/>
    <mergeCell ref="Y267:Y269"/>
    <mergeCell ref="E268:F268"/>
    <mergeCell ref="E269:F269"/>
    <mergeCell ref="C270:C272"/>
    <mergeCell ref="D270:D272"/>
    <mergeCell ref="E270:F270"/>
    <mergeCell ref="G270:H272"/>
    <mergeCell ref="K270:L272"/>
    <mergeCell ref="M270:M272"/>
    <mergeCell ref="N270:O272"/>
    <mergeCell ref="P270:Q272"/>
    <mergeCell ref="R270:R272"/>
    <mergeCell ref="S270:S272"/>
    <mergeCell ref="T270:T272"/>
    <mergeCell ref="U270:U272"/>
    <mergeCell ref="V270:V272"/>
    <mergeCell ref="W270:W272"/>
    <mergeCell ref="X270:X272"/>
    <mergeCell ref="Y270:Y272"/>
    <mergeCell ref="V141:V143"/>
    <mergeCell ref="C150:C152"/>
    <mergeCell ref="D150:D152"/>
    <mergeCell ref="P150:Q152"/>
    <mergeCell ref="R150:R152"/>
    <mergeCell ref="S150:S152"/>
    <mergeCell ref="T150:T152"/>
    <mergeCell ref="V150:V152"/>
    <mergeCell ref="R153:R155"/>
    <mergeCell ref="S153:S155"/>
    <mergeCell ref="T153:T155"/>
    <mergeCell ref="U153:U155"/>
    <mergeCell ref="V159:V161"/>
    <mergeCell ref="C264:C266"/>
    <mergeCell ref="D264:D266"/>
    <mergeCell ref="E264:F264"/>
    <mergeCell ref="G264:H266"/>
    <mergeCell ref="K264:L266"/>
    <mergeCell ref="M264:M266"/>
    <mergeCell ref="N264:O266"/>
    <mergeCell ref="P264:Q266"/>
    <mergeCell ref="R264:R266"/>
    <mergeCell ref="S264:S266"/>
    <mergeCell ref="T264:T266"/>
    <mergeCell ref="U264:U266"/>
    <mergeCell ref="V264:V266"/>
    <mergeCell ref="T165:T167"/>
    <mergeCell ref="U165:U167"/>
    <mergeCell ref="V165:V167"/>
    <mergeCell ref="T171:T173"/>
    <mergeCell ref="U171:U173"/>
    <mergeCell ref="V171:V173"/>
    <mergeCell ref="S108:S110"/>
    <mergeCell ref="T108:T110"/>
    <mergeCell ref="U108:U110"/>
    <mergeCell ref="V108:V110"/>
    <mergeCell ref="W108:W110"/>
    <mergeCell ref="X108:X110"/>
    <mergeCell ref="Y108:Y110"/>
    <mergeCell ref="E109:F109"/>
    <mergeCell ref="E110:F110"/>
    <mergeCell ref="C108:C110"/>
    <mergeCell ref="D108:D110"/>
    <mergeCell ref="E108:F108"/>
    <mergeCell ref="G108:H110"/>
    <mergeCell ref="K108:L110"/>
    <mergeCell ref="M108:M110"/>
    <mergeCell ref="N108:O110"/>
    <mergeCell ref="P108:Q110"/>
    <mergeCell ref="R108:R110"/>
    <mergeCell ref="S105:S107"/>
    <mergeCell ref="T105:T107"/>
    <mergeCell ref="U105:U107"/>
    <mergeCell ref="V105:V107"/>
    <mergeCell ref="W105:W107"/>
    <mergeCell ref="X105:X107"/>
    <mergeCell ref="Y105:Y107"/>
    <mergeCell ref="E106:F106"/>
    <mergeCell ref="E107:F107"/>
    <mergeCell ref="C105:C107"/>
    <mergeCell ref="D105:D107"/>
    <mergeCell ref="E105:F105"/>
    <mergeCell ref="G105:H107"/>
    <mergeCell ref="K105:L107"/>
    <mergeCell ref="M105:M107"/>
    <mergeCell ref="N105:O107"/>
    <mergeCell ref="P105:Q107"/>
    <mergeCell ref="R105:R107"/>
    <mergeCell ref="S102:S104"/>
    <mergeCell ref="T102:T104"/>
    <mergeCell ref="U102:U104"/>
    <mergeCell ref="V102:V104"/>
    <mergeCell ref="W102:W104"/>
    <mergeCell ref="X102:X104"/>
    <mergeCell ref="Y102:Y104"/>
    <mergeCell ref="E103:F103"/>
    <mergeCell ref="E104:F104"/>
    <mergeCell ref="C102:C104"/>
    <mergeCell ref="D102:D104"/>
    <mergeCell ref="E102:F102"/>
    <mergeCell ref="G102:H104"/>
    <mergeCell ref="K102:L104"/>
    <mergeCell ref="M102:M104"/>
    <mergeCell ref="N102:O104"/>
    <mergeCell ref="P102:Q104"/>
    <mergeCell ref="R102:R104"/>
    <mergeCell ref="S99:S101"/>
    <mergeCell ref="T99:T101"/>
    <mergeCell ref="U99:U101"/>
    <mergeCell ref="V99:V101"/>
    <mergeCell ref="W99:W101"/>
    <mergeCell ref="X99:X101"/>
    <mergeCell ref="Y99:Y101"/>
    <mergeCell ref="E100:F100"/>
    <mergeCell ref="E101:F101"/>
    <mergeCell ref="C99:C101"/>
    <mergeCell ref="D99:D101"/>
    <mergeCell ref="E99:F99"/>
    <mergeCell ref="G99:H101"/>
    <mergeCell ref="K99:L101"/>
    <mergeCell ref="M99:M101"/>
    <mergeCell ref="N99:O101"/>
    <mergeCell ref="P99:Q101"/>
    <mergeCell ref="R99:R101"/>
    <mergeCell ref="S96:S98"/>
    <mergeCell ref="T96:T98"/>
    <mergeCell ref="U96:U98"/>
    <mergeCell ref="V96:V98"/>
    <mergeCell ref="W96:W98"/>
    <mergeCell ref="X96:X98"/>
    <mergeCell ref="Y96:Y98"/>
    <mergeCell ref="E97:F97"/>
    <mergeCell ref="E98:F98"/>
    <mergeCell ref="C96:C98"/>
    <mergeCell ref="D96:D98"/>
    <mergeCell ref="E96:F96"/>
    <mergeCell ref="G96:H98"/>
    <mergeCell ref="K96:L98"/>
    <mergeCell ref="M96:M98"/>
    <mergeCell ref="N96:O98"/>
    <mergeCell ref="P96:Q98"/>
    <mergeCell ref="R96:R98"/>
    <mergeCell ref="S93:S95"/>
    <mergeCell ref="T93:T95"/>
    <mergeCell ref="U93:U95"/>
    <mergeCell ref="V93:V95"/>
    <mergeCell ref="W93:W95"/>
    <mergeCell ref="X93:X95"/>
    <mergeCell ref="Y93:Y95"/>
    <mergeCell ref="E94:F94"/>
    <mergeCell ref="E95:F95"/>
    <mergeCell ref="C93:C95"/>
    <mergeCell ref="D93:D95"/>
    <mergeCell ref="E93:F93"/>
    <mergeCell ref="G93:H95"/>
    <mergeCell ref="K93:L95"/>
    <mergeCell ref="M93:M95"/>
    <mergeCell ref="N93:O95"/>
    <mergeCell ref="P93:Q95"/>
    <mergeCell ref="R93:R95"/>
    <mergeCell ref="S90:S92"/>
    <mergeCell ref="T90:T92"/>
    <mergeCell ref="U90:U92"/>
    <mergeCell ref="V90:V92"/>
    <mergeCell ref="W90:W92"/>
    <mergeCell ref="X90:X92"/>
    <mergeCell ref="Y90:Y92"/>
    <mergeCell ref="E91:F91"/>
    <mergeCell ref="E92:F92"/>
    <mergeCell ref="C90:C92"/>
    <mergeCell ref="D90:D92"/>
    <mergeCell ref="E90:F90"/>
    <mergeCell ref="G90:H92"/>
    <mergeCell ref="K90:L92"/>
    <mergeCell ref="M90:M92"/>
    <mergeCell ref="N90:O92"/>
    <mergeCell ref="P90:Q92"/>
    <mergeCell ref="R90:R92"/>
    <mergeCell ref="S87:S89"/>
    <mergeCell ref="T87:T89"/>
    <mergeCell ref="U87:U89"/>
    <mergeCell ref="V87:V89"/>
    <mergeCell ref="W87:W89"/>
    <mergeCell ref="X87:X89"/>
    <mergeCell ref="Y87:Y89"/>
    <mergeCell ref="E88:F88"/>
    <mergeCell ref="E89:F89"/>
    <mergeCell ref="C87:C89"/>
    <mergeCell ref="D87:D89"/>
    <mergeCell ref="E87:F87"/>
    <mergeCell ref="G87:H89"/>
    <mergeCell ref="K87:L89"/>
    <mergeCell ref="M87:M89"/>
    <mergeCell ref="N87:O89"/>
    <mergeCell ref="P87:Q89"/>
    <mergeCell ref="R87:R89"/>
    <mergeCell ref="S81:S83"/>
    <mergeCell ref="T81:T83"/>
    <mergeCell ref="U81:U83"/>
    <mergeCell ref="V81:V83"/>
    <mergeCell ref="W81:W83"/>
    <mergeCell ref="X81:X83"/>
    <mergeCell ref="Y81:Y83"/>
    <mergeCell ref="E82:F82"/>
    <mergeCell ref="E83:F83"/>
    <mergeCell ref="E81:F81"/>
    <mergeCell ref="G81:H83"/>
    <mergeCell ref="K81:L83"/>
    <mergeCell ref="M81:M83"/>
    <mergeCell ref="N81:O83"/>
    <mergeCell ref="P81:Q83"/>
    <mergeCell ref="R81:R83"/>
    <mergeCell ref="S84:S86"/>
    <mergeCell ref="T84:T86"/>
    <mergeCell ref="U84:U86"/>
    <mergeCell ref="V84:V86"/>
    <mergeCell ref="W84:W86"/>
    <mergeCell ref="X84:X86"/>
    <mergeCell ref="Y84:Y86"/>
    <mergeCell ref="E85:F85"/>
    <mergeCell ref="E86:F86"/>
    <mergeCell ref="E84:F84"/>
    <mergeCell ref="G84:H86"/>
    <mergeCell ref="K84:L86"/>
    <mergeCell ref="M84:M86"/>
    <mergeCell ref="N84:O86"/>
    <mergeCell ref="P84:Q86"/>
    <mergeCell ref="R84:R86"/>
    <mergeCell ref="S126:S128"/>
    <mergeCell ref="T126:T128"/>
    <mergeCell ref="U126:U128"/>
    <mergeCell ref="V126:V128"/>
    <mergeCell ref="W126:W128"/>
    <mergeCell ref="X126:X128"/>
    <mergeCell ref="Y126:Y128"/>
    <mergeCell ref="E127:F127"/>
    <mergeCell ref="E128:F128"/>
    <mergeCell ref="C126:C128"/>
    <mergeCell ref="D126:D128"/>
    <mergeCell ref="E126:F126"/>
    <mergeCell ref="G126:H128"/>
    <mergeCell ref="T448:T450"/>
    <mergeCell ref="U448:U450"/>
    <mergeCell ref="V448:V450"/>
    <mergeCell ref="W448:W450"/>
    <mergeCell ref="X448:X450"/>
    <mergeCell ref="Y448:Y450"/>
    <mergeCell ref="E449:F449"/>
    <mergeCell ref="E450:F450"/>
    <mergeCell ref="G400:H402"/>
    <mergeCell ref="K400:L402"/>
    <mergeCell ref="M400:M402"/>
    <mergeCell ref="N400:O402"/>
    <mergeCell ref="P400:Q402"/>
    <mergeCell ref="R400:R402"/>
    <mergeCell ref="S400:S402"/>
    <mergeCell ref="T400:T402"/>
    <mergeCell ref="C141:C143"/>
    <mergeCell ref="D141:D143"/>
    <mergeCell ref="E141:F141"/>
    <mergeCell ref="S117:S119"/>
    <mergeCell ref="T117:T119"/>
    <mergeCell ref="U117:U119"/>
    <mergeCell ref="V117:V119"/>
    <mergeCell ref="W117:W119"/>
    <mergeCell ref="X117:X119"/>
    <mergeCell ref="Y117:Y119"/>
    <mergeCell ref="E118:F118"/>
    <mergeCell ref="E119:F119"/>
    <mergeCell ref="C117:C119"/>
    <mergeCell ref="D117:D119"/>
    <mergeCell ref="E117:F117"/>
    <mergeCell ref="G117:H119"/>
    <mergeCell ref="K117:L119"/>
    <mergeCell ref="M117:M119"/>
    <mergeCell ref="N117:O119"/>
    <mergeCell ref="P117:Q119"/>
    <mergeCell ref="R117:R119"/>
    <mergeCell ref="S114:S116"/>
    <mergeCell ref="T114:T116"/>
    <mergeCell ref="U114:U116"/>
    <mergeCell ref="V114:V116"/>
    <mergeCell ref="W114:W116"/>
    <mergeCell ref="X114:X116"/>
    <mergeCell ref="Y114:Y116"/>
    <mergeCell ref="E115:F115"/>
    <mergeCell ref="E116:F116"/>
    <mergeCell ref="C114:C116"/>
    <mergeCell ref="D114:D116"/>
    <mergeCell ref="E114:F114"/>
    <mergeCell ref="G114:H116"/>
    <mergeCell ref="K114:L116"/>
    <mergeCell ref="M114:M116"/>
    <mergeCell ref="N114:O116"/>
    <mergeCell ref="P114:Q116"/>
    <mergeCell ref="R114:R116"/>
    <mergeCell ref="Y120:Y122"/>
    <mergeCell ref="E121:F121"/>
    <mergeCell ref="S123:S125"/>
    <mergeCell ref="T123:T125"/>
    <mergeCell ref="U123:U125"/>
    <mergeCell ref="V123:V125"/>
    <mergeCell ref="W123:W125"/>
    <mergeCell ref="X123:X125"/>
    <mergeCell ref="Y123:Y125"/>
    <mergeCell ref="D120:D122"/>
    <mergeCell ref="E120:F120"/>
    <mergeCell ref="G120:H122"/>
    <mergeCell ref="R120:R122"/>
    <mergeCell ref="S120:S122"/>
    <mergeCell ref="E124:F124"/>
    <mergeCell ref="E125:F125"/>
    <mergeCell ref="S111:S113"/>
    <mergeCell ref="T111:T113"/>
    <mergeCell ref="U111:U113"/>
    <mergeCell ref="V111:V113"/>
    <mergeCell ref="W111:W113"/>
    <mergeCell ref="X111:X113"/>
    <mergeCell ref="Y111:Y113"/>
    <mergeCell ref="E112:F112"/>
    <mergeCell ref="E113:F113"/>
    <mergeCell ref="K120:L122"/>
    <mergeCell ref="M120:M122"/>
    <mergeCell ref="N120:O122"/>
    <mergeCell ref="P120:Q122"/>
    <mergeCell ref="D111:D113"/>
    <mergeCell ref="E111:F111"/>
    <mergeCell ref="G111:H113"/>
    <mergeCell ref="S451:S453"/>
    <mergeCell ref="T78:T80"/>
    <mergeCell ref="S469:S471"/>
    <mergeCell ref="S472:S474"/>
    <mergeCell ref="S267:S269"/>
    <mergeCell ref="K126:L128"/>
    <mergeCell ref="M126:M128"/>
    <mergeCell ref="N126:O128"/>
    <mergeCell ref="P126:Q128"/>
    <mergeCell ref="R126:R128"/>
    <mergeCell ref="T120:T122"/>
    <mergeCell ref="U120:U122"/>
    <mergeCell ref="R135:R137"/>
    <mergeCell ref="S135:S137"/>
    <mergeCell ref="T135:T137"/>
    <mergeCell ref="U135:U137"/>
    <mergeCell ref="E136:F136"/>
    <mergeCell ref="E137:F137"/>
    <mergeCell ref="E122:F122"/>
    <mergeCell ref="E123:F123"/>
    <mergeCell ref="G123:H125"/>
    <mergeCell ref="K123:L125"/>
    <mergeCell ref="M123:M125"/>
    <mergeCell ref="N123:O125"/>
    <mergeCell ref="P123:Q125"/>
    <mergeCell ref="E135:F135"/>
    <mergeCell ref="G135:H137"/>
    <mergeCell ref="E133:F133"/>
    <mergeCell ref="E134:F134"/>
    <mergeCell ref="R129:R131"/>
    <mergeCell ref="S129:S131"/>
    <mergeCell ref="T129:T131"/>
    <mergeCell ref="B12:B42"/>
    <mergeCell ref="M385:M387"/>
    <mergeCell ref="M451:M453"/>
    <mergeCell ref="M469:M471"/>
    <mergeCell ref="M472:M474"/>
    <mergeCell ref="N375:O377"/>
    <mergeCell ref="N385:O387"/>
    <mergeCell ref="N451:O453"/>
    <mergeCell ref="N469:O471"/>
    <mergeCell ref="N472:O474"/>
    <mergeCell ref="P375:Q377"/>
    <mergeCell ref="P273:Q275"/>
    <mergeCell ref="R273:R275"/>
    <mergeCell ref="P279:Q281"/>
    <mergeCell ref="R279:R281"/>
    <mergeCell ref="C120:C122"/>
    <mergeCell ref="C123:C125"/>
    <mergeCell ref="D123:D125"/>
    <mergeCell ref="P68:P72"/>
    <mergeCell ref="N68:N72"/>
    <mergeCell ref="L68:L72"/>
    <mergeCell ref="J68:J72"/>
    <mergeCell ref="H68:H72"/>
    <mergeCell ref="C135:C137"/>
    <mergeCell ref="D135:D137"/>
    <mergeCell ref="E130:F130"/>
    <mergeCell ref="E131:F131"/>
    <mergeCell ref="M132:M134"/>
    <mergeCell ref="C111:C113"/>
    <mergeCell ref="K111:L113"/>
    <mergeCell ref="M111:M113"/>
    <mergeCell ref="M267:M269"/>
    <mergeCell ref="Y135:Y137"/>
    <mergeCell ref="W261:W263"/>
    <mergeCell ref="X261:X263"/>
    <mergeCell ref="Y261:Y263"/>
    <mergeCell ref="B5:C5"/>
    <mergeCell ref="E5:H5"/>
    <mergeCell ref="K5:N5"/>
    <mergeCell ref="P53:P57"/>
    <mergeCell ref="N53:N57"/>
    <mergeCell ref="L53:L57"/>
    <mergeCell ref="J53:J57"/>
    <mergeCell ref="H53:H57"/>
    <mergeCell ref="L23:L27"/>
    <mergeCell ref="N23:N27"/>
    <mergeCell ref="P23:P27"/>
    <mergeCell ref="H38:H42"/>
    <mergeCell ref="J38:J42"/>
    <mergeCell ref="L38:L42"/>
    <mergeCell ref="N38:N42"/>
    <mergeCell ref="P38:P42"/>
    <mergeCell ref="S78:S80"/>
    <mergeCell ref="S138:S140"/>
    <mergeCell ref="X132:X134"/>
    <mergeCell ref="Y132:Y134"/>
    <mergeCell ref="U129:U131"/>
    <mergeCell ref="V129:V131"/>
    <mergeCell ref="W129:W131"/>
    <mergeCell ref="X129:X131"/>
    <mergeCell ref="Y129:Y131"/>
    <mergeCell ref="S132:S134"/>
    <mergeCell ref="T132:T134"/>
    <mergeCell ref="U132:U134"/>
    <mergeCell ref="E132:F132"/>
    <mergeCell ref="G132:H134"/>
    <mergeCell ref="K132:L134"/>
    <mergeCell ref="Y78:Y80"/>
    <mergeCell ref="Y138:Y140"/>
    <mergeCell ref="Y375:Y377"/>
    <mergeCell ref="Y385:Y387"/>
    <mergeCell ref="Y451:Y453"/>
    <mergeCell ref="Y469:Y471"/>
    <mergeCell ref="Y472:Y474"/>
    <mergeCell ref="V78:V80"/>
    <mergeCell ref="V138:V140"/>
    <mergeCell ref="V375:V377"/>
    <mergeCell ref="V385:V387"/>
    <mergeCell ref="V451:V453"/>
    <mergeCell ref="V469:V471"/>
    <mergeCell ref="V472:V474"/>
    <mergeCell ref="W78:W80"/>
    <mergeCell ref="W138:W140"/>
    <mergeCell ref="W385:W387"/>
    <mergeCell ref="W451:W453"/>
    <mergeCell ref="W469:W471"/>
    <mergeCell ref="V120:V122"/>
    <mergeCell ref="W120:W122"/>
    <mergeCell ref="V400:V402"/>
    <mergeCell ref="W400:W402"/>
    <mergeCell ref="X400:X402"/>
    <mergeCell ref="Y400:Y402"/>
    <mergeCell ref="V135:V137"/>
    <mergeCell ref="W135:W137"/>
    <mergeCell ref="X135:X137"/>
    <mergeCell ref="S385:S387"/>
    <mergeCell ref="X138:X140"/>
    <mergeCell ref="X375:X377"/>
    <mergeCell ref="X385:X387"/>
    <mergeCell ref="X451:X453"/>
    <mergeCell ref="X469:X471"/>
    <mergeCell ref="T138:T140"/>
    <mergeCell ref="T375:T377"/>
    <mergeCell ref="T385:T387"/>
    <mergeCell ref="T451:T453"/>
    <mergeCell ref="T469:T471"/>
    <mergeCell ref="U78:U80"/>
    <mergeCell ref="U138:U140"/>
    <mergeCell ref="U375:U377"/>
    <mergeCell ref="U385:U387"/>
    <mergeCell ref="U451:U453"/>
    <mergeCell ref="U469:U471"/>
    <mergeCell ref="V132:V134"/>
    <mergeCell ref="W132:W134"/>
    <mergeCell ref="X120:X122"/>
    <mergeCell ref="U400:U402"/>
    <mergeCell ref="T267:T269"/>
    <mergeCell ref="U267:U269"/>
    <mergeCell ref="V267:V269"/>
    <mergeCell ref="W267:W269"/>
    <mergeCell ref="X267:X269"/>
    <mergeCell ref="T279:T281"/>
    <mergeCell ref="U279:U281"/>
    <mergeCell ref="V279:V281"/>
    <mergeCell ref="W279:W281"/>
    <mergeCell ref="X279:X281"/>
    <mergeCell ref="T285:T287"/>
    <mergeCell ref="X78:X80"/>
    <mergeCell ref="S168:S170"/>
    <mergeCell ref="S171:S173"/>
    <mergeCell ref="S174:S176"/>
    <mergeCell ref="S177:S179"/>
    <mergeCell ref="S180:S182"/>
    <mergeCell ref="S183:S185"/>
    <mergeCell ref="S186:S188"/>
    <mergeCell ref="S189:S191"/>
    <mergeCell ref="S192:S194"/>
    <mergeCell ref="S195:S197"/>
    <mergeCell ref="S198:S200"/>
    <mergeCell ref="S201:S203"/>
    <mergeCell ref="S204:S206"/>
    <mergeCell ref="S207:S209"/>
    <mergeCell ref="R375:R377"/>
    <mergeCell ref="N138:O140"/>
    <mergeCell ref="R267:R269"/>
    <mergeCell ref="N261:O263"/>
    <mergeCell ref="S375:S377"/>
    <mergeCell ref="S210:S212"/>
    <mergeCell ref="S213:S215"/>
    <mergeCell ref="S216:S218"/>
    <mergeCell ref="S219:S221"/>
    <mergeCell ref="S222:S224"/>
    <mergeCell ref="S225:S227"/>
    <mergeCell ref="S228:S230"/>
    <mergeCell ref="S231:S233"/>
    <mergeCell ref="S234:S236"/>
    <mergeCell ref="S237:S239"/>
    <mergeCell ref="S240:S242"/>
    <mergeCell ref="S243:S245"/>
    <mergeCell ref="N267:O269"/>
    <mergeCell ref="AD491:AE493"/>
    <mergeCell ref="L482:M483"/>
    <mergeCell ref="Z482:AA483"/>
    <mergeCell ref="AB482:AC483"/>
    <mergeCell ref="AB71:AB72"/>
    <mergeCell ref="AA71:AA72"/>
    <mergeCell ref="S71:Z72"/>
    <mergeCell ref="AD482:AE483"/>
    <mergeCell ref="T76:T77"/>
    <mergeCell ref="U76:U77"/>
    <mergeCell ref="V76:V77"/>
    <mergeCell ref="J491:K493"/>
    <mergeCell ref="W76:W77"/>
    <mergeCell ref="R76:R77"/>
    <mergeCell ref="P385:Q387"/>
    <mergeCell ref="P451:Q453"/>
    <mergeCell ref="P469:Q471"/>
    <mergeCell ref="N78:O80"/>
    <mergeCell ref="Z491:AA493"/>
    <mergeCell ref="P78:Q80"/>
    <mergeCell ref="P138:Q140"/>
    <mergeCell ref="P76:Q77"/>
    <mergeCell ref="K78:L80"/>
    <mergeCell ref="M138:M140"/>
    <mergeCell ref="I76:J77"/>
    <mergeCell ref="AB491:AC493"/>
    <mergeCell ref="H491:I493"/>
    <mergeCell ref="S448:S450"/>
    <mergeCell ref="S357:S359"/>
    <mergeCell ref="S360:S362"/>
    <mergeCell ref="S372:S374"/>
    <mergeCell ref="S369:S371"/>
    <mergeCell ref="B76:B77"/>
    <mergeCell ref="E266:F266"/>
    <mergeCell ref="K261:L263"/>
    <mergeCell ref="K76:L77"/>
    <mergeCell ref="E140:F140"/>
    <mergeCell ref="G138:H140"/>
    <mergeCell ref="C129:C131"/>
    <mergeCell ref="D129:D131"/>
    <mergeCell ref="C132:C134"/>
    <mergeCell ref="C448:C450"/>
    <mergeCell ref="D448:D450"/>
    <mergeCell ref="C81:C83"/>
    <mergeCell ref="D81:D83"/>
    <mergeCell ref="C273:C275"/>
    <mergeCell ref="D273:D275"/>
    <mergeCell ref="E273:F273"/>
    <mergeCell ref="G273:H275"/>
    <mergeCell ref="K273:L275"/>
    <mergeCell ref="K135:L137"/>
    <mergeCell ref="E129:F129"/>
    <mergeCell ref="G129:H131"/>
    <mergeCell ref="K138:L140"/>
    <mergeCell ref="E262:F262"/>
    <mergeCell ref="E263:F263"/>
    <mergeCell ref="E275:F275"/>
    <mergeCell ref="E271:F271"/>
    <mergeCell ref="E272:F272"/>
    <mergeCell ref="E375:F375"/>
    <mergeCell ref="E376:F376"/>
    <mergeCell ref="E377:F377"/>
    <mergeCell ref="E386:F386"/>
    <mergeCell ref="E387:F387"/>
    <mergeCell ref="D76:D77"/>
    <mergeCell ref="C76:C77"/>
    <mergeCell ref="C375:C377"/>
    <mergeCell ref="D375:D377"/>
    <mergeCell ref="G375:H377"/>
    <mergeCell ref="C385:C387"/>
    <mergeCell ref="D385:D387"/>
    <mergeCell ref="C451:C453"/>
    <mergeCell ref="D132:D134"/>
    <mergeCell ref="C279:C281"/>
    <mergeCell ref="D279:D281"/>
    <mergeCell ref="M375:M377"/>
    <mergeCell ref="E452:F452"/>
    <mergeCell ref="E453:F453"/>
    <mergeCell ref="E469:F469"/>
    <mergeCell ref="E470:F470"/>
    <mergeCell ref="R123:R125"/>
    <mergeCell ref="M261:M263"/>
    <mergeCell ref="N135:O137"/>
    <mergeCell ref="P135:Q137"/>
    <mergeCell ref="R385:R387"/>
    <mergeCell ref="N448:O450"/>
    <mergeCell ref="P448:Q450"/>
    <mergeCell ref="R448:R450"/>
    <mergeCell ref="N129:O131"/>
    <mergeCell ref="N111:O113"/>
    <mergeCell ref="P111:Q113"/>
    <mergeCell ref="R111:R113"/>
    <mergeCell ref="G147:H149"/>
    <mergeCell ref="C153:C155"/>
    <mergeCell ref="D153:D155"/>
    <mergeCell ref="E153:F153"/>
    <mergeCell ref="G448:H450"/>
    <mergeCell ref="K448:L450"/>
    <mergeCell ref="M448:M450"/>
    <mergeCell ref="C84:C86"/>
    <mergeCell ref="D84:D86"/>
    <mergeCell ref="G141:H143"/>
    <mergeCell ref="C147:C149"/>
    <mergeCell ref="D147:D149"/>
    <mergeCell ref="E147:F147"/>
    <mergeCell ref="R451:R453"/>
    <mergeCell ref="R469:R471"/>
    <mergeCell ref="M279:M281"/>
    <mergeCell ref="N279:O281"/>
    <mergeCell ref="R285:R287"/>
    <mergeCell ref="M135:M137"/>
    <mergeCell ref="K129:L131"/>
    <mergeCell ref="M129:M131"/>
    <mergeCell ref="P129:Q131"/>
    <mergeCell ref="N132:O134"/>
    <mergeCell ref="P132:Q134"/>
    <mergeCell ref="R132:R134"/>
    <mergeCell ref="R261:R263"/>
    <mergeCell ref="C400:C402"/>
    <mergeCell ref="G153:H155"/>
    <mergeCell ref="C159:C161"/>
    <mergeCell ref="D159:D161"/>
    <mergeCell ref="E159:F159"/>
    <mergeCell ref="C267:C269"/>
    <mergeCell ref="D267:D269"/>
    <mergeCell ref="E267:F267"/>
    <mergeCell ref="G267:H269"/>
    <mergeCell ref="K267:L269"/>
    <mergeCell ref="K451:L453"/>
    <mergeCell ref="K469:L471"/>
    <mergeCell ref="K472:L474"/>
    <mergeCell ref="E474:F474"/>
    <mergeCell ref="D451:D453"/>
    <mergeCell ref="C469:C471"/>
    <mergeCell ref="E471:F471"/>
    <mergeCell ref="E473:F473"/>
    <mergeCell ref="B385:B474"/>
    <mergeCell ref="G385:H387"/>
    <mergeCell ref="G451:H453"/>
    <mergeCell ref="G469:H471"/>
    <mergeCell ref="G472:H474"/>
    <mergeCell ref="K385:L387"/>
    <mergeCell ref="M78:M80"/>
    <mergeCell ref="E385:F385"/>
    <mergeCell ref="E277:F277"/>
    <mergeCell ref="E278:F278"/>
    <mergeCell ref="E279:F279"/>
    <mergeCell ref="G279:H281"/>
    <mergeCell ref="K279:L281"/>
    <mergeCell ref="M153:M155"/>
    <mergeCell ref="M159:M161"/>
    <mergeCell ref="C138:C140"/>
    <mergeCell ref="D138:D140"/>
    <mergeCell ref="E138:F138"/>
    <mergeCell ref="E451:F451"/>
    <mergeCell ref="E400:F400"/>
    <mergeCell ref="K375:L377"/>
    <mergeCell ref="E401:F401"/>
    <mergeCell ref="E402:F402"/>
    <mergeCell ref="E448:F448"/>
    <mergeCell ref="C12:C27"/>
    <mergeCell ref="H23:H27"/>
    <mergeCell ref="J23:J27"/>
    <mergeCell ref="B75:Y75"/>
    <mergeCell ref="S76:S77"/>
    <mergeCell ref="X76:X77"/>
    <mergeCell ref="R78:R80"/>
    <mergeCell ref="R138:R140"/>
    <mergeCell ref="W375:W377"/>
    <mergeCell ref="N491:N493"/>
    <mergeCell ref="B382:Y382"/>
    <mergeCell ref="B78:B377"/>
    <mergeCell ref="E139:F139"/>
    <mergeCell ref="Y76:Y77"/>
    <mergeCell ref="B483:B484"/>
    <mergeCell ref="C483:C484"/>
    <mergeCell ref="B489:B490"/>
    <mergeCell ref="B491:C493"/>
    <mergeCell ref="D481:M481"/>
    <mergeCell ref="D482:E484"/>
    <mergeCell ref="F482:G483"/>
    <mergeCell ref="J482:K483"/>
    <mergeCell ref="H482:I483"/>
    <mergeCell ref="D485:E485"/>
    <mergeCell ref="D486:E486"/>
    <mergeCell ref="D487:E487"/>
    <mergeCell ref="L491:M493"/>
    <mergeCell ref="D488:E488"/>
    <mergeCell ref="D491:E493"/>
    <mergeCell ref="F491:G493"/>
    <mergeCell ref="D489:E489"/>
    <mergeCell ref="D490:E490"/>
    <mergeCell ref="AB9:AB10"/>
    <mergeCell ref="AA9:AA10"/>
    <mergeCell ref="S9:Z10"/>
    <mergeCell ref="P9:Q10"/>
    <mergeCell ref="N9:O10"/>
    <mergeCell ref="F10:F11"/>
    <mergeCell ref="E10:E11"/>
    <mergeCell ref="D8:D11"/>
    <mergeCell ref="B8:C11"/>
    <mergeCell ref="E8:G9"/>
    <mergeCell ref="D400:D402"/>
    <mergeCell ref="B485:B488"/>
    <mergeCell ref="C388:C390"/>
    <mergeCell ref="B43:B72"/>
    <mergeCell ref="H8:Q8"/>
    <mergeCell ref="G10:G11"/>
    <mergeCell ref="C58:C72"/>
    <mergeCell ref="E78:F78"/>
    <mergeCell ref="E76:F77"/>
    <mergeCell ref="G76:H77"/>
    <mergeCell ref="C78:C80"/>
    <mergeCell ref="D78:D80"/>
    <mergeCell ref="E79:F79"/>
    <mergeCell ref="E80:F80"/>
    <mergeCell ref="G78:H80"/>
    <mergeCell ref="H9:I10"/>
    <mergeCell ref="J9:K10"/>
    <mergeCell ref="L9:M10"/>
    <mergeCell ref="N76:O77"/>
    <mergeCell ref="C28:C42"/>
    <mergeCell ref="C43:C57"/>
    <mergeCell ref="M76:M77"/>
  </mergeCells>
  <conditionalFormatting sqref="C78:H377 K78:Y377 D23:G27 D38:G42 D53:G57 D68:G72">
    <cfRule type="notContainsBlanks" dxfId="3" priority="16">
      <formula>LEN(TRIM(C23))&gt;0</formula>
    </cfRule>
  </conditionalFormatting>
  <conditionalFormatting sqref="C385:H474 K385:Y474">
    <cfRule type="notContainsBlanks" dxfId="2" priority="1">
      <formula>LEN(TRIM(C385))&gt;0</formula>
    </cfRule>
  </conditionalFormatting>
  <conditionalFormatting sqref="D485:F490 H485:H490 J485:J490 L485:L490">
    <cfRule type="notContainsBlanks" dxfId="1" priority="160">
      <formula>LEN(TRIM(D485))&gt;0</formula>
    </cfRule>
  </conditionalFormatting>
  <conditionalFormatting sqref="I12:I72 K12:K72 M12:M72 O12:O72 Q12:Q72">
    <cfRule type="notContainsBlanks" dxfId="0" priority="114">
      <formula>LEN(TRIM(I12))&gt;0</formula>
    </cfRule>
  </conditionalFormatting>
  <dataValidations count="11">
    <dataValidation type="list" allowBlank="1" showInputMessage="1" showErrorMessage="1" sqref="G78 G463 G466 G460 G457 G454 G415 G406 G403 G412 G409 G246 G240 G243 G255 G258 G249 G252 G237 G231 G234 G216 G210 G213 G225 G228 G219 G222 G207 G201 G204 G360 G354 G357 G369 G372 G363 G366 G351 G291 G348 G276 G270 G273 G285 G288 G279 G282 G267 G261 G264 G448 G400 G126 G120 G123 G135 G472 G469 G451 G385 G375 G138 G129 G132 G117 G111 G114 G96 G90 G93 G105 G108 G99 G102 G87 G81 G84 G186 G180 G183 G195 G198 G189 G192 G177 G171 G174 G156 G150 G153 G165 G168 G159 G162 G147 G141 G144 G300 G294 G297 G309 G312 G303 G306 G345 G330 G324 G327 G339 G342 G333 G336 G321 G315 G318 G391 G388 G397 G394 G445 G436 G433 G442 G439 G430 G421 G418 G427 G424">
      <formula1>$D$497:$D$499</formula1>
    </dataValidation>
    <dataValidation type="whole" allowBlank="1" showInputMessage="1" showErrorMessage="1" sqref="P472 M138 M78 P375 P469 P78 P451 P385 P138 Y78 Y138 Y375 Y385 Y451 Y469 Y472 M135 P135 Y135 M132 P132 Y132 M129 P129 Y129 M126 P126 Y126 M123 P123 Y123 M120 P120 Y120 M117 P117 Y117 M114 P114 Y114 M111 P111 Y111 P448 P400 Y400 Y448 M108 P108 Y108 M105 P105 Y105 M102 P102 Y102 M99 P99 Y99 M96 P96 Y96 M93 P93 Y93 M90 P90 Y90 M87 P87 Y87 M84 P84 Y84 M81 P81 Y81 M372 P372 Y372 M369 P369 Y369 M366 P366 Y366 M363 P363 Y363 M360 P360 Y360 M357 P357 Y357 M354 P354 Y354 M351 P351 Y351 M348 P348 Y348 M291 P291 Y291 M288 P288 Y288 M285 P285 Y285 M282 P282 Y282 M279 P279 Y279 M276 P276 Y276 M273 P273 Y273 M270 P270 Y270 M267 P267 Y267 M264 P264 Y264 M261 P261 Y261 M198 P198 Y198 M195 P195 Y195 M192 P192 Y192 M189 P189 Y189 M186 P186 Y186 M183 P183 Y183 M180 P180 Y180 M177 P177 Y177 M174 P174 Y174 M171 P171 Y171 M168 P168 Y168 M165 P165 Y165 M162 P162 Y162 M159 P159 Y159 M156 P156 Y156 M153 P153 Y153 M150 P150 Y150 M147 P147 Y147 M144 P144 Y144 M141 P141 Y141 M258 P258 Y258 M255 P255 Y255 M252 P252 Y252 M249 P249 Y249 M246 P246 Y246 M243 P243 Y243 M240 P240 Y240 M237 P237 Y237 M234 P234 Y234 M231 P231 Y231 M228 P228 Y228 M225 P225 Y225 M222 P222 Y222 M219 P219 Y219 M216 P216 Y216 M213 P213 Y213 M210 P210 Y210 M207 P207 Y207 M204 P204 Y204 M201 P201 Y201 M345 P345 Y345 M342 P342 Y342 M339 P339 Y339 M336 P336 Y336 M333 P333 Y333 M330 P330 Y330 M327 P327 Y327 M324 P324 Y324 M321 P321 Y321 M318 P318 Y318 M315 P315 Y315 M312 P312 Y312 M309 P309 Y309 M306 P306 Y306 M303 P303 Y303 M300 P300 Y300 M297 P297 Y297 M294 P294 Y294 P397 P394 Y394 Y397 P391 P388 Y388 Y391 P415 Y415 P412 P409 Y409 Y412 P406 P403 Y403 Y406 P430 Y430 P427 P424 Y424 Y427 P421 P418 Y418 Y421 P445 Y445 P442 P439 Y439 Y442 P436 P433 Y433 Y436 P466 Y466 P463 Y463 P460 Y460 P457 P454 Y454 Y457">
      <formula1>0</formula1>
      <formula2>1000</formula2>
    </dataValidation>
    <dataValidation type="list" allowBlank="1" showInputMessage="1" showErrorMessage="1" sqref="N78 N463 N466 N460 N457 N454 N415 N406 N403 N412 N409 N246 N240 N243 N255 N258 N249 N252 N237 N231 N234 N216 N210 N213 N225 N228 N219 N222 N207 N201 N204 N360 N354 N357 N369 N372 N363 N366 N351 N291 N348 N276 N270 N273 N285 N288 N279 N282 N267 N261 N264 N448 N400 N126 N120 N123 N135 N472 N469 N451 N385 N375 N138 N129 N132 N117 N111 N114 N96 N90 N93 N105 N108 N99 N102 N87 N81 N84 N186 N180 N183 N195 N198 N189 N192 N177 N171 N174 N156 N150 N153 N165 N168 N159 N162 N147 N141 N144 N300 N294 N297 N309 N312 N303 N306 N345 N330 N324 N327 N339 N342 N333 N336 N321 N315 N318 N391 N388 N397 N394 N445 N436 N433 N442 N439 N430 N421 N418 N427 N424">
      <formula1>$F$497:$F$500</formula1>
    </dataValidation>
    <dataValidation type="list" allowBlank="1" showInputMessage="1" showErrorMessage="1" sqref="R78 R463 R466 R460 R457 R454 R415 R406 R403 R412 R409 R246 R240 R243 R255 R258 R249 R252 R237 R231 R234 R216 R210 R213 R225 R228 R219 R222 R207 R201 R204 R360 R354 R357 R369 R372 R363 R366 R351 R291 R348 R276 R270 R273 R285 R288 R279 R282 R267 R261 R264 R448 R400 R126 R120 R123 R135 R472 R469 R451 R385 R375 R138 R129 R132 R117 R111 R114 R96 R90 R93 R105 R108 R99 R102 R87 R81 R84 R186 R180 R183 R195 R198 R189 R192 R177 R171 R174 R156 R150 R153 R165 R168 R159 R162 R147 R141 R144 R300 R294 R297 R309 R312 R303 R306 R345 R330 R324 R327 R339 R342 R333 R336 R321 R315 R318 R391 R388 R397 R394 R445 R436 R433 R442 R439 R430 R421 R418 R427 R424">
      <formula1>$G$497:$G$502</formula1>
    </dataValidation>
    <dataValidation type="date" operator="greaterThan" allowBlank="1" showInputMessage="1" showErrorMessage="1" sqref="S78 S138 S375 S385 S451 S469 S472 S135 S132 S129 S126 S123 S120 S117 S114 S111 S400 S448 S108 S105 S102 S99 S96 S93 S90 S87 S84 S81 S372 S369 S366 S363 S360 S357 S354 S351 S348 S291 S288 S285 S282 S279 S276 S273 S270 S267 S264 S261 S198 S195 S192 S189 S186 S183 S180 S177 S174 S171 S168 S165 S162 S159 S156 S153 S150 S147 S144 S141 S258 S255 S252 S249 S246 S243 S240 S237 S234 S231 S228 S225 S222 S219 S216 S213 S210 S207 S204 S201 S345 S342 S339 S336 S333 S330 S327 S324 S321 S318 S315 S312 S309 S306 S303 S300 S297 S294 S394 S397 S388 S391 S415 S409 S412 S403 S406 S430 S424 S427 S418 S421 S445 S439 S442 S433 S436 S466 S463 S460 S454 S457">
      <formula1>TODAY()</formula1>
    </dataValidation>
    <dataValidation type="decimal" allowBlank="1" showInputMessage="1" showErrorMessage="1" sqref="V78 V138 V375 V385 V451 V469 V472 V135 V132 V129 V126 V123 V120 V117 V114 V111 V400 V448 V108 V105 V102 V99 V96 V93 V90 V87 V84 V81 V372 V369 V366 V363 V360 V357 V354 V351 V348 V291 V288 V285 V282 V279 V276 V273 V270 V267 V264 V261 V198 V195 V192 V189 V186 V183 V180 V177 V174 V171 V168 V165 V162 V159 V156 V153 V150 V147 V144 V141 V258 V255 V252 V249 V246 V243 V240 V237 V234 V231 V228 V225 V222 V219 V216 V213 V210 V207 V204 V201 V345 V342 V339 V336 V333 V330 V327 V324 V321 V318 V315 V312 V309 V306 V303 V300 V297 V294 V394 V397 V388 V391 V415 V409 V412 V403 V406 V430 V424 V427 V418 V421 V445 V439 V442 V433 V436 V466 V463 V460 V454 V457">
      <formula1>0</formula1>
      <formula2>100000000</formula2>
    </dataValidation>
    <dataValidation type="list" allowBlank="1" showInputMessage="1" showErrorMessage="1" sqref="W78:X78 W463:X463 W466:X466 W460:X460 W457:X457 W454:X454 W415:X415 W406:X406 W403:X403 W412:X412 W409:X409 W246:X246 W240:X240 W243:X243 W255:X255 W258:X258 W249:X249 W252:X252 W237:X237 W231:X231 W234:X234 W216:X216 W210:X210 W213:X213 W225:X225 W228:X228 W219:X219 W222:X222 W207:X207 W201:X201 W204:X204 W360:X360 W354:X354 W357:X357 W369:X369 W372:X372 W363:X363 W366:X366 W351:X351 W291:X291 W348:X348 W276:X276 W270:X270 W273:X273 W285:X285 W288:X288 W279:X279 W282:X282 W267:X267 W261:X261 W264:X264 W448:X448 W400:X400 W126:X126 W120:X120 W123:X123 W135:X135 W472:X472 W469:X469 W451:X451 W385:X385 W375:X375 W138:X138 W129:X129 W132:X132 W117:X117 W111:X111 W114:X114 W96:X96 W90:X90 W93:X93 W105:X105 W108:X108 W99:X99 W102:X102 W87:X87 W81:X81 W84:X84 W186:X186 W180:X180 W183:X183 W195:X195 W198:X198 W189:X189 W192:X192 W177:X177 W171:X171 W174:X174 W156:X156 W150:X150 W153:X153 W165:X165 W168:X168 W159:X159 W162:X162 W147:X147 W141:X141 W144:X144 W300:X300 W294:X294 W297:X297 W309:X309 W312:X312 W303:X303 W306:X306 W345:X345 W330:X330 W324:X324 W327:X327 W339:X339 W342:X342 W333:X333 W336:X336 W321:X321 W315:X315 W318:X318 W391:X391 W388:X388 W397:X397 W394:X394 W445:X445 W436:X436 W433:X433 W442:X442 W439:X439 W430:X430 W421:X421 W418:X418 W427:X427 W424:X424">
      <formula1>$D$497:$D$498</formula1>
    </dataValidation>
    <dataValidation type="list" allowBlank="1" showInputMessage="1" showErrorMessage="1" sqref="C138 C463 C466 C460 C457 C454 C415 C406 C403 C412 C409 C258 C246 C243 C240 C255 C252 C249 C237 C234 C231 C228 C216 C213 C210 C225 C222 C219 C207 C204 C201 C360 C357 C354 C369 C366 C363 C351 C348 C291 C288 C276 C273 C270 C285 C282 C279 C267 C264 C261 C372 C448 C400 C126 C123 C120 C135 C78 C472 C469 C385 C375 C451 C132 C129 C117 C114 C111 C108 C96 C93 C90 C105 C102 C99 C87 C84 C81 C198 C186 C183 C180 C195 C192 C189 C177 C174 C171 C168 C156 C153 C150 C165 C162 C159 C147 C144 C141 C312 C300 C297 C294 C309 C306 C303 C345 C342 C330 C327 C324 C339 C336 C333 C321 C318 C315 C391 C388 C397 C394 C445 C436 C433 C442 C439 C430 C421 C418 C427 C424">
      <formula1>$L$497:$L$501</formula1>
    </dataValidation>
    <dataValidation type="list" allowBlank="1" showInputMessage="1" showErrorMessage="1" sqref="E78:F377 E385:F474">
      <formula1>$C$497:$C$509</formula1>
    </dataValidation>
    <dataValidation type="whole" allowBlank="1" showInputMessage="1" showErrorMessage="1" sqref="L485:L490 H485:H490 D485:F490 J485:J490 O12:O72 K12:K72 M12:M72 I12:I72 D54:D56 F54:G56">
      <formula1>0</formula1>
      <formula2>100000</formula2>
    </dataValidation>
    <dataValidation type="decimal" allowBlank="1" showInputMessage="1" showErrorMessage="1" sqref="Q12:Q72">
      <formula1>0</formula1>
      <formula2>100000</formula2>
    </dataValidation>
  </dataValidations>
  <hyperlinks>
    <hyperlink ref="C28:C42" location="'מאגר השירותים'!B29" display="בתים חמים"/>
    <hyperlink ref="C43:C57" location="'מאגר השירותים'!B25" display="קפה אירופה/קפה בריטניה (מועדוני ניצולי שואה)"/>
    <hyperlink ref="C58:C72" location="'מאגר השירותים'!B25" display="בתים חמים לניצולי שואה 0243438"/>
    <hyperlink ref="C485" location="'מאגר השירותים'!B12" display="קהילה תומכת"/>
    <hyperlink ref="C486" location="'מאגר השירותים'!B16" display="מרכזי היום"/>
    <hyperlink ref="C487" location="'מיזמים חדשים'!B13" display="מועדון מופת"/>
    <hyperlink ref="C488" location="'מאגר השירותים'!B14" display="מועדון מועשר"/>
    <hyperlink ref="C489" location="'מאגר השירותים'!B24" display="קהילה תומכת"/>
    <hyperlink ref="C490" location="'מאגר השירותים'!B23" display="מופ&quot;ת ניצולי שואה"/>
    <hyperlink ref="C29:C37" location="'מאגר השירותים'!B29" display="בתים חמים"/>
    <hyperlink ref="C29:C30" location="'מאגר השירותים'!B29" display="בתים חמים"/>
    <hyperlink ref="C31:C36" location="'מאגר השירותים'!B29" display="בתים חמים"/>
    <hyperlink ref="C33:C34" location="'מאגר השירותים'!B29" display="בתים חמים"/>
    <hyperlink ref="C31:C32" location="'מאגר השירותים'!B29" display="בתים חמים"/>
    <hyperlink ref="C40" location="'מאגר השירותים'!B29" display="בתים חמים"/>
    <hyperlink ref="C39" location="'מאגר השירותים'!B29" display="בתים חמים"/>
    <hyperlink ref="C50" location="'מאגר השירותים'!B25" display="קפה אירופה/קפה בריטניה (מועדוני ניצולי שואה)"/>
    <hyperlink ref="C48:C49" location="'מאגר השירותים'!B25" display="קפה אירופה/קפה בריטניה (מועדוני ניצולי שואה)"/>
    <hyperlink ref="C48" location="'מאגר השירותים'!B25" display="קפה אירופה/קפה בריטניה (מועדוני ניצולי שואה)"/>
    <hyperlink ref="C44:C47" location="'מאגר השירותים'!B25" display="קפה אירופה/קפה בריטניה (מועדוני ניצולי שואה)"/>
    <hyperlink ref="C46" location="'מאגר השירותים'!B25" display="קפה אירופה/קפה בריטניה (מועדוני ניצולי שואה)"/>
    <hyperlink ref="C44:C45" location="'מאגר השירותים'!B25" display="קפה אירופה/קפה בריטניה (מועדוני ניצולי שואה)"/>
    <hyperlink ref="C44" location="'מאגר השירותים'!B25" display="קפה אירופה/קפה בריטניה (מועדוני ניצולי שואה)"/>
    <hyperlink ref="C55" location="'מאגר השירותים'!B25" display="קפה אירופה/קפה בריטניה (מועדוני ניצולי שואה)"/>
    <hyperlink ref="C54" location="'מאגר השירותים'!B25" display="קפה אירופה/קפה בריטניה (מועדוני ניצולי שואה)"/>
    <hyperlink ref="C65" location="'מאגר השירותים'!B25" display="בתים חמים לניצולי שואה 0243438"/>
    <hyperlink ref="C63:C64" location="'מאגר השירותים'!B25" display="בתים חמים לניצולי שואה 0243438"/>
    <hyperlink ref="C63" location="'מאגר השירותים'!B25" display="בתים חמים לניצולי שואה 0243438"/>
    <hyperlink ref="C59:C62" location="'מאגר השירותים'!B25" display="בתים חמים לניצולי שואה 0243438"/>
    <hyperlink ref="C61" location="'מאגר השירותים'!B25" display="בתים חמים לניצולי שואה 0243438"/>
    <hyperlink ref="C59:C60" location="'מאגר השירותים'!B25" display="בתים חמים לניצולי שואה 0243438"/>
    <hyperlink ref="C59" location="'מאגר השירותים'!B25" display="בתים חמים לניצולי שואה 0243438"/>
    <hyperlink ref="C69" location="'מאגר השירותים'!B25" display="בתים חמים לניצולי שואה 0243438"/>
    <hyperlink ref="C70" location="'מאגר השירותים'!B25" display="בתים חמים לניצולי שואה 0243438"/>
    <hyperlink ref="E5:H5" location="'מיזמים חדשים'!B90" display="למילוי טבלת דיווח תוכניות קיימות/חדשות לחץ/י כאן"/>
    <hyperlink ref="K5:N5" location="'מיזמים חדשים'!B487" display="למחשבון עזר לתכנון מסגרות חדשות בדיווח מסר לחץ/י כאן"/>
    <hyperlink ref="B5:C5" r:id="rId1" display="למסמך הנחיות למילוי גיליון מיזמים חדשים - לחץ/י כאן"/>
  </hyperlinks>
  <pageMargins left="0.7" right="0.7" top="0.75" bottom="0.75" header="0.3" footer="0.3"/>
  <pageSetup paperSize="9" scale="55"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7214" r:id="rId5" name="Check Box 46">
              <controlPr defaultSize="0" autoFill="0" autoLine="0" autoPict="0">
                <anchor moveWithCells="1">
                  <from>
                    <xdr:col>9</xdr:col>
                    <xdr:colOff>152400</xdr:colOff>
                    <xdr:row>375</xdr:row>
                    <xdr:rowOff>161925</xdr:rowOff>
                  </from>
                  <to>
                    <xdr:col>9</xdr:col>
                    <xdr:colOff>447675</xdr:colOff>
                    <xdr:row>380</xdr:row>
                    <xdr:rowOff>28575</xdr:rowOff>
                  </to>
                </anchor>
              </controlPr>
            </control>
          </mc:Choice>
        </mc:AlternateContent>
        <mc:AlternateContent xmlns:mc="http://schemas.openxmlformats.org/markup-compatibility/2006">
          <mc:Choice Requires="x14">
            <control shapeId="7213" r:id="rId6" name="Check Box 45">
              <controlPr defaultSize="0" autoFill="0" autoLine="0" autoPict="0">
                <anchor moveWithCells="1">
                  <from>
                    <xdr:col>9</xdr:col>
                    <xdr:colOff>152400</xdr:colOff>
                    <xdr:row>374</xdr:row>
                    <xdr:rowOff>171450</xdr:rowOff>
                  </from>
                  <to>
                    <xdr:col>9</xdr:col>
                    <xdr:colOff>447675</xdr:colOff>
                    <xdr:row>380</xdr:row>
                    <xdr:rowOff>28575</xdr:rowOff>
                  </to>
                </anchor>
              </controlPr>
            </control>
          </mc:Choice>
        </mc:AlternateContent>
        <mc:AlternateContent xmlns:mc="http://schemas.openxmlformats.org/markup-compatibility/2006">
          <mc:Choice Requires="x14">
            <control shapeId="7216" r:id="rId7" name="Check Box 48">
              <controlPr defaultSize="0" autoFill="0" autoLine="0" autoPict="0">
                <anchor moveWithCells="1">
                  <from>
                    <xdr:col>9</xdr:col>
                    <xdr:colOff>152400</xdr:colOff>
                    <xdr:row>384</xdr:row>
                    <xdr:rowOff>171450</xdr:rowOff>
                  </from>
                  <to>
                    <xdr:col>9</xdr:col>
                    <xdr:colOff>447675</xdr:colOff>
                    <xdr:row>386</xdr:row>
                    <xdr:rowOff>19050</xdr:rowOff>
                  </to>
                </anchor>
              </controlPr>
            </control>
          </mc:Choice>
        </mc:AlternateContent>
        <mc:AlternateContent xmlns:mc="http://schemas.openxmlformats.org/markup-compatibility/2006">
          <mc:Choice Requires="x14">
            <control shapeId="7217" r:id="rId8" name="Check Box 49">
              <controlPr defaultSize="0" autoFill="0" autoLine="0" autoPict="0">
                <anchor moveWithCells="1">
                  <from>
                    <xdr:col>9</xdr:col>
                    <xdr:colOff>142875</xdr:colOff>
                    <xdr:row>385</xdr:row>
                    <xdr:rowOff>171450</xdr:rowOff>
                  </from>
                  <to>
                    <xdr:col>9</xdr:col>
                    <xdr:colOff>438150</xdr:colOff>
                    <xdr:row>387</xdr:row>
                    <xdr:rowOff>9525</xdr:rowOff>
                  </to>
                </anchor>
              </controlPr>
            </control>
          </mc:Choice>
        </mc:AlternateContent>
        <mc:AlternateContent xmlns:mc="http://schemas.openxmlformats.org/markup-compatibility/2006">
          <mc:Choice Requires="x14">
            <control shapeId="7218" r:id="rId9" name="Check Box 50">
              <controlPr defaultSize="0" autoFill="0" autoLine="0" autoPict="0">
                <anchor moveWithCells="1">
                  <from>
                    <xdr:col>9</xdr:col>
                    <xdr:colOff>133350</xdr:colOff>
                    <xdr:row>386</xdr:row>
                    <xdr:rowOff>171450</xdr:rowOff>
                  </from>
                  <to>
                    <xdr:col>9</xdr:col>
                    <xdr:colOff>428625</xdr:colOff>
                    <xdr:row>388</xdr:row>
                    <xdr:rowOff>0</xdr:rowOff>
                  </to>
                </anchor>
              </controlPr>
            </control>
          </mc:Choice>
        </mc:AlternateContent>
        <mc:AlternateContent xmlns:mc="http://schemas.openxmlformats.org/markup-compatibility/2006">
          <mc:Choice Requires="x14">
            <control shapeId="7219" r:id="rId10" name="Check Box 51">
              <controlPr defaultSize="0" autoFill="0" autoLine="0" autoPict="0">
                <anchor moveWithCells="1">
                  <from>
                    <xdr:col>9</xdr:col>
                    <xdr:colOff>133350</xdr:colOff>
                    <xdr:row>450</xdr:row>
                    <xdr:rowOff>171450</xdr:rowOff>
                  </from>
                  <to>
                    <xdr:col>9</xdr:col>
                    <xdr:colOff>428625</xdr:colOff>
                    <xdr:row>452</xdr:row>
                    <xdr:rowOff>0</xdr:rowOff>
                  </to>
                </anchor>
              </controlPr>
            </control>
          </mc:Choice>
        </mc:AlternateContent>
        <mc:AlternateContent xmlns:mc="http://schemas.openxmlformats.org/markup-compatibility/2006">
          <mc:Choice Requires="x14">
            <control shapeId="7220" r:id="rId11" name="Check Box 52">
              <controlPr defaultSize="0" autoFill="0" autoLine="0" autoPict="0">
                <anchor moveWithCells="1">
                  <from>
                    <xdr:col>9</xdr:col>
                    <xdr:colOff>133350</xdr:colOff>
                    <xdr:row>451</xdr:row>
                    <xdr:rowOff>161925</xdr:rowOff>
                  </from>
                  <to>
                    <xdr:col>9</xdr:col>
                    <xdr:colOff>428625</xdr:colOff>
                    <xdr:row>453</xdr:row>
                    <xdr:rowOff>0</xdr:rowOff>
                  </to>
                </anchor>
              </controlPr>
            </control>
          </mc:Choice>
        </mc:AlternateContent>
        <mc:AlternateContent xmlns:mc="http://schemas.openxmlformats.org/markup-compatibility/2006">
          <mc:Choice Requires="x14">
            <control shapeId="7221" r:id="rId12" name="Check Box 53">
              <controlPr defaultSize="0" autoFill="0" autoLine="0" autoPict="0">
                <anchor moveWithCells="1">
                  <from>
                    <xdr:col>9</xdr:col>
                    <xdr:colOff>133350</xdr:colOff>
                    <xdr:row>452</xdr:row>
                    <xdr:rowOff>180975</xdr:rowOff>
                  </from>
                  <to>
                    <xdr:col>9</xdr:col>
                    <xdr:colOff>428625</xdr:colOff>
                    <xdr:row>454</xdr:row>
                    <xdr:rowOff>9525</xdr:rowOff>
                  </to>
                </anchor>
              </controlPr>
            </control>
          </mc:Choice>
        </mc:AlternateContent>
        <mc:AlternateContent xmlns:mc="http://schemas.openxmlformats.org/markup-compatibility/2006">
          <mc:Choice Requires="x14">
            <control shapeId="7222" r:id="rId13" name="Check Box 54">
              <controlPr defaultSize="0" autoFill="0" autoLine="0" autoPict="0">
                <anchor moveWithCells="1">
                  <from>
                    <xdr:col>9</xdr:col>
                    <xdr:colOff>133350</xdr:colOff>
                    <xdr:row>468</xdr:row>
                    <xdr:rowOff>171450</xdr:rowOff>
                  </from>
                  <to>
                    <xdr:col>9</xdr:col>
                    <xdr:colOff>428625</xdr:colOff>
                    <xdr:row>470</xdr:row>
                    <xdr:rowOff>0</xdr:rowOff>
                  </to>
                </anchor>
              </controlPr>
            </control>
          </mc:Choice>
        </mc:AlternateContent>
        <mc:AlternateContent xmlns:mc="http://schemas.openxmlformats.org/markup-compatibility/2006">
          <mc:Choice Requires="x14">
            <control shapeId="7223" r:id="rId14" name="Check Box 55">
              <controlPr defaultSize="0" autoFill="0" autoLine="0" autoPict="0">
                <anchor moveWithCells="1">
                  <from>
                    <xdr:col>9</xdr:col>
                    <xdr:colOff>123825</xdr:colOff>
                    <xdr:row>469</xdr:row>
                    <xdr:rowOff>161925</xdr:rowOff>
                  </from>
                  <to>
                    <xdr:col>9</xdr:col>
                    <xdr:colOff>419100</xdr:colOff>
                    <xdr:row>471</xdr:row>
                    <xdr:rowOff>0</xdr:rowOff>
                  </to>
                </anchor>
              </controlPr>
            </control>
          </mc:Choice>
        </mc:AlternateContent>
        <mc:AlternateContent xmlns:mc="http://schemas.openxmlformats.org/markup-compatibility/2006">
          <mc:Choice Requires="x14">
            <control shapeId="7224" r:id="rId15" name="Check Box 56">
              <controlPr defaultSize="0" autoFill="0" autoLine="0" autoPict="0">
                <anchor moveWithCells="1">
                  <from>
                    <xdr:col>9</xdr:col>
                    <xdr:colOff>104775</xdr:colOff>
                    <xdr:row>470</xdr:row>
                    <xdr:rowOff>180975</xdr:rowOff>
                  </from>
                  <to>
                    <xdr:col>9</xdr:col>
                    <xdr:colOff>409575</xdr:colOff>
                    <xdr:row>472</xdr:row>
                    <xdr:rowOff>0</xdr:rowOff>
                  </to>
                </anchor>
              </controlPr>
            </control>
          </mc:Choice>
        </mc:AlternateContent>
        <mc:AlternateContent xmlns:mc="http://schemas.openxmlformats.org/markup-compatibility/2006">
          <mc:Choice Requires="x14">
            <control shapeId="7225" r:id="rId16" name="Check Box 57">
              <controlPr defaultSize="0" autoFill="0" autoLine="0" autoPict="0">
                <anchor moveWithCells="1">
                  <from>
                    <xdr:col>9</xdr:col>
                    <xdr:colOff>104775</xdr:colOff>
                    <xdr:row>471</xdr:row>
                    <xdr:rowOff>161925</xdr:rowOff>
                  </from>
                  <to>
                    <xdr:col>9</xdr:col>
                    <xdr:colOff>409575</xdr:colOff>
                    <xdr:row>472</xdr:row>
                    <xdr:rowOff>180975</xdr:rowOff>
                  </to>
                </anchor>
              </controlPr>
            </control>
          </mc:Choice>
        </mc:AlternateContent>
        <mc:AlternateContent xmlns:mc="http://schemas.openxmlformats.org/markup-compatibility/2006">
          <mc:Choice Requires="x14">
            <control shapeId="7226" r:id="rId17" name="Check Box 58">
              <controlPr defaultSize="0" autoFill="0" autoLine="0" autoPict="0">
                <anchor moveWithCells="1">
                  <from>
                    <xdr:col>9</xdr:col>
                    <xdr:colOff>95250</xdr:colOff>
                    <xdr:row>472</xdr:row>
                    <xdr:rowOff>152400</xdr:rowOff>
                  </from>
                  <to>
                    <xdr:col>9</xdr:col>
                    <xdr:colOff>400050</xdr:colOff>
                    <xdr:row>473</xdr:row>
                    <xdr:rowOff>180975</xdr:rowOff>
                  </to>
                </anchor>
              </controlPr>
            </control>
          </mc:Choice>
        </mc:AlternateContent>
        <mc:AlternateContent xmlns:mc="http://schemas.openxmlformats.org/markup-compatibility/2006">
          <mc:Choice Requires="x14">
            <control shapeId="7229" r:id="rId18" name="Check Box 61">
              <controlPr defaultSize="0" autoFill="0" autoLine="0" autoPict="0">
                <anchor moveWithCells="1">
                  <from>
                    <xdr:col>9</xdr:col>
                    <xdr:colOff>142875</xdr:colOff>
                    <xdr:row>383</xdr:row>
                    <xdr:rowOff>581025</xdr:rowOff>
                  </from>
                  <to>
                    <xdr:col>9</xdr:col>
                    <xdr:colOff>447675</xdr:colOff>
                    <xdr:row>385</xdr:row>
                    <xdr:rowOff>28575</xdr:rowOff>
                  </to>
                </anchor>
              </controlPr>
            </control>
          </mc:Choice>
        </mc:AlternateContent>
        <mc:AlternateContent xmlns:mc="http://schemas.openxmlformats.org/markup-compatibility/2006">
          <mc:Choice Requires="x14">
            <control shapeId="7257" r:id="rId19" name="Check Box 89">
              <controlPr defaultSize="0" autoFill="0" autoLine="0" autoPict="0">
                <anchor moveWithCells="1">
                  <from>
                    <xdr:col>9</xdr:col>
                    <xdr:colOff>133350</xdr:colOff>
                    <xdr:row>399</xdr:row>
                    <xdr:rowOff>171450</xdr:rowOff>
                  </from>
                  <to>
                    <xdr:col>9</xdr:col>
                    <xdr:colOff>428625</xdr:colOff>
                    <xdr:row>401</xdr:row>
                    <xdr:rowOff>0</xdr:rowOff>
                  </to>
                </anchor>
              </controlPr>
            </control>
          </mc:Choice>
        </mc:AlternateContent>
        <mc:AlternateContent xmlns:mc="http://schemas.openxmlformats.org/markup-compatibility/2006">
          <mc:Choice Requires="x14">
            <control shapeId="7258" r:id="rId20" name="Check Box 90">
              <controlPr defaultSize="0" autoFill="0" autoLine="0" autoPict="0">
                <anchor moveWithCells="1">
                  <from>
                    <xdr:col>9</xdr:col>
                    <xdr:colOff>133350</xdr:colOff>
                    <xdr:row>400</xdr:row>
                    <xdr:rowOff>161925</xdr:rowOff>
                  </from>
                  <to>
                    <xdr:col>9</xdr:col>
                    <xdr:colOff>428625</xdr:colOff>
                    <xdr:row>402</xdr:row>
                    <xdr:rowOff>0</xdr:rowOff>
                  </to>
                </anchor>
              </controlPr>
            </control>
          </mc:Choice>
        </mc:AlternateContent>
        <mc:AlternateContent xmlns:mc="http://schemas.openxmlformats.org/markup-compatibility/2006">
          <mc:Choice Requires="x14">
            <control shapeId="7259" r:id="rId21" name="Check Box 91">
              <controlPr defaultSize="0" autoFill="0" autoLine="0" autoPict="0">
                <anchor moveWithCells="1">
                  <from>
                    <xdr:col>9</xdr:col>
                    <xdr:colOff>133350</xdr:colOff>
                    <xdr:row>401</xdr:row>
                    <xdr:rowOff>180975</xdr:rowOff>
                  </from>
                  <to>
                    <xdr:col>9</xdr:col>
                    <xdr:colOff>428625</xdr:colOff>
                    <xdr:row>403</xdr:row>
                    <xdr:rowOff>9525</xdr:rowOff>
                  </to>
                </anchor>
              </controlPr>
            </control>
          </mc:Choice>
        </mc:AlternateContent>
        <mc:AlternateContent xmlns:mc="http://schemas.openxmlformats.org/markup-compatibility/2006">
          <mc:Choice Requires="x14">
            <control shapeId="7260" r:id="rId22" name="Check Box 92">
              <controlPr defaultSize="0" autoFill="0" autoLine="0" autoPict="0">
                <anchor moveWithCells="1">
                  <from>
                    <xdr:col>9</xdr:col>
                    <xdr:colOff>133350</xdr:colOff>
                    <xdr:row>447</xdr:row>
                    <xdr:rowOff>171450</xdr:rowOff>
                  </from>
                  <to>
                    <xdr:col>9</xdr:col>
                    <xdr:colOff>428625</xdr:colOff>
                    <xdr:row>449</xdr:row>
                    <xdr:rowOff>0</xdr:rowOff>
                  </to>
                </anchor>
              </controlPr>
            </control>
          </mc:Choice>
        </mc:AlternateContent>
        <mc:AlternateContent xmlns:mc="http://schemas.openxmlformats.org/markup-compatibility/2006">
          <mc:Choice Requires="x14">
            <control shapeId="7261" r:id="rId23" name="Check Box 93">
              <controlPr defaultSize="0" autoFill="0" autoLine="0" autoPict="0">
                <anchor moveWithCells="1">
                  <from>
                    <xdr:col>9</xdr:col>
                    <xdr:colOff>123825</xdr:colOff>
                    <xdr:row>448</xdr:row>
                    <xdr:rowOff>161925</xdr:rowOff>
                  </from>
                  <to>
                    <xdr:col>9</xdr:col>
                    <xdr:colOff>419100</xdr:colOff>
                    <xdr:row>450</xdr:row>
                    <xdr:rowOff>0</xdr:rowOff>
                  </to>
                </anchor>
              </controlPr>
            </control>
          </mc:Choice>
        </mc:AlternateContent>
        <mc:AlternateContent xmlns:mc="http://schemas.openxmlformats.org/markup-compatibility/2006">
          <mc:Choice Requires="x14">
            <control shapeId="7262" r:id="rId24" name="Check Box 94">
              <controlPr defaultSize="0" autoFill="0" autoLine="0" autoPict="0">
                <anchor moveWithCells="1">
                  <from>
                    <xdr:col>9</xdr:col>
                    <xdr:colOff>104775</xdr:colOff>
                    <xdr:row>449</xdr:row>
                    <xdr:rowOff>180975</xdr:rowOff>
                  </from>
                  <to>
                    <xdr:col>9</xdr:col>
                    <xdr:colOff>409575</xdr:colOff>
                    <xdr:row>451</xdr:row>
                    <xdr:rowOff>0</xdr:rowOff>
                  </to>
                </anchor>
              </controlPr>
            </control>
          </mc:Choice>
        </mc:AlternateContent>
        <mc:AlternateContent xmlns:mc="http://schemas.openxmlformats.org/markup-compatibility/2006">
          <mc:Choice Requires="x14">
            <control shapeId="7418" r:id="rId25" name="Check Box 250">
              <controlPr defaultSize="0" autoFill="0" autoLine="0" autoPict="0">
                <anchor moveWithCells="1">
                  <from>
                    <xdr:col>9</xdr:col>
                    <xdr:colOff>171450</xdr:colOff>
                    <xdr:row>371</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419" r:id="rId26" name="Check Box 251">
              <controlPr defaultSize="0" autoFill="0" autoLine="0" autoPict="0">
                <anchor moveWithCells="1">
                  <from>
                    <xdr:col>9</xdr:col>
                    <xdr:colOff>161925</xdr:colOff>
                    <xdr:row>372</xdr:row>
                    <xdr:rowOff>161925</xdr:rowOff>
                  </from>
                  <to>
                    <xdr:col>9</xdr:col>
                    <xdr:colOff>457200</xdr:colOff>
                    <xdr:row>380</xdr:row>
                    <xdr:rowOff>38100</xdr:rowOff>
                  </to>
                </anchor>
              </controlPr>
            </control>
          </mc:Choice>
        </mc:AlternateContent>
        <mc:AlternateContent xmlns:mc="http://schemas.openxmlformats.org/markup-compatibility/2006">
          <mc:Choice Requires="x14">
            <control shapeId="7420" r:id="rId27" name="Check Box 252">
              <controlPr defaultSize="0" autoFill="0" autoLine="0" autoPict="0">
                <anchor moveWithCells="1">
                  <from>
                    <xdr:col>9</xdr:col>
                    <xdr:colOff>152400</xdr:colOff>
                    <xdr:row>373</xdr:row>
                    <xdr:rowOff>171450</xdr:rowOff>
                  </from>
                  <to>
                    <xdr:col>9</xdr:col>
                    <xdr:colOff>447675</xdr:colOff>
                    <xdr:row>380</xdr:row>
                    <xdr:rowOff>28575</xdr:rowOff>
                  </to>
                </anchor>
              </controlPr>
            </control>
          </mc:Choice>
        </mc:AlternateContent>
        <mc:AlternateContent xmlns:mc="http://schemas.openxmlformats.org/markup-compatibility/2006">
          <mc:Choice Requires="x14">
            <control shapeId="7421" r:id="rId28" name="Check Box 253">
              <controlPr defaultSize="0" autoFill="0" autoLine="0" autoPict="0">
                <anchor moveWithCells="1">
                  <from>
                    <xdr:col>9</xdr:col>
                    <xdr:colOff>171450</xdr:colOff>
                    <xdr:row>368</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422" r:id="rId29" name="Check Box 254">
              <controlPr defaultSize="0" autoFill="0" autoLine="0" autoPict="0">
                <anchor moveWithCells="1">
                  <from>
                    <xdr:col>9</xdr:col>
                    <xdr:colOff>171450</xdr:colOff>
                    <xdr:row>369</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423" r:id="rId30" name="Check Box 255">
              <controlPr defaultSize="0" autoFill="0" autoLine="0" autoPict="0">
                <anchor moveWithCells="1">
                  <from>
                    <xdr:col>9</xdr:col>
                    <xdr:colOff>180975</xdr:colOff>
                    <xdr:row>370</xdr:row>
                    <xdr:rowOff>180975</xdr:rowOff>
                  </from>
                  <to>
                    <xdr:col>10</xdr:col>
                    <xdr:colOff>0</xdr:colOff>
                    <xdr:row>380</xdr:row>
                    <xdr:rowOff>28575</xdr:rowOff>
                  </to>
                </anchor>
              </controlPr>
            </control>
          </mc:Choice>
        </mc:AlternateContent>
        <mc:AlternateContent xmlns:mc="http://schemas.openxmlformats.org/markup-compatibility/2006">
          <mc:Choice Requires="x14">
            <control shapeId="7424" r:id="rId31" name="Check Box 256">
              <controlPr defaultSize="0" autoFill="0" autoLine="0" autoPict="0">
                <anchor moveWithCells="1">
                  <from>
                    <xdr:col>9</xdr:col>
                    <xdr:colOff>171450</xdr:colOff>
                    <xdr:row>365</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425" r:id="rId32" name="Check Box 257">
              <controlPr defaultSize="0" autoFill="0" autoLine="0" autoPict="0">
                <anchor moveWithCells="1">
                  <from>
                    <xdr:col>9</xdr:col>
                    <xdr:colOff>161925</xdr:colOff>
                    <xdr:row>366</xdr:row>
                    <xdr:rowOff>161925</xdr:rowOff>
                  </from>
                  <to>
                    <xdr:col>9</xdr:col>
                    <xdr:colOff>457200</xdr:colOff>
                    <xdr:row>380</xdr:row>
                    <xdr:rowOff>38100</xdr:rowOff>
                  </to>
                </anchor>
              </controlPr>
            </control>
          </mc:Choice>
        </mc:AlternateContent>
        <mc:AlternateContent xmlns:mc="http://schemas.openxmlformats.org/markup-compatibility/2006">
          <mc:Choice Requires="x14">
            <control shapeId="7426" r:id="rId33" name="Check Box 258">
              <controlPr defaultSize="0" autoFill="0" autoLine="0" autoPict="0">
                <anchor moveWithCells="1">
                  <from>
                    <xdr:col>9</xdr:col>
                    <xdr:colOff>152400</xdr:colOff>
                    <xdr:row>367</xdr:row>
                    <xdr:rowOff>171450</xdr:rowOff>
                  </from>
                  <to>
                    <xdr:col>9</xdr:col>
                    <xdr:colOff>447675</xdr:colOff>
                    <xdr:row>380</xdr:row>
                    <xdr:rowOff>28575</xdr:rowOff>
                  </to>
                </anchor>
              </controlPr>
            </control>
          </mc:Choice>
        </mc:AlternateContent>
        <mc:AlternateContent xmlns:mc="http://schemas.openxmlformats.org/markup-compatibility/2006">
          <mc:Choice Requires="x14">
            <control shapeId="7427" r:id="rId34" name="Check Box 259">
              <controlPr defaultSize="0" autoFill="0" autoLine="0" autoPict="0">
                <anchor moveWithCells="1">
                  <from>
                    <xdr:col>9</xdr:col>
                    <xdr:colOff>171450</xdr:colOff>
                    <xdr:row>362</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428" r:id="rId35" name="Check Box 260">
              <controlPr defaultSize="0" autoFill="0" autoLine="0" autoPict="0">
                <anchor moveWithCells="1">
                  <from>
                    <xdr:col>9</xdr:col>
                    <xdr:colOff>171450</xdr:colOff>
                    <xdr:row>363</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429" r:id="rId36" name="Check Box 261">
              <controlPr defaultSize="0" autoFill="0" autoLine="0" autoPict="0">
                <anchor moveWithCells="1">
                  <from>
                    <xdr:col>9</xdr:col>
                    <xdr:colOff>180975</xdr:colOff>
                    <xdr:row>364</xdr:row>
                    <xdr:rowOff>180975</xdr:rowOff>
                  </from>
                  <to>
                    <xdr:col>10</xdr:col>
                    <xdr:colOff>0</xdr:colOff>
                    <xdr:row>380</xdr:row>
                    <xdr:rowOff>28575</xdr:rowOff>
                  </to>
                </anchor>
              </controlPr>
            </control>
          </mc:Choice>
        </mc:AlternateContent>
        <mc:AlternateContent xmlns:mc="http://schemas.openxmlformats.org/markup-compatibility/2006">
          <mc:Choice Requires="x14">
            <control shapeId="7430" r:id="rId37" name="Check Box 262">
              <controlPr defaultSize="0" autoFill="0" autoLine="0" autoPict="0">
                <anchor moveWithCells="1">
                  <from>
                    <xdr:col>9</xdr:col>
                    <xdr:colOff>171450</xdr:colOff>
                    <xdr:row>359</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431" r:id="rId38" name="Check Box 263">
              <controlPr defaultSize="0" autoFill="0" autoLine="0" autoPict="0">
                <anchor moveWithCells="1">
                  <from>
                    <xdr:col>9</xdr:col>
                    <xdr:colOff>171450</xdr:colOff>
                    <xdr:row>360</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432" r:id="rId39" name="Check Box 264">
              <controlPr defaultSize="0" autoFill="0" autoLine="0" autoPict="0">
                <anchor moveWithCells="1">
                  <from>
                    <xdr:col>9</xdr:col>
                    <xdr:colOff>171450</xdr:colOff>
                    <xdr:row>356</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433" r:id="rId40" name="Check Box 265">
              <controlPr defaultSize="0" autoFill="0" autoLine="0" autoPict="0">
                <anchor moveWithCells="1">
                  <from>
                    <xdr:col>9</xdr:col>
                    <xdr:colOff>161925</xdr:colOff>
                    <xdr:row>357</xdr:row>
                    <xdr:rowOff>161925</xdr:rowOff>
                  </from>
                  <to>
                    <xdr:col>9</xdr:col>
                    <xdr:colOff>457200</xdr:colOff>
                    <xdr:row>380</xdr:row>
                    <xdr:rowOff>38100</xdr:rowOff>
                  </to>
                </anchor>
              </controlPr>
            </control>
          </mc:Choice>
        </mc:AlternateContent>
        <mc:AlternateContent xmlns:mc="http://schemas.openxmlformats.org/markup-compatibility/2006">
          <mc:Choice Requires="x14">
            <control shapeId="7434" r:id="rId41" name="Check Box 266">
              <controlPr defaultSize="0" autoFill="0" autoLine="0" autoPict="0">
                <anchor moveWithCells="1">
                  <from>
                    <xdr:col>9</xdr:col>
                    <xdr:colOff>152400</xdr:colOff>
                    <xdr:row>358</xdr:row>
                    <xdr:rowOff>171450</xdr:rowOff>
                  </from>
                  <to>
                    <xdr:col>9</xdr:col>
                    <xdr:colOff>447675</xdr:colOff>
                    <xdr:row>380</xdr:row>
                    <xdr:rowOff>28575</xdr:rowOff>
                  </to>
                </anchor>
              </controlPr>
            </control>
          </mc:Choice>
        </mc:AlternateContent>
        <mc:AlternateContent xmlns:mc="http://schemas.openxmlformats.org/markup-compatibility/2006">
          <mc:Choice Requires="x14">
            <control shapeId="7435" r:id="rId42" name="Check Box 267">
              <controlPr defaultSize="0" autoFill="0" autoLine="0" autoPict="0">
                <anchor moveWithCells="1">
                  <from>
                    <xdr:col>9</xdr:col>
                    <xdr:colOff>171450</xdr:colOff>
                    <xdr:row>353</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436" r:id="rId43" name="Check Box 268">
              <controlPr defaultSize="0" autoFill="0" autoLine="0" autoPict="0">
                <anchor moveWithCells="1">
                  <from>
                    <xdr:col>9</xdr:col>
                    <xdr:colOff>171450</xdr:colOff>
                    <xdr:row>354</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437" r:id="rId44" name="Check Box 269">
              <controlPr defaultSize="0" autoFill="0" autoLine="0" autoPict="0">
                <anchor moveWithCells="1">
                  <from>
                    <xdr:col>9</xdr:col>
                    <xdr:colOff>180975</xdr:colOff>
                    <xdr:row>355</xdr:row>
                    <xdr:rowOff>180975</xdr:rowOff>
                  </from>
                  <to>
                    <xdr:col>10</xdr:col>
                    <xdr:colOff>0</xdr:colOff>
                    <xdr:row>380</xdr:row>
                    <xdr:rowOff>28575</xdr:rowOff>
                  </to>
                </anchor>
              </controlPr>
            </control>
          </mc:Choice>
        </mc:AlternateContent>
        <mc:AlternateContent xmlns:mc="http://schemas.openxmlformats.org/markup-compatibility/2006">
          <mc:Choice Requires="x14">
            <control shapeId="7438" r:id="rId45" name="Check Box 270">
              <controlPr defaultSize="0" autoFill="0" autoLine="0" autoPict="0">
                <anchor moveWithCells="1">
                  <from>
                    <xdr:col>9</xdr:col>
                    <xdr:colOff>171450</xdr:colOff>
                    <xdr:row>350</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439" r:id="rId46" name="Check Box 271">
              <controlPr defaultSize="0" autoFill="0" autoLine="0" autoPict="0">
                <anchor moveWithCells="1">
                  <from>
                    <xdr:col>9</xdr:col>
                    <xdr:colOff>171450</xdr:colOff>
                    <xdr:row>351</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440" r:id="rId47" name="Check Box 272">
              <controlPr defaultSize="0" autoFill="0" autoLine="0" autoPict="0">
                <anchor moveWithCells="1">
                  <from>
                    <xdr:col>9</xdr:col>
                    <xdr:colOff>171450</xdr:colOff>
                    <xdr:row>347</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441" r:id="rId48" name="Check Box 273">
              <controlPr defaultSize="0" autoFill="0" autoLine="0" autoPict="0">
                <anchor moveWithCells="1">
                  <from>
                    <xdr:col>9</xdr:col>
                    <xdr:colOff>171450</xdr:colOff>
                    <xdr:row>348</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442" r:id="rId49" name="Check Box 274">
              <controlPr defaultSize="0" autoFill="0" autoLine="0" autoPict="0">
                <anchor moveWithCells="1">
                  <from>
                    <xdr:col>9</xdr:col>
                    <xdr:colOff>180975</xdr:colOff>
                    <xdr:row>349</xdr:row>
                    <xdr:rowOff>190500</xdr:rowOff>
                  </from>
                  <to>
                    <xdr:col>10</xdr:col>
                    <xdr:colOff>0</xdr:colOff>
                    <xdr:row>380</xdr:row>
                    <xdr:rowOff>28575</xdr:rowOff>
                  </to>
                </anchor>
              </controlPr>
            </control>
          </mc:Choice>
        </mc:AlternateContent>
        <mc:AlternateContent xmlns:mc="http://schemas.openxmlformats.org/markup-compatibility/2006">
          <mc:Choice Requires="x14">
            <control shapeId="7446" r:id="rId50" name="Check Box 278">
              <controlPr defaultSize="0" autoFill="0" autoLine="0" autoPict="0">
                <anchor moveWithCells="1">
                  <from>
                    <xdr:col>9</xdr:col>
                    <xdr:colOff>171450</xdr:colOff>
                    <xdr:row>352</xdr:row>
                    <xdr:rowOff>171450</xdr:rowOff>
                  </from>
                  <to>
                    <xdr:col>9</xdr:col>
                    <xdr:colOff>466725</xdr:colOff>
                    <xdr:row>380</xdr:row>
                    <xdr:rowOff>38100</xdr:rowOff>
                  </to>
                </anchor>
              </controlPr>
            </control>
          </mc:Choice>
        </mc:AlternateContent>
        <mc:AlternateContent xmlns:mc="http://schemas.openxmlformats.org/markup-compatibility/2006">
          <mc:Choice Requires="x14">
            <control shapeId="7447" r:id="rId51" name="Check Box 279">
              <controlPr defaultSize="0" autoFill="0" autoLine="0" autoPict="0">
                <anchor moveWithCells="1">
                  <from>
                    <xdr:col>9</xdr:col>
                    <xdr:colOff>180975</xdr:colOff>
                    <xdr:row>361</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572" r:id="rId52" name="Check Box 404">
              <controlPr defaultSize="0" autoFill="0" autoLine="0" autoPict="0">
                <anchor moveWithCells="1">
                  <from>
                    <xdr:col>9</xdr:col>
                    <xdr:colOff>171450</xdr:colOff>
                    <xdr:row>227</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573" r:id="rId53" name="Check Box 405">
              <controlPr defaultSize="0" autoFill="0" autoLine="0" autoPict="0">
                <anchor moveWithCells="1">
                  <from>
                    <xdr:col>9</xdr:col>
                    <xdr:colOff>161925</xdr:colOff>
                    <xdr:row>228</xdr:row>
                    <xdr:rowOff>161925</xdr:rowOff>
                  </from>
                  <to>
                    <xdr:col>9</xdr:col>
                    <xdr:colOff>457200</xdr:colOff>
                    <xdr:row>380</xdr:row>
                    <xdr:rowOff>38100</xdr:rowOff>
                  </to>
                </anchor>
              </controlPr>
            </control>
          </mc:Choice>
        </mc:AlternateContent>
        <mc:AlternateContent xmlns:mc="http://schemas.openxmlformats.org/markup-compatibility/2006">
          <mc:Choice Requires="x14">
            <control shapeId="7577" r:id="rId54" name="Check Box 409">
              <controlPr defaultSize="0" autoFill="0" autoLine="0" autoPict="0">
                <anchor moveWithCells="1">
                  <from>
                    <xdr:col>9</xdr:col>
                    <xdr:colOff>180975</xdr:colOff>
                    <xdr:row>226</xdr:row>
                    <xdr:rowOff>180975</xdr:rowOff>
                  </from>
                  <to>
                    <xdr:col>10</xdr:col>
                    <xdr:colOff>0</xdr:colOff>
                    <xdr:row>380</xdr:row>
                    <xdr:rowOff>28575</xdr:rowOff>
                  </to>
                </anchor>
              </controlPr>
            </control>
          </mc:Choice>
        </mc:AlternateContent>
        <mc:AlternateContent xmlns:mc="http://schemas.openxmlformats.org/markup-compatibility/2006">
          <mc:Choice Requires="x14">
            <control shapeId="7602" r:id="rId55" name="Check Box 434">
              <controlPr defaultSize="0" autoFill="0" autoLine="0" autoPict="0">
                <anchor moveWithCells="1">
                  <from>
                    <xdr:col>9</xdr:col>
                    <xdr:colOff>171450</xdr:colOff>
                    <xdr:row>344</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03" r:id="rId56" name="Check Box 435">
              <controlPr defaultSize="0" autoFill="0" autoLine="0" autoPict="0">
                <anchor moveWithCells="1">
                  <from>
                    <xdr:col>9</xdr:col>
                    <xdr:colOff>171450</xdr:colOff>
                    <xdr:row>345</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604" r:id="rId57" name="Check Box 436">
              <controlPr defaultSize="0" autoFill="0" autoLine="0" autoPict="0">
                <anchor moveWithCells="1">
                  <from>
                    <xdr:col>9</xdr:col>
                    <xdr:colOff>171450</xdr:colOff>
                    <xdr:row>341</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05" r:id="rId58" name="Check Box 437">
              <controlPr defaultSize="0" autoFill="0" autoLine="0" autoPict="0">
                <anchor moveWithCells="1">
                  <from>
                    <xdr:col>9</xdr:col>
                    <xdr:colOff>161925</xdr:colOff>
                    <xdr:row>342</xdr:row>
                    <xdr:rowOff>161925</xdr:rowOff>
                  </from>
                  <to>
                    <xdr:col>9</xdr:col>
                    <xdr:colOff>457200</xdr:colOff>
                    <xdr:row>380</xdr:row>
                    <xdr:rowOff>38100</xdr:rowOff>
                  </to>
                </anchor>
              </controlPr>
            </control>
          </mc:Choice>
        </mc:AlternateContent>
        <mc:AlternateContent xmlns:mc="http://schemas.openxmlformats.org/markup-compatibility/2006">
          <mc:Choice Requires="x14">
            <control shapeId="7606" r:id="rId59" name="Check Box 438">
              <controlPr defaultSize="0" autoFill="0" autoLine="0" autoPict="0">
                <anchor moveWithCells="1">
                  <from>
                    <xdr:col>9</xdr:col>
                    <xdr:colOff>152400</xdr:colOff>
                    <xdr:row>343</xdr:row>
                    <xdr:rowOff>171450</xdr:rowOff>
                  </from>
                  <to>
                    <xdr:col>9</xdr:col>
                    <xdr:colOff>447675</xdr:colOff>
                    <xdr:row>380</xdr:row>
                    <xdr:rowOff>28575</xdr:rowOff>
                  </to>
                </anchor>
              </controlPr>
            </control>
          </mc:Choice>
        </mc:AlternateContent>
        <mc:AlternateContent xmlns:mc="http://schemas.openxmlformats.org/markup-compatibility/2006">
          <mc:Choice Requires="x14">
            <control shapeId="7607" r:id="rId60" name="Check Box 439">
              <controlPr defaultSize="0" autoFill="0" autoLine="0" autoPict="0">
                <anchor moveWithCells="1">
                  <from>
                    <xdr:col>9</xdr:col>
                    <xdr:colOff>171450</xdr:colOff>
                    <xdr:row>338</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08" r:id="rId61" name="Check Box 440">
              <controlPr defaultSize="0" autoFill="0" autoLine="0" autoPict="0">
                <anchor moveWithCells="1">
                  <from>
                    <xdr:col>9</xdr:col>
                    <xdr:colOff>171450</xdr:colOff>
                    <xdr:row>339</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609" r:id="rId62" name="Check Box 441">
              <controlPr defaultSize="0" autoFill="0" autoLine="0" autoPict="0">
                <anchor moveWithCells="1">
                  <from>
                    <xdr:col>9</xdr:col>
                    <xdr:colOff>180975</xdr:colOff>
                    <xdr:row>340</xdr:row>
                    <xdr:rowOff>180975</xdr:rowOff>
                  </from>
                  <to>
                    <xdr:col>10</xdr:col>
                    <xdr:colOff>0</xdr:colOff>
                    <xdr:row>380</xdr:row>
                    <xdr:rowOff>28575</xdr:rowOff>
                  </to>
                </anchor>
              </controlPr>
            </control>
          </mc:Choice>
        </mc:AlternateContent>
        <mc:AlternateContent xmlns:mc="http://schemas.openxmlformats.org/markup-compatibility/2006">
          <mc:Choice Requires="x14">
            <control shapeId="7610" r:id="rId63" name="Check Box 442">
              <controlPr defaultSize="0" autoFill="0" autoLine="0" autoPict="0">
                <anchor moveWithCells="1">
                  <from>
                    <xdr:col>9</xdr:col>
                    <xdr:colOff>171450</xdr:colOff>
                    <xdr:row>335</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11" r:id="rId64" name="Check Box 443">
              <controlPr defaultSize="0" autoFill="0" autoLine="0" autoPict="0">
                <anchor moveWithCells="1">
                  <from>
                    <xdr:col>9</xdr:col>
                    <xdr:colOff>161925</xdr:colOff>
                    <xdr:row>336</xdr:row>
                    <xdr:rowOff>161925</xdr:rowOff>
                  </from>
                  <to>
                    <xdr:col>9</xdr:col>
                    <xdr:colOff>457200</xdr:colOff>
                    <xdr:row>380</xdr:row>
                    <xdr:rowOff>38100</xdr:rowOff>
                  </to>
                </anchor>
              </controlPr>
            </control>
          </mc:Choice>
        </mc:AlternateContent>
        <mc:AlternateContent xmlns:mc="http://schemas.openxmlformats.org/markup-compatibility/2006">
          <mc:Choice Requires="x14">
            <control shapeId="7612" r:id="rId65" name="Check Box 444">
              <controlPr defaultSize="0" autoFill="0" autoLine="0" autoPict="0">
                <anchor moveWithCells="1">
                  <from>
                    <xdr:col>9</xdr:col>
                    <xdr:colOff>152400</xdr:colOff>
                    <xdr:row>337</xdr:row>
                    <xdr:rowOff>171450</xdr:rowOff>
                  </from>
                  <to>
                    <xdr:col>9</xdr:col>
                    <xdr:colOff>447675</xdr:colOff>
                    <xdr:row>380</xdr:row>
                    <xdr:rowOff>28575</xdr:rowOff>
                  </to>
                </anchor>
              </controlPr>
            </control>
          </mc:Choice>
        </mc:AlternateContent>
        <mc:AlternateContent xmlns:mc="http://schemas.openxmlformats.org/markup-compatibility/2006">
          <mc:Choice Requires="x14">
            <control shapeId="7613" r:id="rId66" name="Check Box 445">
              <controlPr defaultSize="0" autoFill="0" autoLine="0" autoPict="0">
                <anchor moveWithCells="1">
                  <from>
                    <xdr:col>9</xdr:col>
                    <xdr:colOff>171450</xdr:colOff>
                    <xdr:row>332</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14" r:id="rId67" name="Check Box 446">
              <controlPr defaultSize="0" autoFill="0" autoLine="0" autoPict="0">
                <anchor moveWithCells="1">
                  <from>
                    <xdr:col>9</xdr:col>
                    <xdr:colOff>171450</xdr:colOff>
                    <xdr:row>333</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615" r:id="rId68" name="Check Box 447">
              <controlPr defaultSize="0" autoFill="0" autoLine="0" autoPict="0">
                <anchor moveWithCells="1">
                  <from>
                    <xdr:col>9</xdr:col>
                    <xdr:colOff>180975</xdr:colOff>
                    <xdr:row>334</xdr:row>
                    <xdr:rowOff>180975</xdr:rowOff>
                  </from>
                  <to>
                    <xdr:col>10</xdr:col>
                    <xdr:colOff>0</xdr:colOff>
                    <xdr:row>380</xdr:row>
                    <xdr:rowOff>28575</xdr:rowOff>
                  </to>
                </anchor>
              </controlPr>
            </control>
          </mc:Choice>
        </mc:AlternateContent>
        <mc:AlternateContent xmlns:mc="http://schemas.openxmlformats.org/markup-compatibility/2006">
          <mc:Choice Requires="x14">
            <control shapeId="7616" r:id="rId69" name="Check Box 448">
              <controlPr defaultSize="0" autoFill="0" autoLine="0" autoPict="0">
                <anchor moveWithCells="1">
                  <from>
                    <xdr:col>9</xdr:col>
                    <xdr:colOff>171450</xdr:colOff>
                    <xdr:row>329</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17" r:id="rId70" name="Check Box 449">
              <controlPr defaultSize="0" autoFill="0" autoLine="0" autoPict="0">
                <anchor moveWithCells="1">
                  <from>
                    <xdr:col>9</xdr:col>
                    <xdr:colOff>171450</xdr:colOff>
                    <xdr:row>330</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618" r:id="rId71" name="Check Box 450">
              <controlPr defaultSize="0" autoFill="0" autoLine="0" autoPict="0">
                <anchor moveWithCells="1">
                  <from>
                    <xdr:col>9</xdr:col>
                    <xdr:colOff>171450</xdr:colOff>
                    <xdr:row>326</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19" r:id="rId72" name="Check Box 451">
              <controlPr defaultSize="0" autoFill="0" autoLine="0" autoPict="0">
                <anchor moveWithCells="1">
                  <from>
                    <xdr:col>9</xdr:col>
                    <xdr:colOff>161925</xdr:colOff>
                    <xdr:row>327</xdr:row>
                    <xdr:rowOff>161925</xdr:rowOff>
                  </from>
                  <to>
                    <xdr:col>9</xdr:col>
                    <xdr:colOff>457200</xdr:colOff>
                    <xdr:row>380</xdr:row>
                    <xdr:rowOff>38100</xdr:rowOff>
                  </to>
                </anchor>
              </controlPr>
            </control>
          </mc:Choice>
        </mc:AlternateContent>
        <mc:AlternateContent xmlns:mc="http://schemas.openxmlformats.org/markup-compatibility/2006">
          <mc:Choice Requires="x14">
            <control shapeId="7620" r:id="rId73" name="Check Box 452">
              <controlPr defaultSize="0" autoFill="0" autoLine="0" autoPict="0">
                <anchor moveWithCells="1">
                  <from>
                    <xdr:col>9</xdr:col>
                    <xdr:colOff>152400</xdr:colOff>
                    <xdr:row>328</xdr:row>
                    <xdr:rowOff>171450</xdr:rowOff>
                  </from>
                  <to>
                    <xdr:col>9</xdr:col>
                    <xdr:colOff>447675</xdr:colOff>
                    <xdr:row>380</xdr:row>
                    <xdr:rowOff>28575</xdr:rowOff>
                  </to>
                </anchor>
              </controlPr>
            </control>
          </mc:Choice>
        </mc:AlternateContent>
        <mc:AlternateContent xmlns:mc="http://schemas.openxmlformats.org/markup-compatibility/2006">
          <mc:Choice Requires="x14">
            <control shapeId="7621" r:id="rId74" name="Check Box 453">
              <controlPr defaultSize="0" autoFill="0" autoLine="0" autoPict="0">
                <anchor moveWithCells="1">
                  <from>
                    <xdr:col>9</xdr:col>
                    <xdr:colOff>171450</xdr:colOff>
                    <xdr:row>323</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22" r:id="rId75" name="Check Box 454">
              <controlPr defaultSize="0" autoFill="0" autoLine="0" autoPict="0">
                <anchor moveWithCells="1">
                  <from>
                    <xdr:col>9</xdr:col>
                    <xdr:colOff>171450</xdr:colOff>
                    <xdr:row>324</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623" r:id="rId76" name="Check Box 455">
              <controlPr defaultSize="0" autoFill="0" autoLine="0" autoPict="0">
                <anchor moveWithCells="1">
                  <from>
                    <xdr:col>9</xdr:col>
                    <xdr:colOff>180975</xdr:colOff>
                    <xdr:row>325</xdr:row>
                    <xdr:rowOff>180975</xdr:rowOff>
                  </from>
                  <to>
                    <xdr:col>10</xdr:col>
                    <xdr:colOff>0</xdr:colOff>
                    <xdr:row>380</xdr:row>
                    <xdr:rowOff>28575</xdr:rowOff>
                  </to>
                </anchor>
              </controlPr>
            </control>
          </mc:Choice>
        </mc:AlternateContent>
        <mc:AlternateContent xmlns:mc="http://schemas.openxmlformats.org/markup-compatibility/2006">
          <mc:Choice Requires="x14">
            <control shapeId="7624" r:id="rId77" name="Check Box 456">
              <controlPr defaultSize="0" autoFill="0" autoLine="0" autoPict="0">
                <anchor moveWithCells="1">
                  <from>
                    <xdr:col>9</xdr:col>
                    <xdr:colOff>171450</xdr:colOff>
                    <xdr:row>320</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25" r:id="rId78" name="Check Box 457">
              <controlPr defaultSize="0" autoFill="0" autoLine="0" autoPict="0">
                <anchor moveWithCells="1">
                  <from>
                    <xdr:col>9</xdr:col>
                    <xdr:colOff>171450</xdr:colOff>
                    <xdr:row>321</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626" r:id="rId79" name="Check Box 458">
              <controlPr defaultSize="0" autoFill="0" autoLine="0" autoPict="0">
                <anchor moveWithCells="1">
                  <from>
                    <xdr:col>9</xdr:col>
                    <xdr:colOff>171450</xdr:colOff>
                    <xdr:row>317</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27" r:id="rId80" name="Check Box 459">
              <controlPr defaultSize="0" autoFill="0" autoLine="0" autoPict="0">
                <anchor moveWithCells="1">
                  <from>
                    <xdr:col>9</xdr:col>
                    <xdr:colOff>171450</xdr:colOff>
                    <xdr:row>318</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628" r:id="rId81" name="Check Box 460">
              <controlPr defaultSize="0" autoFill="0" autoLine="0" autoPict="0">
                <anchor moveWithCells="1">
                  <from>
                    <xdr:col>9</xdr:col>
                    <xdr:colOff>180975</xdr:colOff>
                    <xdr:row>319</xdr:row>
                    <xdr:rowOff>190500</xdr:rowOff>
                  </from>
                  <to>
                    <xdr:col>10</xdr:col>
                    <xdr:colOff>0</xdr:colOff>
                    <xdr:row>380</xdr:row>
                    <xdr:rowOff>28575</xdr:rowOff>
                  </to>
                </anchor>
              </controlPr>
            </control>
          </mc:Choice>
        </mc:AlternateContent>
        <mc:AlternateContent xmlns:mc="http://schemas.openxmlformats.org/markup-compatibility/2006">
          <mc:Choice Requires="x14">
            <control shapeId="7629" r:id="rId82" name="Check Box 461">
              <controlPr defaultSize="0" autoFill="0" autoLine="0" autoPict="0">
                <anchor moveWithCells="1">
                  <from>
                    <xdr:col>9</xdr:col>
                    <xdr:colOff>171450</xdr:colOff>
                    <xdr:row>314</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30" r:id="rId83" name="Check Box 462">
              <controlPr defaultSize="0" autoFill="0" autoLine="0" autoPict="0">
                <anchor moveWithCells="1">
                  <from>
                    <xdr:col>9</xdr:col>
                    <xdr:colOff>171450</xdr:colOff>
                    <xdr:row>315</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631" r:id="rId84" name="Check Box 463">
              <controlPr defaultSize="0" autoFill="0" autoLine="0" autoPict="0">
                <anchor moveWithCells="1">
                  <from>
                    <xdr:col>9</xdr:col>
                    <xdr:colOff>180975</xdr:colOff>
                    <xdr:row>316</xdr:row>
                    <xdr:rowOff>180975</xdr:rowOff>
                  </from>
                  <to>
                    <xdr:col>10</xdr:col>
                    <xdr:colOff>0</xdr:colOff>
                    <xdr:row>380</xdr:row>
                    <xdr:rowOff>28575</xdr:rowOff>
                  </to>
                </anchor>
              </controlPr>
            </control>
          </mc:Choice>
        </mc:AlternateContent>
        <mc:AlternateContent xmlns:mc="http://schemas.openxmlformats.org/markup-compatibility/2006">
          <mc:Choice Requires="x14">
            <control shapeId="7632" r:id="rId85" name="Check Box 464">
              <controlPr defaultSize="0" autoFill="0" autoLine="0" autoPict="0">
                <anchor moveWithCells="1">
                  <from>
                    <xdr:col>9</xdr:col>
                    <xdr:colOff>171450</xdr:colOff>
                    <xdr:row>322</xdr:row>
                    <xdr:rowOff>171450</xdr:rowOff>
                  </from>
                  <to>
                    <xdr:col>9</xdr:col>
                    <xdr:colOff>466725</xdr:colOff>
                    <xdr:row>380</xdr:row>
                    <xdr:rowOff>38100</xdr:rowOff>
                  </to>
                </anchor>
              </controlPr>
            </control>
          </mc:Choice>
        </mc:AlternateContent>
        <mc:AlternateContent xmlns:mc="http://schemas.openxmlformats.org/markup-compatibility/2006">
          <mc:Choice Requires="x14">
            <control shapeId="7633" r:id="rId86" name="Check Box 465">
              <controlPr defaultSize="0" autoFill="0" autoLine="0" autoPict="0">
                <anchor moveWithCells="1">
                  <from>
                    <xdr:col>9</xdr:col>
                    <xdr:colOff>180975</xdr:colOff>
                    <xdr:row>331</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634" r:id="rId87" name="Check Box 466">
              <controlPr defaultSize="0" autoFill="0" autoLine="0" autoPict="0">
                <anchor moveWithCells="1">
                  <from>
                    <xdr:col>9</xdr:col>
                    <xdr:colOff>171450</xdr:colOff>
                    <xdr:row>311</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35" r:id="rId88" name="Check Box 467">
              <controlPr defaultSize="0" autoFill="0" autoLine="0" autoPict="0">
                <anchor moveWithCells="1">
                  <from>
                    <xdr:col>9</xdr:col>
                    <xdr:colOff>161925</xdr:colOff>
                    <xdr:row>312</xdr:row>
                    <xdr:rowOff>161925</xdr:rowOff>
                  </from>
                  <to>
                    <xdr:col>9</xdr:col>
                    <xdr:colOff>457200</xdr:colOff>
                    <xdr:row>380</xdr:row>
                    <xdr:rowOff>38100</xdr:rowOff>
                  </to>
                </anchor>
              </controlPr>
            </control>
          </mc:Choice>
        </mc:AlternateContent>
        <mc:AlternateContent xmlns:mc="http://schemas.openxmlformats.org/markup-compatibility/2006">
          <mc:Choice Requires="x14">
            <control shapeId="7636" r:id="rId89" name="Check Box 468">
              <controlPr defaultSize="0" autoFill="0" autoLine="0" autoPict="0">
                <anchor moveWithCells="1">
                  <from>
                    <xdr:col>9</xdr:col>
                    <xdr:colOff>152400</xdr:colOff>
                    <xdr:row>313</xdr:row>
                    <xdr:rowOff>171450</xdr:rowOff>
                  </from>
                  <to>
                    <xdr:col>9</xdr:col>
                    <xdr:colOff>447675</xdr:colOff>
                    <xdr:row>380</xdr:row>
                    <xdr:rowOff>28575</xdr:rowOff>
                  </to>
                </anchor>
              </controlPr>
            </control>
          </mc:Choice>
        </mc:AlternateContent>
        <mc:AlternateContent xmlns:mc="http://schemas.openxmlformats.org/markup-compatibility/2006">
          <mc:Choice Requires="x14">
            <control shapeId="7637" r:id="rId90" name="Check Box 469">
              <controlPr defaultSize="0" autoFill="0" autoLine="0" autoPict="0">
                <anchor moveWithCells="1">
                  <from>
                    <xdr:col>9</xdr:col>
                    <xdr:colOff>171450</xdr:colOff>
                    <xdr:row>308</xdr:row>
                    <xdr:rowOff>171450</xdr:rowOff>
                  </from>
                  <to>
                    <xdr:col>9</xdr:col>
                    <xdr:colOff>466725</xdr:colOff>
                    <xdr:row>380</xdr:row>
                    <xdr:rowOff>28575</xdr:rowOff>
                  </to>
                </anchor>
              </controlPr>
            </control>
          </mc:Choice>
        </mc:AlternateContent>
        <mc:AlternateContent xmlns:mc="http://schemas.openxmlformats.org/markup-compatibility/2006">
          <mc:Choice Requires="x14">
            <control shapeId="7638" r:id="rId91" name="Check Box 470">
              <controlPr defaultSize="0" autoFill="0" autoLine="0" autoPict="0">
                <anchor moveWithCells="1">
                  <from>
                    <xdr:col>9</xdr:col>
                    <xdr:colOff>171450</xdr:colOff>
                    <xdr:row>309</xdr:row>
                    <xdr:rowOff>161925</xdr:rowOff>
                  </from>
                  <to>
                    <xdr:col>9</xdr:col>
                    <xdr:colOff>466725</xdr:colOff>
                    <xdr:row>380</xdr:row>
                    <xdr:rowOff>38100</xdr:rowOff>
                  </to>
                </anchor>
              </controlPr>
            </control>
          </mc:Choice>
        </mc:AlternateContent>
        <mc:AlternateContent xmlns:mc="http://schemas.openxmlformats.org/markup-compatibility/2006">
          <mc:Choice Requires="x14">
            <control shapeId="7639" r:id="rId92" name="Check Box 471">
              <controlPr defaultSize="0" autoFill="0" autoLine="0" autoPict="0">
                <anchor moveWithCells="1">
                  <from>
                    <xdr:col>9</xdr:col>
                    <xdr:colOff>180975</xdr:colOff>
                    <xdr:row>310</xdr:row>
                    <xdr:rowOff>180975</xdr:rowOff>
                  </from>
                  <to>
                    <xdr:col>10</xdr:col>
                    <xdr:colOff>0</xdr:colOff>
                    <xdr:row>380</xdr:row>
                    <xdr:rowOff>28575</xdr:rowOff>
                  </to>
                </anchor>
              </controlPr>
            </control>
          </mc:Choice>
        </mc:AlternateContent>
        <mc:AlternateContent xmlns:mc="http://schemas.openxmlformats.org/markup-compatibility/2006">
          <mc:Choice Requires="x14">
            <control shapeId="7642" r:id="rId93" name="Check Box 474">
              <controlPr defaultSize="0" autoFill="0" autoLine="0" autoPict="0">
                <anchor moveWithCells="1">
                  <from>
                    <xdr:col>9</xdr:col>
                    <xdr:colOff>152400</xdr:colOff>
                    <xdr:row>307</xdr:row>
                    <xdr:rowOff>171450</xdr:rowOff>
                  </from>
                  <to>
                    <xdr:col>9</xdr:col>
                    <xdr:colOff>447675</xdr:colOff>
                    <xdr:row>380</xdr:row>
                    <xdr:rowOff>28575</xdr:rowOff>
                  </to>
                </anchor>
              </controlPr>
            </control>
          </mc:Choice>
        </mc:AlternateContent>
        <mc:AlternateContent xmlns:mc="http://schemas.openxmlformats.org/markup-compatibility/2006">
          <mc:Choice Requires="x14">
            <control shapeId="7659" r:id="rId94" name="Check Box 491">
              <controlPr defaultSize="0" autoFill="0" autoLine="0" autoPict="0">
                <anchor moveWithCells="1">
                  <from>
                    <xdr:col>9</xdr:col>
                    <xdr:colOff>171450</xdr:colOff>
                    <xdr:row>346</xdr:row>
                    <xdr:rowOff>180975</xdr:rowOff>
                  </from>
                  <to>
                    <xdr:col>9</xdr:col>
                    <xdr:colOff>466725</xdr:colOff>
                    <xdr:row>380</xdr:row>
                    <xdr:rowOff>28575</xdr:rowOff>
                  </to>
                </anchor>
              </controlPr>
            </control>
          </mc:Choice>
        </mc:AlternateContent>
        <mc:AlternateContent xmlns:mc="http://schemas.openxmlformats.org/markup-compatibility/2006">
          <mc:Choice Requires="x14">
            <control shapeId="7660" r:id="rId95" name="Check Box 492">
              <controlPr defaultSize="0" autoFill="0" autoLine="0" autoPict="0">
                <anchor moveWithCells="1">
                  <from>
                    <xdr:col>9</xdr:col>
                    <xdr:colOff>171450</xdr:colOff>
                    <xdr:row>77</xdr:row>
                    <xdr:rowOff>28575</xdr:rowOff>
                  </from>
                  <to>
                    <xdr:col>9</xdr:col>
                    <xdr:colOff>466725</xdr:colOff>
                    <xdr:row>78</xdr:row>
                    <xdr:rowOff>38100</xdr:rowOff>
                  </to>
                </anchor>
              </controlPr>
            </control>
          </mc:Choice>
        </mc:AlternateContent>
        <mc:AlternateContent xmlns:mc="http://schemas.openxmlformats.org/markup-compatibility/2006">
          <mc:Choice Requires="x14">
            <control shapeId="7661" r:id="rId96" name="Check Box 493">
              <controlPr defaultSize="0" autoFill="0" autoLine="0" autoPict="0">
                <anchor moveWithCells="1">
                  <from>
                    <xdr:col>9</xdr:col>
                    <xdr:colOff>171450</xdr:colOff>
                    <xdr:row>77</xdr:row>
                    <xdr:rowOff>219075</xdr:rowOff>
                  </from>
                  <to>
                    <xdr:col>9</xdr:col>
                    <xdr:colOff>466725</xdr:colOff>
                    <xdr:row>79</xdr:row>
                    <xdr:rowOff>38100</xdr:rowOff>
                  </to>
                </anchor>
              </controlPr>
            </control>
          </mc:Choice>
        </mc:AlternateContent>
        <mc:AlternateContent xmlns:mc="http://schemas.openxmlformats.org/markup-compatibility/2006">
          <mc:Choice Requires="x14">
            <control shapeId="7662" r:id="rId97" name="Check Box 494">
              <controlPr defaultSize="0" autoFill="0" autoLine="0" autoPict="0">
                <anchor moveWithCells="1">
                  <from>
                    <xdr:col>9</xdr:col>
                    <xdr:colOff>171450</xdr:colOff>
                    <xdr:row>79</xdr:row>
                    <xdr:rowOff>9525</xdr:rowOff>
                  </from>
                  <to>
                    <xdr:col>9</xdr:col>
                    <xdr:colOff>466725</xdr:colOff>
                    <xdr:row>80</xdr:row>
                    <xdr:rowOff>28575</xdr:rowOff>
                  </to>
                </anchor>
              </controlPr>
            </control>
          </mc:Choice>
        </mc:AlternateContent>
        <mc:AlternateContent xmlns:mc="http://schemas.openxmlformats.org/markup-compatibility/2006">
          <mc:Choice Requires="x14">
            <control shapeId="7663" r:id="rId98" name="Check Box 495">
              <controlPr defaultSize="0" autoFill="0" autoLine="0" autoPict="0">
                <anchor moveWithCells="1">
                  <from>
                    <xdr:col>9</xdr:col>
                    <xdr:colOff>171450</xdr:colOff>
                    <xdr:row>80</xdr:row>
                    <xdr:rowOff>19050</xdr:rowOff>
                  </from>
                  <to>
                    <xdr:col>9</xdr:col>
                    <xdr:colOff>466725</xdr:colOff>
                    <xdr:row>81</xdr:row>
                    <xdr:rowOff>38100</xdr:rowOff>
                  </to>
                </anchor>
              </controlPr>
            </control>
          </mc:Choice>
        </mc:AlternateContent>
        <mc:AlternateContent xmlns:mc="http://schemas.openxmlformats.org/markup-compatibility/2006">
          <mc:Choice Requires="x14">
            <control shapeId="7664" r:id="rId99" name="Check Box 496">
              <controlPr defaultSize="0" autoFill="0" autoLine="0" autoPict="0">
                <anchor moveWithCells="1">
                  <from>
                    <xdr:col>9</xdr:col>
                    <xdr:colOff>171450</xdr:colOff>
                    <xdr:row>137</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665" r:id="rId100" name="Check Box 497">
              <controlPr defaultSize="0" autoFill="0" autoLine="0" autoPict="0">
                <anchor moveWithCells="1">
                  <from>
                    <xdr:col>9</xdr:col>
                    <xdr:colOff>161925</xdr:colOff>
                    <xdr:row>138</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666" r:id="rId101" name="Check Box 498">
              <controlPr defaultSize="0" autoFill="0" autoLine="0" autoPict="0">
                <anchor moveWithCells="1">
                  <from>
                    <xdr:col>9</xdr:col>
                    <xdr:colOff>171450</xdr:colOff>
                    <xdr:row>134</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667" r:id="rId102" name="Check Box 499">
              <controlPr defaultSize="0" autoFill="0" autoLine="0" autoPict="0">
                <anchor moveWithCells="1">
                  <from>
                    <xdr:col>9</xdr:col>
                    <xdr:colOff>171450</xdr:colOff>
                    <xdr:row>135</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668" r:id="rId103" name="Check Box 500">
              <controlPr defaultSize="0" autoFill="0" autoLine="0" autoPict="0">
                <anchor moveWithCells="1">
                  <from>
                    <xdr:col>9</xdr:col>
                    <xdr:colOff>180975</xdr:colOff>
                    <xdr:row>137</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669" r:id="rId104" name="Check Box 501">
              <controlPr defaultSize="0" autoFill="0" autoLine="0" autoPict="0">
                <anchor moveWithCells="1">
                  <from>
                    <xdr:col>9</xdr:col>
                    <xdr:colOff>171450</xdr:colOff>
                    <xdr:row>131</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670" r:id="rId105" name="Check Box 502">
              <controlPr defaultSize="0" autoFill="0" autoLine="0" autoPict="0">
                <anchor moveWithCells="1">
                  <from>
                    <xdr:col>9</xdr:col>
                    <xdr:colOff>161925</xdr:colOff>
                    <xdr:row>132</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671" r:id="rId106" name="Check Box 503">
              <controlPr defaultSize="0" autoFill="0" autoLine="0" autoPict="0">
                <anchor moveWithCells="1">
                  <from>
                    <xdr:col>9</xdr:col>
                    <xdr:colOff>152400</xdr:colOff>
                    <xdr:row>133</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672" r:id="rId107" name="Check Box 504">
              <controlPr defaultSize="0" autoFill="0" autoLine="0" autoPict="0">
                <anchor moveWithCells="1">
                  <from>
                    <xdr:col>9</xdr:col>
                    <xdr:colOff>171450</xdr:colOff>
                    <xdr:row>128</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673" r:id="rId108" name="Check Box 505">
              <controlPr defaultSize="0" autoFill="0" autoLine="0" autoPict="0">
                <anchor moveWithCells="1">
                  <from>
                    <xdr:col>9</xdr:col>
                    <xdr:colOff>171450</xdr:colOff>
                    <xdr:row>129</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674" r:id="rId109" name="Check Box 506">
              <controlPr defaultSize="0" autoFill="0" autoLine="0" autoPict="0">
                <anchor moveWithCells="1">
                  <from>
                    <xdr:col>9</xdr:col>
                    <xdr:colOff>180975</xdr:colOff>
                    <xdr:row>131</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675" r:id="rId110" name="Check Box 507">
              <controlPr defaultSize="0" autoFill="0" autoLine="0" autoPict="0">
                <anchor moveWithCells="1">
                  <from>
                    <xdr:col>9</xdr:col>
                    <xdr:colOff>171450</xdr:colOff>
                    <xdr:row>125</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676" r:id="rId111" name="Check Box 508">
              <controlPr defaultSize="0" autoFill="0" autoLine="0" autoPict="0">
                <anchor moveWithCells="1">
                  <from>
                    <xdr:col>9</xdr:col>
                    <xdr:colOff>171450</xdr:colOff>
                    <xdr:row>126</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677" r:id="rId112" name="Check Box 509">
              <controlPr defaultSize="0" autoFill="0" autoLine="0" autoPict="0">
                <anchor moveWithCells="1">
                  <from>
                    <xdr:col>9</xdr:col>
                    <xdr:colOff>171450</xdr:colOff>
                    <xdr:row>122</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678" r:id="rId113" name="Check Box 510">
              <controlPr defaultSize="0" autoFill="0" autoLine="0" autoPict="0">
                <anchor moveWithCells="1">
                  <from>
                    <xdr:col>9</xdr:col>
                    <xdr:colOff>161925</xdr:colOff>
                    <xdr:row>123</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679" r:id="rId114" name="Check Box 511">
              <controlPr defaultSize="0" autoFill="0" autoLine="0" autoPict="0">
                <anchor moveWithCells="1">
                  <from>
                    <xdr:col>9</xdr:col>
                    <xdr:colOff>152400</xdr:colOff>
                    <xdr:row>124</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680" r:id="rId115" name="Check Box 512">
              <controlPr defaultSize="0" autoFill="0" autoLine="0" autoPict="0">
                <anchor moveWithCells="1">
                  <from>
                    <xdr:col>9</xdr:col>
                    <xdr:colOff>171450</xdr:colOff>
                    <xdr:row>119</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681" r:id="rId116" name="Check Box 513">
              <controlPr defaultSize="0" autoFill="0" autoLine="0" autoPict="0">
                <anchor moveWithCells="1">
                  <from>
                    <xdr:col>9</xdr:col>
                    <xdr:colOff>171450</xdr:colOff>
                    <xdr:row>120</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682" r:id="rId117" name="Check Box 514">
              <controlPr defaultSize="0" autoFill="0" autoLine="0" autoPict="0">
                <anchor moveWithCells="1">
                  <from>
                    <xdr:col>9</xdr:col>
                    <xdr:colOff>180975</xdr:colOff>
                    <xdr:row>122</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683" r:id="rId118" name="Check Box 515">
              <controlPr defaultSize="0" autoFill="0" autoLine="0" autoPict="0">
                <anchor moveWithCells="1">
                  <from>
                    <xdr:col>9</xdr:col>
                    <xdr:colOff>171450</xdr:colOff>
                    <xdr:row>116</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684" r:id="rId119" name="Check Box 516">
              <controlPr defaultSize="0" autoFill="0" autoLine="0" autoPict="0">
                <anchor moveWithCells="1">
                  <from>
                    <xdr:col>9</xdr:col>
                    <xdr:colOff>171450</xdr:colOff>
                    <xdr:row>117</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685" r:id="rId120" name="Check Box 517">
              <controlPr defaultSize="0" autoFill="0" autoLine="0" autoPict="0">
                <anchor moveWithCells="1">
                  <from>
                    <xdr:col>9</xdr:col>
                    <xdr:colOff>171450</xdr:colOff>
                    <xdr:row>113</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686" r:id="rId121" name="Check Box 518">
              <controlPr defaultSize="0" autoFill="0" autoLine="0" autoPict="0">
                <anchor moveWithCells="1">
                  <from>
                    <xdr:col>9</xdr:col>
                    <xdr:colOff>171450</xdr:colOff>
                    <xdr:row>114</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687" r:id="rId122" name="Check Box 519">
              <controlPr defaultSize="0" autoFill="0" autoLine="0" autoPict="0">
                <anchor moveWithCells="1">
                  <from>
                    <xdr:col>9</xdr:col>
                    <xdr:colOff>180975</xdr:colOff>
                    <xdr:row>116</xdr:row>
                    <xdr:rowOff>19050</xdr:rowOff>
                  </from>
                  <to>
                    <xdr:col>10</xdr:col>
                    <xdr:colOff>0</xdr:colOff>
                    <xdr:row>380</xdr:row>
                    <xdr:rowOff>28575</xdr:rowOff>
                  </to>
                </anchor>
              </controlPr>
            </control>
          </mc:Choice>
        </mc:AlternateContent>
        <mc:AlternateContent xmlns:mc="http://schemas.openxmlformats.org/markup-compatibility/2006">
          <mc:Choice Requires="x14">
            <control shapeId="7688" r:id="rId123" name="Check Box 520">
              <controlPr defaultSize="0" autoFill="0" autoLine="0" autoPict="0">
                <anchor moveWithCells="1">
                  <from>
                    <xdr:col>9</xdr:col>
                    <xdr:colOff>171450</xdr:colOff>
                    <xdr:row>110</xdr:row>
                    <xdr:rowOff>200025</xdr:rowOff>
                  </from>
                  <to>
                    <xdr:col>9</xdr:col>
                    <xdr:colOff>466725</xdr:colOff>
                    <xdr:row>112</xdr:row>
                    <xdr:rowOff>38100</xdr:rowOff>
                  </to>
                </anchor>
              </controlPr>
            </control>
          </mc:Choice>
        </mc:AlternateContent>
        <mc:AlternateContent xmlns:mc="http://schemas.openxmlformats.org/markup-compatibility/2006">
          <mc:Choice Requires="x14">
            <control shapeId="7689" r:id="rId124" name="Check Box 521">
              <controlPr defaultSize="0" autoFill="0" autoLine="0" autoPict="0">
                <anchor moveWithCells="1">
                  <from>
                    <xdr:col>9</xdr:col>
                    <xdr:colOff>171450</xdr:colOff>
                    <xdr:row>111</xdr:row>
                    <xdr:rowOff>190500</xdr:rowOff>
                  </from>
                  <to>
                    <xdr:col>9</xdr:col>
                    <xdr:colOff>466725</xdr:colOff>
                    <xdr:row>379</xdr:row>
                    <xdr:rowOff>38100</xdr:rowOff>
                  </to>
                </anchor>
              </controlPr>
            </control>
          </mc:Choice>
        </mc:AlternateContent>
        <mc:AlternateContent xmlns:mc="http://schemas.openxmlformats.org/markup-compatibility/2006">
          <mc:Choice Requires="x14">
            <control shapeId="7690" r:id="rId125" name="Check Box 522">
              <controlPr defaultSize="0" autoFill="0" autoLine="0" autoPict="0">
                <anchor moveWithCells="1">
                  <from>
                    <xdr:col>9</xdr:col>
                    <xdr:colOff>180975</xdr:colOff>
                    <xdr:row>113</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691" r:id="rId126" name="Check Box 523">
              <controlPr defaultSize="0" autoFill="0" autoLine="0" autoPict="0">
                <anchor moveWithCells="1">
                  <from>
                    <xdr:col>9</xdr:col>
                    <xdr:colOff>171450</xdr:colOff>
                    <xdr:row>118</xdr:row>
                    <xdr:rowOff>200025</xdr:rowOff>
                  </from>
                  <to>
                    <xdr:col>9</xdr:col>
                    <xdr:colOff>466725</xdr:colOff>
                    <xdr:row>380</xdr:row>
                    <xdr:rowOff>38100</xdr:rowOff>
                  </to>
                </anchor>
              </controlPr>
            </control>
          </mc:Choice>
        </mc:AlternateContent>
        <mc:AlternateContent xmlns:mc="http://schemas.openxmlformats.org/markup-compatibility/2006">
          <mc:Choice Requires="x14">
            <control shapeId="7692" r:id="rId127" name="Check Box 524">
              <controlPr defaultSize="0" autoFill="0" autoLine="0" autoPict="0">
                <anchor moveWithCells="1">
                  <from>
                    <xdr:col>9</xdr:col>
                    <xdr:colOff>180975</xdr:colOff>
                    <xdr:row>128</xdr:row>
                    <xdr:rowOff>19050</xdr:rowOff>
                  </from>
                  <to>
                    <xdr:col>9</xdr:col>
                    <xdr:colOff>466725</xdr:colOff>
                    <xdr:row>380</xdr:row>
                    <xdr:rowOff>38100</xdr:rowOff>
                  </to>
                </anchor>
              </controlPr>
            </control>
          </mc:Choice>
        </mc:AlternateContent>
        <mc:AlternateContent xmlns:mc="http://schemas.openxmlformats.org/markup-compatibility/2006">
          <mc:Choice Requires="x14">
            <control shapeId="7693" r:id="rId128" name="Check Box 525">
              <controlPr defaultSize="0" autoFill="0" autoLine="0" autoPict="0">
                <anchor moveWithCells="1">
                  <from>
                    <xdr:col>9</xdr:col>
                    <xdr:colOff>171450</xdr:colOff>
                    <xdr:row>107</xdr:row>
                    <xdr:rowOff>200025</xdr:rowOff>
                  </from>
                  <to>
                    <xdr:col>9</xdr:col>
                    <xdr:colOff>466725</xdr:colOff>
                    <xdr:row>109</xdr:row>
                    <xdr:rowOff>38100</xdr:rowOff>
                  </to>
                </anchor>
              </controlPr>
            </control>
          </mc:Choice>
        </mc:AlternateContent>
        <mc:AlternateContent xmlns:mc="http://schemas.openxmlformats.org/markup-compatibility/2006">
          <mc:Choice Requires="x14">
            <control shapeId="7694" r:id="rId129" name="Check Box 526">
              <controlPr defaultSize="0" autoFill="0" autoLine="0" autoPict="0">
                <anchor moveWithCells="1">
                  <from>
                    <xdr:col>9</xdr:col>
                    <xdr:colOff>161925</xdr:colOff>
                    <xdr:row>108</xdr:row>
                    <xdr:rowOff>190500</xdr:rowOff>
                  </from>
                  <to>
                    <xdr:col>9</xdr:col>
                    <xdr:colOff>457200</xdr:colOff>
                    <xdr:row>110</xdr:row>
                    <xdr:rowOff>38100</xdr:rowOff>
                  </to>
                </anchor>
              </controlPr>
            </control>
          </mc:Choice>
        </mc:AlternateContent>
        <mc:AlternateContent xmlns:mc="http://schemas.openxmlformats.org/markup-compatibility/2006">
          <mc:Choice Requires="x14">
            <control shapeId="7695" r:id="rId130" name="Check Box 527">
              <controlPr defaultSize="0" autoFill="0" autoLine="0" autoPict="0">
                <anchor moveWithCells="1">
                  <from>
                    <xdr:col>9</xdr:col>
                    <xdr:colOff>152400</xdr:colOff>
                    <xdr:row>109</xdr:row>
                    <xdr:rowOff>200025</xdr:rowOff>
                  </from>
                  <to>
                    <xdr:col>9</xdr:col>
                    <xdr:colOff>447675</xdr:colOff>
                    <xdr:row>111</xdr:row>
                    <xdr:rowOff>28575</xdr:rowOff>
                  </to>
                </anchor>
              </controlPr>
            </control>
          </mc:Choice>
        </mc:AlternateContent>
        <mc:AlternateContent xmlns:mc="http://schemas.openxmlformats.org/markup-compatibility/2006">
          <mc:Choice Requires="x14">
            <control shapeId="7696" r:id="rId131" name="Check Box 528">
              <controlPr defaultSize="0" autoFill="0" autoLine="0" autoPict="0">
                <anchor moveWithCells="1">
                  <from>
                    <xdr:col>9</xdr:col>
                    <xdr:colOff>171450</xdr:colOff>
                    <xdr:row>104</xdr:row>
                    <xdr:rowOff>200025</xdr:rowOff>
                  </from>
                  <to>
                    <xdr:col>9</xdr:col>
                    <xdr:colOff>466725</xdr:colOff>
                    <xdr:row>106</xdr:row>
                    <xdr:rowOff>38100</xdr:rowOff>
                  </to>
                </anchor>
              </controlPr>
            </control>
          </mc:Choice>
        </mc:AlternateContent>
        <mc:AlternateContent xmlns:mc="http://schemas.openxmlformats.org/markup-compatibility/2006">
          <mc:Choice Requires="x14">
            <control shapeId="7697" r:id="rId132" name="Check Box 529">
              <controlPr defaultSize="0" autoFill="0" autoLine="0" autoPict="0">
                <anchor moveWithCells="1">
                  <from>
                    <xdr:col>9</xdr:col>
                    <xdr:colOff>171450</xdr:colOff>
                    <xdr:row>105</xdr:row>
                    <xdr:rowOff>190500</xdr:rowOff>
                  </from>
                  <to>
                    <xdr:col>9</xdr:col>
                    <xdr:colOff>466725</xdr:colOff>
                    <xdr:row>107</xdr:row>
                    <xdr:rowOff>38100</xdr:rowOff>
                  </to>
                </anchor>
              </controlPr>
            </control>
          </mc:Choice>
        </mc:AlternateContent>
        <mc:AlternateContent xmlns:mc="http://schemas.openxmlformats.org/markup-compatibility/2006">
          <mc:Choice Requires="x14">
            <control shapeId="7698" r:id="rId133" name="Check Box 530">
              <controlPr defaultSize="0" autoFill="0" autoLine="0" autoPict="0">
                <anchor moveWithCells="1">
                  <from>
                    <xdr:col>9</xdr:col>
                    <xdr:colOff>180975</xdr:colOff>
                    <xdr:row>107</xdr:row>
                    <xdr:rowOff>9525</xdr:rowOff>
                  </from>
                  <to>
                    <xdr:col>10</xdr:col>
                    <xdr:colOff>0</xdr:colOff>
                    <xdr:row>108</xdr:row>
                    <xdr:rowOff>38100</xdr:rowOff>
                  </to>
                </anchor>
              </controlPr>
            </control>
          </mc:Choice>
        </mc:AlternateContent>
        <mc:AlternateContent xmlns:mc="http://schemas.openxmlformats.org/markup-compatibility/2006">
          <mc:Choice Requires="x14">
            <control shapeId="7699" r:id="rId134" name="Check Box 531">
              <controlPr defaultSize="0" autoFill="0" autoLine="0" autoPict="0">
                <anchor moveWithCells="1">
                  <from>
                    <xdr:col>9</xdr:col>
                    <xdr:colOff>171450</xdr:colOff>
                    <xdr:row>101</xdr:row>
                    <xdr:rowOff>200025</xdr:rowOff>
                  </from>
                  <to>
                    <xdr:col>9</xdr:col>
                    <xdr:colOff>466725</xdr:colOff>
                    <xdr:row>103</xdr:row>
                    <xdr:rowOff>38100</xdr:rowOff>
                  </to>
                </anchor>
              </controlPr>
            </control>
          </mc:Choice>
        </mc:AlternateContent>
        <mc:AlternateContent xmlns:mc="http://schemas.openxmlformats.org/markup-compatibility/2006">
          <mc:Choice Requires="x14">
            <control shapeId="7700" r:id="rId135" name="Check Box 532">
              <controlPr defaultSize="0" autoFill="0" autoLine="0" autoPict="0">
                <anchor moveWithCells="1">
                  <from>
                    <xdr:col>9</xdr:col>
                    <xdr:colOff>161925</xdr:colOff>
                    <xdr:row>102</xdr:row>
                    <xdr:rowOff>190500</xdr:rowOff>
                  </from>
                  <to>
                    <xdr:col>9</xdr:col>
                    <xdr:colOff>457200</xdr:colOff>
                    <xdr:row>104</xdr:row>
                    <xdr:rowOff>38100</xdr:rowOff>
                  </to>
                </anchor>
              </controlPr>
            </control>
          </mc:Choice>
        </mc:AlternateContent>
        <mc:AlternateContent xmlns:mc="http://schemas.openxmlformats.org/markup-compatibility/2006">
          <mc:Choice Requires="x14">
            <control shapeId="7701" r:id="rId136" name="Check Box 533">
              <controlPr defaultSize="0" autoFill="0" autoLine="0" autoPict="0">
                <anchor moveWithCells="1">
                  <from>
                    <xdr:col>9</xdr:col>
                    <xdr:colOff>152400</xdr:colOff>
                    <xdr:row>103</xdr:row>
                    <xdr:rowOff>200025</xdr:rowOff>
                  </from>
                  <to>
                    <xdr:col>9</xdr:col>
                    <xdr:colOff>447675</xdr:colOff>
                    <xdr:row>105</xdr:row>
                    <xdr:rowOff>28575</xdr:rowOff>
                  </to>
                </anchor>
              </controlPr>
            </control>
          </mc:Choice>
        </mc:AlternateContent>
        <mc:AlternateContent xmlns:mc="http://schemas.openxmlformats.org/markup-compatibility/2006">
          <mc:Choice Requires="x14">
            <control shapeId="7702" r:id="rId137" name="Check Box 534">
              <controlPr defaultSize="0" autoFill="0" autoLine="0" autoPict="0">
                <anchor moveWithCells="1">
                  <from>
                    <xdr:col>9</xdr:col>
                    <xdr:colOff>171450</xdr:colOff>
                    <xdr:row>98</xdr:row>
                    <xdr:rowOff>200025</xdr:rowOff>
                  </from>
                  <to>
                    <xdr:col>9</xdr:col>
                    <xdr:colOff>466725</xdr:colOff>
                    <xdr:row>100</xdr:row>
                    <xdr:rowOff>38100</xdr:rowOff>
                  </to>
                </anchor>
              </controlPr>
            </control>
          </mc:Choice>
        </mc:AlternateContent>
        <mc:AlternateContent xmlns:mc="http://schemas.openxmlformats.org/markup-compatibility/2006">
          <mc:Choice Requires="x14">
            <control shapeId="7703" r:id="rId138" name="Check Box 535">
              <controlPr defaultSize="0" autoFill="0" autoLine="0" autoPict="0">
                <anchor moveWithCells="1">
                  <from>
                    <xdr:col>9</xdr:col>
                    <xdr:colOff>171450</xdr:colOff>
                    <xdr:row>99</xdr:row>
                    <xdr:rowOff>190500</xdr:rowOff>
                  </from>
                  <to>
                    <xdr:col>9</xdr:col>
                    <xdr:colOff>466725</xdr:colOff>
                    <xdr:row>101</xdr:row>
                    <xdr:rowOff>38100</xdr:rowOff>
                  </to>
                </anchor>
              </controlPr>
            </control>
          </mc:Choice>
        </mc:AlternateContent>
        <mc:AlternateContent xmlns:mc="http://schemas.openxmlformats.org/markup-compatibility/2006">
          <mc:Choice Requires="x14">
            <control shapeId="7704" r:id="rId139" name="Check Box 536">
              <controlPr defaultSize="0" autoFill="0" autoLine="0" autoPict="0">
                <anchor moveWithCells="1">
                  <from>
                    <xdr:col>9</xdr:col>
                    <xdr:colOff>180975</xdr:colOff>
                    <xdr:row>101</xdr:row>
                    <xdr:rowOff>9525</xdr:rowOff>
                  </from>
                  <to>
                    <xdr:col>10</xdr:col>
                    <xdr:colOff>0</xdr:colOff>
                    <xdr:row>102</xdr:row>
                    <xdr:rowOff>38100</xdr:rowOff>
                  </to>
                </anchor>
              </controlPr>
            </control>
          </mc:Choice>
        </mc:AlternateContent>
        <mc:AlternateContent xmlns:mc="http://schemas.openxmlformats.org/markup-compatibility/2006">
          <mc:Choice Requires="x14">
            <control shapeId="7705" r:id="rId140" name="Check Box 537">
              <controlPr defaultSize="0" autoFill="0" autoLine="0" autoPict="0">
                <anchor moveWithCells="1">
                  <from>
                    <xdr:col>9</xdr:col>
                    <xdr:colOff>171450</xdr:colOff>
                    <xdr:row>95</xdr:row>
                    <xdr:rowOff>200025</xdr:rowOff>
                  </from>
                  <to>
                    <xdr:col>9</xdr:col>
                    <xdr:colOff>466725</xdr:colOff>
                    <xdr:row>97</xdr:row>
                    <xdr:rowOff>38100</xdr:rowOff>
                  </to>
                </anchor>
              </controlPr>
            </control>
          </mc:Choice>
        </mc:AlternateContent>
        <mc:AlternateContent xmlns:mc="http://schemas.openxmlformats.org/markup-compatibility/2006">
          <mc:Choice Requires="x14">
            <control shapeId="7706" r:id="rId141" name="Check Box 538">
              <controlPr defaultSize="0" autoFill="0" autoLine="0" autoPict="0">
                <anchor moveWithCells="1">
                  <from>
                    <xdr:col>9</xdr:col>
                    <xdr:colOff>171450</xdr:colOff>
                    <xdr:row>96</xdr:row>
                    <xdr:rowOff>190500</xdr:rowOff>
                  </from>
                  <to>
                    <xdr:col>9</xdr:col>
                    <xdr:colOff>466725</xdr:colOff>
                    <xdr:row>98</xdr:row>
                    <xdr:rowOff>38100</xdr:rowOff>
                  </to>
                </anchor>
              </controlPr>
            </control>
          </mc:Choice>
        </mc:AlternateContent>
        <mc:AlternateContent xmlns:mc="http://schemas.openxmlformats.org/markup-compatibility/2006">
          <mc:Choice Requires="x14">
            <control shapeId="7707" r:id="rId142" name="Check Box 539">
              <controlPr defaultSize="0" autoFill="0" autoLine="0" autoPict="0">
                <anchor moveWithCells="1">
                  <from>
                    <xdr:col>9</xdr:col>
                    <xdr:colOff>171450</xdr:colOff>
                    <xdr:row>92</xdr:row>
                    <xdr:rowOff>200025</xdr:rowOff>
                  </from>
                  <to>
                    <xdr:col>9</xdr:col>
                    <xdr:colOff>466725</xdr:colOff>
                    <xdr:row>94</xdr:row>
                    <xdr:rowOff>38100</xdr:rowOff>
                  </to>
                </anchor>
              </controlPr>
            </control>
          </mc:Choice>
        </mc:AlternateContent>
        <mc:AlternateContent xmlns:mc="http://schemas.openxmlformats.org/markup-compatibility/2006">
          <mc:Choice Requires="x14">
            <control shapeId="7708" r:id="rId143" name="Check Box 540">
              <controlPr defaultSize="0" autoFill="0" autoLine="0" autoPict="0">
                <anchor moveWithCells="1">
                  <from>
                    <xdr:col>9</xdr:col>
                    <xdr:colOff>161925</xdr:colOff>
                    <xdr:row>93</xdr:row>
                    <xdr:rowOff>190500</xdr:rowOff>
                  </from>
                  <to>
                    <xdr:col>9</xdr:col>
                    <xdr:colOff>457200</xdr:colOff>
                    <xdr:row>95</xdr:row>
                    <xdr:rowOff>38100</xdr:rowOff>
                  </to>
                </anchor>
              </controlPr>
            </control>
          </mc:Choice>
        </mc:AlternateContent>
        <mc:AlternateContent xmlns:mc="http://schemas.openxmlformats.org/markup-compatibility/2006">
          <mc:Choice Requires="x14">
            <control shapeId="7709" r:id="rId144" name="Check Box 541">
              <controlPr defaultSize="0" autoFill="0" autoLine="0" autoPict="0">
                <anchor moveWithCells="1">
                  <from>
                    <xdr:col>9</xdr:col>
                    <xdr:colOff>152400</xdr:colOff>
                    <xdr:row>94</xdr:row>
                    <xdr:rowOff>200025</xdr:rowOff>
                  </from>
                  <to>
                    <xdr:col>9</xdr:col>
                    <xdr:colOff>447675</xdr:colOff>
                    <xdr:row>96</xdr:row>
                    <xdr:rowOff>28575</xdr:rowOff>
                  </to>
                </anchor>
              </controlPr>
            </control>
          </mc:Choice>
        </mc:AlternateContent>
        <mc:AlternateContent xmlns:mc="http://schemas.openxmlformats.org/markup-compatibility/2006">
          <mc:Choice Requires="x14">
            <control shapeId="7710" r:id="rId145" name="Check Box 542">
              <controlPr defaultSize="0" autoFill="0" autoLine="0" autoPict="0">
                <anchor moveWithCells="1">
                  <from>
                    <xdr:col>9</xdr:col>
                    <xdr:colOff>171450</xdr:colOff>
                    <xdr:row>89</xdr:row>
                    <xdr:rowOff>200025</xdr:rowOff>
                  </from>
                  <to>
                    <xdr:col>9</xdr:col>
                    <xdr:colOff>466725</xdr:colOff>
                    <xdr:row>91</xdr:row>
                    <xdr:rowOff>38100</xdr:rowOff>
                  </to>
                </anchor>
              </controlPr>
            </control>
          </mc:Choice>
        </mc:AlternateContent>
        <mc:AlternateContent xmlns:mc="http://schemas.openxmlformats.org/markup-compatibility/2006">
          <mc:Choice Requires="x14">
            <control shapeId="7711" r:id="rId146" name="Check Box 543">
              <controlPr defaultSize="0" autoFill="0" autoLine="0" autoPict="0">
                <anchor moveWithCells="1">
                  <from>
                    <xdr:col>9</xdr:col>
                    <xdr:colOff>171450</xdr:colOff>
                    <xdr:row>90</xdr:row>
                    <xdr:rowOff>190500</xdr:rowOff>
                  </from>
                  <to>
                    <xdr:col>9</xdr:col>
                    <xdr:colOff>466725</xdr:colOff>
                    <xdr:row>92</xdr:row>
                    <xdr:rowOff>38100</xdr:rowOff>
                  </to>
                </anchor>
              </controlPr>
            </control>
          </mc:Choice>
        </mc:AlternateContent>
        <mc:AlternateContent xmlns:mc="http://schemas.openxmlformats.org/markup-compatibility/2006">
          <mc:Choice Requires="x14">
            <control shapeId="7712" r:id="rId147" name="Check Box 544">
              <controlPr defaultSize="0" autoFill="0" autoLine="0" autoPict="0">
                <anchor moveWithCells="1">
                  <from>
                    <xdr:col>9</xdr:col>
                    <xdr:colOff>180975</xdr:colOff>
                    <xdr:row>92</xdr:row>
                    <xdr:rowOff>9525</xdr:rowOff>
                  </from>
                  <to>
                    <xdr:col>10</xdr:col>
                    <xdr:colOff>0</xdr:colOff>
                    <xdr:row>93</xdr:row>
                    <xdr:rowOff>38100</xdr:rowOff>
                  </to>
                </anchor>
              </controlPr>
            </control>
          </mc:Choice>
        </mc:AlternateContent>
        <mc:AlternateContent xmlns:mc="http://schemas.openxmlformats.org/markup-compatibility/2006">
          <mc:Choice Requires="x14">
            <control shapeId="7713" r:id="rId148" name="Check Box 545">
              <controlPr defaultSize="0" autoFill="0" autoLine="0" autoPict="0">
                <anchor moveWithCells="1">
                  <from>
                    <xdr:col>9</xdr:col>
                    <xdr:colOff>171450</xdr:colOff>
                    <xdr:row>86</xdr:row>
                    <xdr:rowOff>200025</xdr:rowOff>
                  </from>
                  <to>
                    <xdr:col>9</xdr:col>
                    <xdr:colOff>466725</xdr:colOff>
                    <xdr:row>88</xdr:row>
                    <xdr:rowOff>38100</xdr:rowOff>
                  </to>
                </anchor>
              </controlPr>
            </control>
          </mc:Choice>
        </mc:AlternateContent>
        <mc:AlternateContent xmlns:mc="http://schemas.openxmlformats.org/markup-compatibility/2006">
          <mc:Choice Requires="x14">
            <control shapeId="7714" r:id="rId149" name="Check Box 546">
              <controlPr defaultSize="0" autoFill="0" autoLine="0" autoPict="0">
                <anchor moveWithCells="1">
                  <from>
                    <xdr:col>9</xdr:col>
                    <xdr:colOff>171450</xdr:colOff>
                    <xdr:row>87</xdr:row>
                    <xdr:rowOff>190500</xdr:rowOff>
                  </from>
                  <to>
                    <xdr:col>9</xdr:col>
                    <xdr:colOff>466725</xdr:colOff>
                    <xdr:row>89</xdr:row>
                    <xdr:rowOff>38100</xdr:rowOff>
                  </to>
                </anchor>
              </controlPr>
            </control>
          </mc:Choice>
        </mc:AlternateContent>
        <mc:AlternateContent xmlns:mc="http://schemas.openxmlformats.org/markup-compatibility/2006">
          <mc:Choice Requires="x14">
            <control shapeId="7715" r:id="rId150" name="Check Box 547">
              <controlPr defaultSize="0" autoFill="0" autoLine="0" autoPict="0">
                <anchor moveWithCells="1">
                  <from>
                    <xdr:col>9</xdr:col>
                    <xdr:colOff>171450</xdr:colOff>
                    <xdr:row>83</xdr:row>
                    <xdr:rowOff>200025</xdr:rowOff>
                  </from>
                  <to>
                    <xdr:col>9</xdr:col>
                    <xdr:colOff>466725</xdr:colOff>
                    <xdr:row>85</xdr:row>
                    <xdr:rowOff>38100</xdr:rowOff>
                  </to>
                </anchor>
              </controlPr>
            </control>
          </mc:Choice>
        </mc:AlternateContent>
        <mc:AlternateContent xmlns:mc="http://schemas.openxmlformats.org/markup-compatibility/2006">
          <mc:Choice Requires="x14">
            <control shapeId="7716" r:id="rId151" name="Check Box 548">
              <controlPr defaultSize="0" autoFill="0" autoLine="0" autoPict="0">
                <anchor moveWithCells="1">
                  <from>
                    <xdr:col>9</xdr:col>
                    <xdr:colOff>171450</xdr:colOff>
                    <xdr:row>84</xdr:row>
                    <xdr:rowOff>190500</xdr:rowOff>
                  </from>
                  <to>
                    <xdr:col>9</xdr:col>
                    <xdr:colOff>466725</xdr:colOff>
                    <xdr:row>86</xdr:row>
                    <xdr:rowOff>38100</xdr:rowOff>
                  </to>
                </anchor>
              </controlPr>
            </control>
          </mc:Choice>
        </mc:AlternateContent>
        <mc:AlternateContent xmlns:mc="http://schemas.openxmlformats.org/markup-compatibility/2006">
          <mc:Choice Requires="x14">
            <control shapeId="7717" r:id="rId152" name="Check Box 549">
              <controlPr defaultSize="0" autoFill="0" autoLine="0" autoPict="0">
                <anchor moveWithCells="1">
                  <from>
                    <xdr:col>9</xdr:col>
                    <xdr:colOff>180975</xdr:colOff>
                    <xdr:row>86</xdr:row>
                    <xdr:rowOff>19050</xdr:rowOff>
                  </from>
                  <to>
                    <xdr:col>10</xdr:col>
                    <xdr:colOff>0</xdr:colOff>
                    <xdr:row>87</xdr:row>
                    <xdr:rowOff>47625</xdr:rowOff>
                  </to>
                </anchor>
              </controlPr>
            </control>
          </mc:Choice>
        </mc:AlternateContent>
        <mc:AlternateContent xmlns:mc="http://schemas.openxmlformats.org/markup-compatibility/2006">
          <mc:Choice Requires="x14">
            <control shapeId="7718" r:id="rId153" name="Check Box 550">
              <controlPr defaultSize="0" autoFill="0" autoLine="0" autoPict="0">
                <anchor moveWithCells="1">
                  <from>
                    <xdr:col>9</xdr:col>
                    <xdr:colOff>171450</xdr:colOff>
                    <xdr:row>80</xdr:row>
                    <xdr:rowOff>200025</xdr:rowOff>
                  </from>
                  <to>
                    <xdr:col>9</xdr:col>
                    <xdr:colOff>466725</xdr:colOff>
                    <xdr:row>82</xdr:row>
                    <xdr:rowOff>38100</xdr:rowOff>
                  </to>
                </anchor>
              </controlPr>
            </control>
          </mc:Choice>
        </mc:AlternateContent>
        <mc:AlternateContent xmlns:mc="http://schemas.openxmlformats.org/markup-compatibility/2006">
          <mc:Choice Requires="x14">
            <control shapeId="7719" r:id="rId154" name="Check Box 551">
              <controlPr defaultSize="0" autoFill="0" autoLine="0" autoPict="0">
                <anchor moveWithCells="1">
                  <from>
                    <xdr:col>9</xdr:col>
                    <xdr:colOff>171450</xdr:colOff>
                    <xdr:row>81</xdr:row>
                    <xdr:rowOff>190500</xdr:rowOff>
                  </from>
                  <to>
                    <xdr:col>9</xdr:col>
                    <xdr:colOff>466725</xdr:colOff>
                    <xdr:row>83</xdr:row>
                    <xdr:rowOff>38100</xdr:rowOff>
                  </to>
                </anchor>
              </controlPr>
            </control>
          </mc:Choice>
        </mc:AlternateContent>
        <mc:AlternateContent xmlns:mc="http://schemas.openxmlformats.org/markup-compatibility/2006">
          <mc:Choice Requires="x14">
            <control shapeId="7720" r:id="rId155" name="Check Box 552">
              <controlPr defaultSize="0" autoFill="0" autoLine="0" autoPict="0">
                <anchor moveWithCells="1">
                  <from>
                    <xdr:col>9</xdr:col>
                    <xdr:colOff>180975</xdr:colOff>
                    <xdr:row>83</xdr:row>
                    <xdr:rowOff>9525</xdr:rowOff>
                  </from>
                  <to>
                    <xdr:col>10</xdr:col>
                    <xdr:colOff>0</xdr:colOff>
                    <xdr:row>84</xdr:row>
                    <xdr:rowOff>38100</xdr:rowOff>
                  </to>
                </anchor>
              </controlPr>
            </control>
          </mc:Choice>
        </mc:AlternateContent>
        <mc:AlternateContent xmlns:mc="http://schemas.openxmlformats.org/markup-compatibility/2006">
          <mc:Choice Requires="x14">
            <control shapeId="7721" r:id="rId156" name="Check Box 553">
              <controlPr defaultSize="0" autoFill="0" autoLine="0" autoPict="0">
                <anchor moveWithCells="1">
                  <from>
                    <xdr:col>9</xdr:col>
                    <xdr:colOff>171450</xdr:colOff>
                    <xdr:row>88</xdr:row>
                    <xdr:rowOff>200025</xdr:rowOff>
                  </from>
                  <to>
                    <xdr:col>9</xdr:col>
                    <xdr:colOff>466725</xdr:colOff>
                    <xdr:row>90</xdr:row>
                    <xdr:rowOff>38100</xdr:rowOff>
                  </to>
                </anchor>
              </controlPr>
            </control>
          </mc:Choice>
        </mc:AlternateContent>
        <mc:AlternateContent xmlns:mc="http://schemas.openxmlformats.org/markup-compatibility/2006">
          <mc:Choice Requires="x14">
            <control shapeId="7722" r:id="rId157" name="Check Box 554">
              <controlPr defaultSize="0" autoFill="0" autoLine="0" autoPict="0">
                <anchor moveWithCells="1">
                  <from>
                    <xdr:col>9</xdr:col>
                    <xdr:colOff>180975</xdr:colOff>
                    <xdr:row>98</xdr:row>
                    <xdr:rowOff>19050</xdr:rowOff>
                  </from>
                  <to>
                    <xdr:col>9</xdr:col>
                    <xdr:colOff>466725</xdr:colOff>
                    <xdr:row>99</xdr:row>
                    <xdr:rowOff>57150</xdr:rowOff>
                  </to>
                </anchor>
              </controlPr>
            </control>
          </mc:Choice>
        </mc:AlternateContent>
        <mc:AlternateContent xmlns:mc="http://schemas.openxmlformats.org/markup-compatibility/2006">
          <mc:Choice Requires="x14">
            <control shapeId="7723" r:id="rId158" name="Check Box 555">
              <controlPr defaultSize="0" autoFill="0" autoLine="0" autoPict="0">
                <anchor moveWithCells="1">
                  <from>
                    <xdr:col>9</xdr:col>
                    <xdr:colOff>171450</xdr:colOff>
                    <xdr:row>290</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24" r:id="rId159" name="Check Box 556">
              <controlPr defaultSize="0" autoFill="0" autoLine="0" autoPict="0">
                <anchor moveWithCells="1">
                  <from>
                    <xdr:col>9</xdr:col>
                    <xdr:colOff>171450</xdr:colOff>
                    <xdr:row>291</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25" r:id="rId160" name="Check Box 557">
              <controlPr defaultSize="0" autoFill="0" autoLine="0" autoPict="0">
                <anchor moveWithCells="1">
                  <from>
                    <xdr:col>9</xdr:col>
                    <xdr:colOff>171450</xdr:colOff>
                    <xdr:row>287</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26" r:id="rId161" name="Check Box 558">
              <controlPr defaultSize="0" autoFill="0" autoLine="0" autoPict="0">
                <anchor moveWithCells="1">
                  <from>
                    <xdr:col>9</xdr:col>
                    <xdr:colOff>161925</xdr:colOff>
                    <xdr:row>288</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727" r:id="rId162" name="Check Box 559">
              <controlPr defaultSize="0" autoFill="0" autoLine="0" autoPict="0">
                <anchor moveWithCells="1">
                  <from>
                    <xdr:col>9</xdr:col>
                    <xdr:colOff>152400</xdr:colOff>
                    <xdr:row>289</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728" r:id="rId163" name="Check Box 560">
              <controlPr defaultSize="0" autoFill="0" autoLine="0" autoPict="0">
                <anchor moveWithCells="1">
                  <from>
                    <xdr:col>9</xdr:col>
                    <xdr:colOff>171450</xdr:colOff>
                    <xdr:row>284</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29" r:id="rId164" name="Check Box 561">
              <controlPr defaultSize="0" autoFill="0" autoLine="0" autoPict="0">
                <anchor moveWithCells="1">
                  <from>
                    <xdr:col>9</xdr:col>
                    <xdr:colOff>171450</xdr:colOff>
                    <xdr:row>285</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30" r:id="rId165" name="Check Box 562">
              <controlPr defaultSize="0" autoFill="0" autoLine="0" autoPict="0">
                <anchor moveWithCells="1">
                  <from>
                    <xdr:col>9</xdr:col>
                    <xdr:colOff>180975</xdr:colOff>
                    <xdr:row>287</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31" r:id="rId166" name="Check Box 563">
              <controlPr defaultSize="0" autoFill="0" autoLine="0" autoPict="0">
                <anchor moveWithCells="1">
                  <from>
                    <xdr:col>9</xdr:col>
                    <xdr:colOff>171450</xdr:colOff>
                    <xdr:row>281</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32" r:id="rId167" name="Check Box 564">
              <controlPr defaultSize="0" autoFill="0" autoLine="0" autoPict="0">
                <anchor moveWithCells="1">
                  <from>
                    <xdr:col>9</xdr:col>
                    <xdr:colOff>161925</xdr:colOff>
                    <xdr:row>282</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733" r:id="rId168" name="Check Box 565">
              <controlPr defaultSize="0" autoFill="0" autoLine="0" autoPict="0">
                <anchor moveWithCells="1">
                  <from>
                    <xdr:col>9</xdr:col>
                    <xdr:colOff>152400</xdr:colOff>
                    <xdr:row>283</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734" r:id="rId169" name="Check Box 566">
              <controlPr defaultSize="0" autoFill="0" autoLine="0" autoPict="0">
                <anchor moveWithCells="1">
                  <from>
                    <xdr:col>9</xdr:col>
                    <xdr:colOff>171450</xdr:colOff>
                    <xdr:row>278</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35" r:id="rId170" name="Check Box 567">
              <controlPr defaultSize="0" autoFill="0" autoLine="0" autoPict="0">
                <anchor moveWithCells="1">
                  <from>
                    <xdr:col>9</xdr:col>
                    <xdr:colOff>171450</xdr:colOff>
                    <xdr:row>279</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36" r:id="rId171" name="Check Box 568">
              <controlPr defaultSize="0" autoFill="0" autoLine="0" autoPict="0">
                <anchor moveWithCells="1">
                  <from>
                    <xdr:col>9</xdr:col>
                    <xdr:colOff>180975</xdr:colOff>
                    <xdr:row>281</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37" r:id="rId172" name="Check Box 569">
              <controlPr defaultSize="0" autoFill="0" autoLine="0" autoPict="0">
                <anchor moveWithCells="1">
                  <from>
                    <xdr:col>9</xdr:col>
                    <xdr:colOff>171450</xdr:colOff>
                    <xdr:row>275</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38" r:id="rId173" name="Check Box 570">
              <controlPr defaultSize="0" autoFill="0" autoLine="0" autoPict="0">
                <anchor moveWithCells="1">
                  <from>
                    <xdr:col>9</xdr:col>
                    <xdr:colOff>171450</xdr:colOff>
                    <xdr:row>276</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39" r:id="rId174" name="Check Box 571">
              <controlPr defaultSize="0" autoFill="0" autoLine="0" autoPict="0">
                <anchor moveWithCells="1">
                  <from>
                    <xdr:col>9</xdr:col>
                    <xdr:colOff>171450</xdr:colOff>
                    <xdr:row>272</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40" r:id="rId175" name="Check Box 572">
              <controlPr defaultSize="0" autoFill="0" autoLine="0" autoPict="0">
                <anchor moveWithCells="1">
                  <from>
                    <xdr:col>9</xdr:col>
                    <xdr:colOff>161925</xdr:colOff>
                    <xdr:row>273</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741" r:id="rId176" name="Check Box 573">
              <controlPr defaultSize="0" autoFill="0" autoLine="0" autoPict="0">
                <anchor moveWithCells="1">
                  <from>
                    <xdr:col>9</xdr:col>
                    <xdr:colOff>152400</xdr:colOff>
                    <xdr:row>274</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742" r:id="rId177" name="Check Box 574">
              <controlPr defaultSize="0" autoFill="0" autoLine="0" autoPict="0">
                <anchor moveWithCells="1">
                  <from>
                    <xdr:col>9</xdr:col>
                    <xdr:colOff>171450</xdr:colOff>
                    <xdr:row>269</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43" r:id="rId178" name="Check Box 575">
              <controlPr defaultSize="0" autoFill="0" autoLine="0" autoPict="0">
                <anchor moveWithCells="1">
                  <from>
                    <xdr:col>9</xdr:col>
                    <xdr:colOff>171450</xdr:colOff>
                    <xdr:row>270</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44" r:id="rId179" name="Check Box 576">
              <controlPr defaultSize="0" autoFill="0" autoLine="0" autoPict="0">
                <anchor moveWithCells="1">
                  <from>
                    <xdr:col>9</xdr:col>
                    <xdr:colOff>180975</xdr:colOff>
                    <xdr:row>272</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45" r:id="rId180" name="Check Box 577">
              <controlPr defaultSize="0" autoFill="0" autoLine="0" autoPict="0">
                <anchor moveWithCells="1">
                  <from>
                    <xdr:col>9</xdr:col>
                    <xdr:colOff>171450</xdr:colOff>
                    <xdr:row>266</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46" r:id="rId181" name="Check Box 578">
              <controlPr defaultSize="0" autoFill="0" autoLine="0" autoPict="0">
                <anchor moveWithCells="1">
                  <from>
                    <xdr:col>9</xdr:col>
                    <xdr:colOff>171450</xdr:colOff>
                    <xdr:row>267</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47" r:id="rId182" name="Check Box 579">
              <controlPr defaultSize="0" autoFill="0" autoLine="0" autoPict="0">
                <anchor moveWithCells="1">
                  <from>
                    <xdr:col>9</xdr:col>
                    <xdr:colOff>171450</xdr:colOff>
                    <xdr:row>263</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48" r:id="rId183" name="Check Box 580">
              <controlPr defaultSize="0" autoFill="0" autoLine="0" autoPict="0">
                <anchor moveWithCells="1">
                  <from>
                    <xdr:col>9</xdr:col>
                    <xdr:colOff>171450</xdr:colOff>
                    <xdr:row>264</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49" r:id="rId184" name="Check Box 581">
              <controlPr defaultSize="0" autoFill="0" autoLine="0" autoPict="0">
                <anchor moveWithCells="1">
                  <from>
                    <xdr:col>9</xdr:col>
                    <xdr:colOff>180975</xdr:colOff>
                    <xdr:row>266</xdr:row>
                    <xdr:rowOff>19050</xdr:rowOff>
                  </from>
                  <to>
                    <xdr:col>10</xdr:col>
                    <xdr:colOff>0</xdr:colOff>
                    <xdr:row>380</xdr:row>
                    <xdr:rowOff>28575</xdr:rowOff>
                  </to>
                </anchor>
              </controlPr>
            </control>
          </mc:Choice>
        </mc:AlternateContent>
        <mc:AlternateContent xmlns:mc="http://schemas.openxmlformats.org/markup-compatibility/2006">
          <mc:Choice Requires="x14">
            <control shapeId="7750" r:id="rId185" name="Check Box 582">
              <controlPr defaultSize="0" autoFill="0" autoLine="0" autoPict="0">
                <anchor moveWithCells="1">
                  <from>
                    <xdr:col>9</xdr:col>
                    <xdr:colOff>171450</xdr:colOff>
                    <xdr:row>260</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51" r:id="rId186" name="Check Box 583">
              <controlPr defaultSize="0" autoFill="0" autoLine="0" autoPict="0">
                <anchor moveWithCells="1">
                  <from>
                    <xdr:col>9</xdr:col>
                    <xdr:colOff>171450</xdr:colOff>
                    <xdr:row>261</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52" r:id="rId187" name="Check Box 584">
              <controlPr defaultSize="0" autoFill="0" autoLine="0" autoPict="0">
                <anchor moveWithCells="1">
                  <from>
                    <xdr:col>9</xdr:col>
                    <xdr:colOff>180975</xdr:colOff>
                    <xdr:row>263</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53" r:id="rId188" name="Check Box 585">
              <controlPr defaultSize="0" autoFill="0" autoLine="0" autoPict="0">
                <anchor moveWithCells="1">
                  <from>
                    <xdr:col>9</xdr:col>
                    <xdr:colOff>171450</xdr:colOff>
                    <xdr:row>268</xdr:row>
                    <xdr:rowOff>200025</xdr:rowOff>
                  </from>
                  <to>
                    <xdr:col>9</xdr:col>
                    <xdr:colOff>466725</xdr:colOff>
                    <xdr:row>380</xdr:row>
                    <xdr:rowOff>38100</xdr:rowOff>
                  </to>
                </anchor>
              </controlPr>
            </control>
          </mc:Choice>
        </mc:AlternateContent>
        <mc:AlternateContent xmlns:mc="http://schemas.openxmlformats.org/markup-compatibility/2006">
          <mc:Choice Requires="x14">
            <control shapeId="7754" r:id="rId189" name="Check Box 586">
              <controlPr defaultSize="0" autoFill="0" autoLine="0" autoPict="0">
                <anchor moveWithCells="1">
                  <from>
                    <xdr:col>9</xdr:col>
                    <xdr:colOff>180975</xdr:colOff>
                    <xdr:row>278</xdr:row>
                    <xdr:rowOff>19050</xdr:rowOff>
                  </from>
                  <to>
                    <xdr:col>9</xdr:col>
                    <xdr:colOff>466725</xdr:colOff>
                    <xdr:row>380</xdr:row>
                    <xdr:rowOff>38100</xdr:rowOff>
                  </to>
                </anchor>
              </controlPr>
            </control>
          </mc:Choice>
        </mc:AlternateContent>
        <mc:AlternateContent xmlns:mc="http://schemas.openxmlformats.org/markup-compatibility/2006">
          <mc:Choice Requires="x14">
            <control shapeId="7755" r:id="rId190" name="Check Box 587">
              <controlPr defaultSize="0" autoFill="0" autoLine="0" autoPict="0">
                <anchor moveWithCells="1">
                  <from>
                    <xdr:col>9</xdr:col>
                    <xdr:colOff>171450</xdr:colOff>
                    <xdr:row>140</xdr:row>
                    <xdr:rowOff>19050</xdr:rowOff>
                  </from>
                  <to>
                    <xdr:col>9</xdr:col>
                    <xdr:colOff>466725</xdr:colOff>
                    <xdr:row>380</xdr:row>
                    <xdr:rowOff>19050</xdr:rowOff>
                  </to>
                </anchor>
              </controlPr>
            </control>
          </mc:Choice>
        </mc:AlternateContent>
        <mc:AlternateContent xmlns:mc="http://schemas.openxmlformats.org/markup-compatibility/2006">
          <mc:Choice Requires="x14">
            <control shapeId="7756" r:id="rId191" name="Check Box 588">
              <controlPr defaultSize="0" autoFill="0" autoLine="0" autoPict="0">
                <anchor moveWithCells="1">
                  <from>
                    <xdr:col>9</xdr:col>
                    <xdr:colOff>171450</xdr:colOff>
                    <xdr:row>197</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57" r:id="rId192" name="Check Box 589">
              <controlPr defaultSize="0" autoFill="0" autoLine="0" autoPict="0">
                <anchor moveWithCells="1">
                  <from>
                    <xdr:col>9</xdr:col>
                    <xdr:colOff>161925</xdr:colOff>
                    <xdr:row>198</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758" r:id="rId193" name="Check Box 590">
              <controlPr defaultSize="0" autoFill="0" autoLine="0" autoPict="0">
                <anchor moveWithCells="1">
                  <from>
                    <xdr:col>9</xdr:col>
                    <xdr:colOff>171450</xdr:colOff>
                    <xdr:row>194</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59" r:id="rId194" name="Check Box 591">
              <controlPr defaultSize="0" autoFill="0" autoLine="0" autoPict="0">
                <anchor moveWithCells="1">
                  <from>
                    <xdr:col>9</xdr:col>
                    <xdr:colOff>171450</xdr:colOff>
                    <xdr:row>195</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60" r:id="rId195" name="Check Box 592">
              <controlPr defaultSize="0" autoFill="0" autoLine="0" autoPict="0">
                <anchor moveWithCells="1">
                  <from>
                    <xdr:col>9</xdr:col>
                    <xdr:colOff>180975</xdr:colOff>
                    <xdr:row>197</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61" r:id="rId196" name="Check Box 593">
              <controlPr defaultSize="0" autoFill="0" autoLine="0" autoPict="0">
                <anchor moveWithCells="1">
                  <from>
                    <xdr:col>9</xdr:col>
                    <xdr:colOff>171450</xdr:colOff>
                    <xdr:row>191</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62" r:id="rId197" name="Check Box 594">
              <controlPr defaultSize="0" autoFill="0" autoLine="0" autoPict="0">
                <anchor moveWithCells="1">
                  <from>
                    <xdr:col>9</xdr:col>
                    <xdr:colOff>161925</xdr:colOff>
                    <xdr:row>192</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763" r:id="rId198" name="Check Box 595">
              <controlPr defaultSize="0" autoFill="0" autoLine="0" autoPict="0">
                <anchor moveWithCells="1">
                  <from>
                    <xdr:col>9</xdr:col>
                    <xdr:colOff>152400</xdr:colOff>
                    <xdr:row>193</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764" r:id="rId199" name="Check Box 596">
              <controlPr defaultSize="0" autoFill="0" autoLine="0" autoPict="0">
                <anchor moveWithCells="1">
                  <from>
                    <xdr:col>9</xdr:col>
                    <xdr:colOff>171450</xdr:colOff>
                    <xdr:row>188</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65" r:id="rId200" name="Check Box 597">
              <controlPr defaultSize="0" autoFill="0" autoLine="0" autoPict="0">
                <anchor moveWithCells="1">
                  <from>
                    <xdr:col>9</xdr:col>
                    <xdr:colOff>171450</xdr:colOff>
                    <xdr:row>189</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66" r:id="rId201" name="Check Box 598">
              <controlPr defaultSize="0" autoFill="0" autoLine="0" autoPict="0">
                <anchor moveWithCells="1">
                  <from>
                    <xdr:col>9</xdr:col>
                    <xdr:colOff>180975</xdr:colOff>
                    <xdr:row>191</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67" r:id="rId202" name="Check Box 599">
              <controlPr defaultSize="0" autoFill="0" autoLine="0" autoPict="0">
                <anchor moveWithCells="1">
                  <from>
                    <xdr:col>9</xdr:col>
                    <xdr:colOff>171450</xdr:colOff>
                    <xdr:row>185</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68" r:id="rId203" name="Check Box 600">
              <controlPr defaultSize="0" autoFill="0" autoLine="0" autoPict="0">
                <anchor moveWithCells="1">
                  <from>
                    <xdr:col>9</xdr:col>
                    <xdr:colOff>171450</xdr:colOff>
                    <xdr:row>186</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69" r:id="rId204" name="Check Box 601">
              <controlPr defaultSize="0" autoFill="0" autoLine="0" autoPict="0">
                <anchor moveWithCells="1">
                  <from>
                    <xdr:col>9</xdr:col>
                    <xdr:colOff>171450</xdr:colOff>
                    <xdr:row>182</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70" r:id="rId205" name="Check Box 602">
              <controlPr defaultSize="0" autoFill="0" autoLine="0" autoPict="0">
                <anchor moveWithCells="1">
                  <from>
                    <xdr:col>9</xdr:col>
                    <xdr:colOff>161925</xdr:colOff>
                    <xdr:row>183</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771" r:id="rId206" name="Check Box 603">
              <controlPr defaultSize="0" autoFill="0" autoLine="0" autoPict="0">
                <anchor moveWithCells="1">
                  <from>
                    <xdr:col>9</xdr:col>
                    <xdr:colOff>152400</xdr:colOff>
                    <xdr:row>184</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772" r:id="rId207" name="Check Box 604">
              <controlPr defaultSize="0" autoFill="0" autoLine="0" autoPict="0">
                <anchor moveWithCells="1">
                  <from>
                    <xdr:col>9</xdr:col>
                    <xdr:colOff>171450</xdr:colOff>
                    <xdr:row>179</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73" r:id="rId208" name="Check Box 605">
              <controlPr defaultSize="0" autoFill="0" autoLine="0" autoPict="0">
                <anchor moveWithCells="1">
                  <from>
                    <xdr:col>9</xdr:col>
                    <xdr:colOff>171450</xdr:colOff>
                    <xdr:row>180</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74" r:id="rId209" name="Check Box 606">
              <controlPr defaultSize="0" autoFill="0" autoLine="0" autoPict="0">
                <anchor moveWithCells="1">
                  <from>
                    <xdr:col>9</xdr:col>
                    <xdr:colOff>180975</xdr:colOff>
                    <xdr:row>182</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75" r:id="rId210" name="Check Box 607">
              <controlPr defaultSize="0" autoFill="0" autoLine="0" autoPict="0">
                <anchor moveWithCells="1">
                  <from>
                    <xdr:col>9</xdr:col>
                    <xdr:colOff>171450</xdr:colOff>
                    <xdr:row>176</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76" r:id="rId211" name="Check Box 608">
              <controlPr defaultSize="0" autoFill="0" autoLine="0" autoPict="0">
                <anchor moveWithCells="1">
                  <from>
                    <xdr:col>9</xdr:col>
                    <xdr:colOff>171450</xdr:colOff>
                    <xdr:row>177</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77" r:id="rId212" name="Check Box 609">
              <controlPr defaultSize="0" autoFill="0" autoLine="0" autoPict="0">
                <anchor moveWithCells="1">
                  <from>
                    <xdr:col>9</xdr:col>
                    <xdr:colOff>171450</xdr:colOff>
                    <xdr:row>173</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78" r:id="rId213" name="Check Box 610">
              <controlPr defaultSize="0" autoFill="0" autoLine="0" autoPict="0">
                <anchor moveWithCells="1">
                  <from>
                    <xdr:col>9</xdr:col>
                    <xdr:colOff>171450</xdr:colOff>
                    <xdr:row>174</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79" r:id="rId214" name="Check Box 611">
              <controlPr defaultSize="0" autoFill="0" autoLine="0" autoPict="0">
                <anchor moveWithCells="1">
                  <from>
                    <xdr:col>9</xdr:col>
                    <xdr:colOff>180975</xdr:colOff>
                    <xdr:row>176</xdr:row>
                    <xdr:rowOff>19050</xdr:rowOff>
                  </from>
                  <to>
                    <xdr:col>10</xdr:col>
                    <xdr:colOff>0</xdr:colOff>
                    <xdr:row>380</xdr:row>
                    <xdr:rowOff>28575</xdr:rowOff>
                  </to>
                </anchor>
              </controlPr>
            </control>
          </mc:Choice>
        </mc:AlternateContent>
        <mc:AlternateContent xmlns:mc="http://schemas.openxmlformats.org/markup-compatibility/2006">
          <mc:Choice Requires="x14">
            <control shapeId="7780" r:id="rId215" name="Check Box 612">
              <controlPr defaultSize="0" autoFill="0" autoLine="0" autoPict="0">
                <anchor moveWithCells="1">
                  <from>
                    <xdr:col>9</xdr:col>
                    <xdr:colOff>171450</xdr:colOff>
                    <xdr:row>170</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81" r:id="rId216" name="Check Box 613">
              <controlPr defaultSize="0" autoFill="0" autoLine="0" autoPict="0">
                <anchor moveWithCells="1">
                  <from>
                    <xdr:col>9</xdr:col>
                    <xdr:colOff>171450</xdr:colOff>
                    <xdr:row>171</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82" r:id="rId217" name="Check Box 614">
              <controlPr defaultSize="0" autoFill="0" autoLine="0" autoPict="0">
                <anchor moveWithCells="1">
                  <from>
                    <xdr:col>9</xdr:col>
                    <xdr:colOff>180975</xdr:colOff>
                    <xdr:row>173</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83" r:id="rId218" name="Check Box 615">
              <controlPr defaultSize="0" autoFill="0" autoLine="0" autoPict="0">
                <anchor moveWithCells="1">
                  <from>
                    <xdr:col>9</xdr:col>
                    <xdr:colOff>171450</xdr:colOff>
                    <xdr:row>178</xdr:row>
                    <xdr:rowOff>200025</xdr:rowOff>
                  </from>
                  <to>
                    <xdr:col>9</xdr:col>
                    <xdr:colOff>466725</xdr:colOff>
                    <xdr:row>380</xdr:row>
                    <xdr:rowOff>38100</xdr:rowOff>
                  </to>
                </anchor>
              </controlPr>
            </control>
          </mc:Choice>
        </mc:AlternateContent>
        <mc:AlternateContent xmlns:mc="http://schemas.openxmlformats.org/markup-compatibility/2006">
          <mc:Choice Requires="x14">
            <control shapeId="7784" r:id="rId219" name="Check Box 616">
              <controlPr defaultSize="0" autoFill="0" autoLine="0" autoPict="0">
                <anchor moveWithCells="1">
                  <from>
                    <xdr:col>9</xdr:col>
                    <xdr:colOff>180975</xdr:colOff>
                    <xdr:row>188</xdr:row>
                    <xdr:rowOff>19050</xdr:rowOff>
                  </from>
                  <to>
                    <xdr:col>9</xdr:col>
                    <xdr:colOff>466725</xdr:colOff>
                    <xdr:row>380</xdr:row>
                    <xdr:rowOff>38100</xdr:rowOff>
                  </to>
                </anchor>
              </controlPr>
            </control>
          </mc:Choice>
        </mc:AlternateContent>
        <mc:AlternateContent xmlns:mc="http://schemas.openxmlformats.org/markup-compatibility/2006">
          <mc:Choice Requires="x14">
            <control shapeId="7785" r:id="rId220" name="Check Box 617">
              <controlPr defaultSize="0" autoFill="0" autoLine="0" autoPict="0">
                <anchor moveWithCells="1">
                  <from>
                    <xdr:col>9</xdr:col>
                    <xdr:colOff>171450</xdr:colOff>
                    <xdr:row>167</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86" r:id="rId221" name="Check Box 618">
              <controlPr defaultSize="0" autoFill="0" autoLine="0" autoPict="0">
                <anchor moveWithCells="1">
                  <from>
                    <xdr:col>9</xdr:col>
                    <xdr:colOff>161925</xdr:colOff>
                    <xdr:row>168</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787" r:id="rId222" name="Check Box 619">
              <controlPr defaultSize="0" autoFill="0" autoLine="0" autoPict="0">
                <anchor moveWithCells="1">
                  <from>
                    <xdr:col>9</xdr:col>
                    <xdr:colOff>152400</xdr:colOff>
                    <xdr:row>169</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788" r:id="rId223" name="Check Box 620">
              <controlPr defaultSize="0" autoFill="0" autoLine="0" autoPict="0">
                <anchor moveWithCells="1">
                  <from>
                    <xdr:col>9</xdr:col>
                    <xdr:colOff>171450</xdr:colOff>
                    <xdr:row>164</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89" r:id="rId224" name="Check Box 621">
              <controlPr defaultSize="0" autoFill="0" autoLine="0" autoPict="0">
                <anchor moveWithCells="1">
                  <from>
                    <xdr:col>9</xdr:col>
                    <xdr:colOff>171450</xdr:colOff>
                    <xdr:row>165</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90" r:id="rId225" name="Check Box 622">
              <controlPr defaultSize="0" autoFill="0" autoLine="0" autoPict="0">
                <anchor moveWithCells="1">
                  <from>
                    <xdr:col>9</xdr:col>
                    <xdr:colOff>180975</xdr:colOff>
                    <xdr:row>167</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91" r:id="rId226" name="Check Box 623">
              <controlPr defaultSize="0" autoFill="0" autoLine="0" autoPict="0">
                <anchor moveWithCells="1">
                  <from>
                    <xdr:col>9</xdr:col>
                    <xdr:colOff>171450</xdr:colOff>
                    <xdr:row>161</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92" r:id="rId227" name="Check Box 624">
              <controlPr defaultSize="0" autoFill="0" autoLine="0" autoPict="0">
                <anchor moveWithCells="1">
                  <from>
                    <xdr:col>9</xdr:col>
                    <xdr:colOff>161925</xdr:colOff>
                    <xdr:row>162</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793" r:id="rId228" name="Check Box 625">
              <controlPr defaultSize="0" autoFill="0" autoLine="0" autoPict="0">
                <anchor moveWithCells="1">
                  <from>
                    <xdr:col>9</xdr:col>
                    <xdr:colOff>152400</xdr:colOff>
                    <xdr:row>163</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794" r:id="rId229" name="Check Box 626">
              <controlPr defaultSize="0" autoFill="0" autoLine="0" autoPict="0">
                <anchor moveWithCells="1">
                  <from>
                    <xdr:col>9</xdr:col>
                    <xdr:colOff>171450</xdr:colOff>
                    <xdr:row>158</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95" r:id="rId230" name="Check Box 627">
              <controlPr defaultSize="0" autoFill="0" autoLine="0" autoPict="0">
                <anchor moveWithCells="1">
                  <from>
                    <xdr:col>9</xdr:col>
                    <xdr:colOff>171450</xdr:colOff>
                    <xdr:row>159</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96" r:id="rId231" name="Check Box 628">
              <controlPr defaultSize="0" autoFill="0" autoLine="0" autoPict="0">
                <anchor moveWithCells="1">
                  <from>
                    <xdr:col>9</xdr:col>
                    <xdr:colOff>180975</xdr:colOff>
                    <xdr:row>161</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797" r:id="rId232" name="Check Box 629">
              <controlPr defaultSize="0" autoFill="0" autoLine="0" autoPict="0">
                <anchor moveWithCells="1">
                  <from>
                    <xdr:col>9</xdr:col>
                    <xdr:colOff>171450</xdr:colOff>
                    <xdr:row>155</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798" r:id="rId233" name="Check Box 630">
              <controlPr defaultSize="0" autoFill="0" autoLine="0" autoPict="0">
                <anchor moveWithCells="1">
                  <from>
                    <xdr:col>9</xdr:col>
                    <xdr:colOff>171450</xdr:colOff>
                    <xdr:row>156</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799" r:id="rId234" name="Check Box 631">
              <controlPr defaultSize="0" autoFill="0" autoLine="0" autoPict="0">
                <anchor moveWithCells="1">
                  <from>
                    <xdr:col>9</xdr:col>
                    <xdr:colOff>171450</xdr:colOff>
                    <xdr:row>152</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00" r:id="rId235" name="Check Box 632">
              <controlPr defaultSize="0" autoFill="0" autoLine="0" autoPict="0">
                <anchor moveWithCells="1">
                  <from>
                    <xdr:col>9</xdr:col>
                    <xdr:colOff>161925</xdr:colOff>
                    <xdr:row>153</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801" r:id="rId236" name="Check Box 633">
              <controlPr defaultSize="0" autoFill="0" autoLine="0" autoPict="0">
                <anchor moveWithCells="1">
                  <from>
                    <xdr:col>9</xdr:col>
                    <xdr:colOff>152400</xdr:colOff>
                    <xdr:row>154</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802" r:id="rId237" name="Check Box 634">
              <controlPr defaultSize="0" autoFill="0" autoLine="0" autoPict="0">
                <anchor moveWithCells="1">
                  <from>
                    <xdr:col>9</xdr:col>
                    <xdr:colOff>171450</xdr:colOff>
                    <xdr:row>149</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03" r:id="rId238" name="Check Box 635">
              <controlPr defaultSize="0" autoFill="0" autoLine="0" autoPict="0">
                <anchor moveWithCells="1">
                  <from>
                    <xdr:col>9</xdr:col>
                    <xdr:colOff>171450</xdr:colOff>
                    <xdr:row>150</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04" r:id="rId239" name="Check Box 636">
              <controlPr defaultSize="0" autoFill="0" autoLine="0" autoPict="0">
                <anchor moveWithCells="1">
                  <from>
                    <xdr:col>9</xdr:col>
                    <xdr:colOff>180975</xdr:colOff>
                    <xdr:row>152</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05" r:id="rId240" name="Check Box 637">
              <controlPr defaultSize="0" autoFill="0" autoLine="0" autoPict="0">
                <anchor moveWithCells="1">
                  <from>
                    <xdr:col>9</xdr:col>
                    <xdr:colOff>171450</xdr:colOff>
                    <xdr:row>146</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06" r:id="rId241" name="Check Box 638">
              <controlPr defaultSize="0" autoFill="0" autoLine="0" autoPict="0">
                <anchor moveWithCells="1">
                  <from>
                    <xdr:col>9</xdr:col>
                    <xdr:colOff>171450</xdr:colOff>
                    <xdr:row>147</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07" r:id="rId242" name="Check Box 639">
              <controlPr defaultSize="0" autoFill="0" autoLine="0" autoPict="0">
                <anchor moveWithCells="1">
                  <from>
                    <xdr:col>9</xdr:col>
                    <xdr:colOff>171450</xdr:colOff>
                    <xdr:row>143</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08" r:id="rId243" name="Check Box 640">
              <controlPr defaultSize="0" autoFill="0" autoLine="0" autoPict="0">
                <anchor moveWithCells="1">
                  <from>
                    <xdr:col>9</xdr:col>
                    <xdr:colOff>171450</xdr:colOff>
                    <xdr:row>144</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09" r:id="rId244" name="Check Box 641">
              <controlPr defaultSize="0" autoFill="0" autoLine="0" autoPict="0">
                <anchor moveWithCells="1">
                  <from>
                    <xdr:col>9</xdr:col>
                    <xdr:colOff>180975</xdr:colOff>
                    <xdr:row>146</xdr:row>
                    <xdr:rowOff>19050</xdr:rowOff>
                  </from>
                  <to>
                    <xdr:col>10</xdr:col>
                    <xdr:colOff>0</xdr:colOff>
                    <xdr:row>380</xdr:row>
                    <xdr:rowOff>28575</xdr:rowOff>
                  </to>
                </anchor>
              </controlPr>
            </control>
          </mc:Choice>
        </mc:AlternateContent>
        <mc:AlternateContent xmlns:mc="http://schemas.openxmlformats.org/markup-compatibility/2006">
          <mc:Choice Requires="x14">
            <control shapeId="7810" r:id="rId245" name="Check Box 642">
              <controlPr defaultSize="0" autoFill="0" autoLine="0" autoPict="0">
                <anchor moveWithCells="1">
                  <from>
                    <xdr:col>9</xdr:col>
                    <xdr:colOff>171450</xdr:colOff>
                    <xdr:row>140</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11" r:id="rId246" name="Check Box 643">
              <controlPr defaultSize="0" autoFill="0" autoLine="0" autoPict="0">
                <anchor moveWithCells="1">
                  <from>
                    <xdr:col>9</xdr:col>
                    <xdr:colOff>171450</xdr:colOff>
                    <xdr:row>141</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12" r:id="rId247" name="Check Box 644">
              <controlPr defaultSize="0" autoFill="0" autoLine="0" autoPict="0">
                <anchor moveWithCells="1">
                  <from>
                    <xdr:col>9</xdr:col>
                    <xdr:colOff>180975</xdr:colOff>
                    <xdr:row>143</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13" r:id="rId248" name="Check Box 645">
              <controlPr defaultSize="0" autoFill="0" autoLine="0" autoPict="0">
                <anchor moveWithCells="1">
                  <from>
                    <xdr:col>9</xdr:col>
                    <xdr:colOff>171450</xdr:colOff>
                    <xdr:row>148</xdr:row>
                    <xdr:rowOff>200025</xdr:rowOff>
                  </from>
                  <to>
                    <xdr:col>9</xdr:col>
                    <xdr:colOff>466725</xdr:colOff>
                    <xdr:row>380</xdr:row>
                    <xdr:rowOff>38100</xdr:rowOff>
                  </to>
                </anchor>
              </controlPr>
            </control>
          </mc:Choice>
        </mc:AlternateContent>
        <mc:AlternateContent xmlns:mc="http://schemas.openxmlformats.org/markup-compatibility/2006">
          <mc:Choice Requires="x14">
            <control shapeId="7814" r:id="rId249" name="Check Box 646">
              <controlPr defaultSize="0" autoFill="0" autoLine="0" autoPict="0">
                <anchor moveWithCells="1">
                  <from>
                    <xdr:col>9</xdr:col>
                    <xdr:colOff>180975</xdr:colOff>
                    <xdr:row>157</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15" r:id="rId250" name="Check Box 647">
              <controlPr defaultSize="0" autoFill="0" autoLine="0" autoPict="0">
                <anchor moveWithCells="1">
                  <from>
                    <xdr:col>9</xdr:col>
                    <xdr:colOff>171450</xdr:colOff>
                    <xdr:row>200</xdr:row>
                    <xdr:rowOff>19050</xdr:rowOff>
                  </from>
                  <to>
                    <xdr:col>9</xdr:col>
                    <xdr:colOff>466725</xdr:colOff>
                    <xdr:row>380</xdr:row>
                    <xdr:rowOff>19050</xdr:rowOff>
                  </to>
                </anchor>
              </controlPr>
            </control>
          </mc:Choice>
        </mc:AlternateContent>
        <mc:AlternateContent xmlns:mc="http://schemas.openxmlformats.org/markup-compatibility/2006">
          <mc:Choice Requires="x14">
            <control shapeId="7816" r:id="rId251" name="Check Box 648">
              <controlPr defaultSize="0" autoFill="0" autoLine="0" autoPict="0">
                <anchor moveWithCells="1">
                  <from>
                    <xdr:col>9</xdr:col>
                    <xdr:colOff>171450</xdr:colOff>
                    <xdr:row>257</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17" r:id="rId252" name="Check Box 649">
              <controlPr defaultSize="0" autoFill="0" autoLine="0" autoPict="0">
                <anchor moveWithCells="1">
                  <from>
                    <xdr:col>9</xdr:col>
                    <xdr:colOff>161925</xdr:colOff>
                    <xdr:row>258</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818" r:id="rId253" name="Check Box 650">
              <controlPr defaultSize="0" autoFill="0" autoLine="0" autoPict="0">
                <anchor moveWithCells="1">
                  <from>
                    <xdr:col>9</xdr:col>
                    <xdr:colOff>152400</xdr:colOff>
                    <xdr:row>259</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819" r:id="rId254" name="Check Box 651">
              <controlPr defaultSize="0" autoFill="0" autoLine="0" autoPict="0">
                <anchor moveWithCells="1">
                  <from>
                    <xdr:col>9</xdr:col>
                    <xdr:colOff>171450</xdr:colOff>
                    <xdr:row>254</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20" r:id="rId255" name="Check Box 652">
              <controlPr defaultSize="0" autoFill="0" autoLine="0" autoPict="0">
                <anchor moveWithCells="1">
                  <from>
                    <xdr:col>9</xdr:col>
                    <xdr:colOff>171450</xdr:colOff>
                    <xdr:row>255</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21" r:id="rId256" name="Check Box 653">
              <controlPr defaultSize="0" autoFill="0" autoLine="0" autoPict="0">
                <anchor moveWithCells="1">
                  <from>
                    <xdr:col>9</xdr:col>
                    <xdr:colOff>180975</xdr:colOff>
                    <xdr:row>257</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22" r:id="rId257" name="Check Box 654">
              <controlPr defaultSize="0" autoFill="0" autoLine="0" autoPict="0">
                <anchor moveWithCells="1">
                  <from>
                    <xdr:col>9</xdr:col>
                    <xdr:colOff>171450</xdr:colOff>
                    <xdr:row>251</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23" r:id="rId258" name="Check Box 655">
              <controlPr defaultSize="0" autoFill="0" autoLine="0" autoPict="0">
                <anchor moveWithCells="1">
                  <from>
                    <xdr:col>9</xdr:col>
                    <xdr:colOff>161925</xdr:colOff>
                    <xdr:row>252</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824" r:id="rId259" name="Check Box 656">
              <controlPr defaultSize="0" autoFill="0" autoLine="0" autoPict="0">
                <anchor moveWithCells="1">
                  <from>
                    <xdr:col>9</xdr:col>
                    <xdr:colOff>152400</xdr:colOff>
                    <xdr:row>253</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825" r:id="rId260" name="Check Box 657">
              <controlPr defaultSize="0" autoFill="0" autoLine="0" autoPict="0">
                <anchor moveWithCells="1">
                  <from>
                    <xdr:col>9</xdr:col>
                    <xdr:colOff>171450</xdr:colOff>
                    <xdr:row>248</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26" r:id="rId261" name="Check Box 658">
              <controlPr defaultSize="0" autoFill="0" autoLine="0" autoPict="0">
                <anchor moveWithCells="1">
                  <from>
                    <xdr:col>9</xdr:col>
                    <xdr:colOff>171450</xdr:colOff>
                    <xdr:row>249</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27" r:id="rId262" name="Check Box 659">
              <controlPr defaultSize="0" autoFill="0" autoLine="0" autoPict="0">
                <anchor moveWithCells="1">
                  <from>
                    <xdr:col>9</xdr:col>
                    <xdr:colOff>180975</xdr:colOff>
                    <xdr:row>251</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28" r:id="rId263" name="Check Box 660">
              <controlPr defaultSize="0" autoFill="0" autoLine="0" autoPict="0">
                <anchor moveWithCells="1">
                  <from>
                    <xdr:col>9</xdr:col>
                    <xdr:colOff>171450</xdr:colOff>
                    <xdr:row>245</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29" r:id="rId264" name="Check Box 661">
              <controlPr defaultSize="0" autoFill="0" autoLine="0" autoPict="0">
                <anchor moveWithCells="1">
                  <from>
                    <xdr:col>9</xdr:col>
                    <xdr:colOff>171450</xdr:colOff>
                    <xdr:row>246</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30" r:id="rId265" name="Check Box 662">
              <controlPr defaultSize="0" autoFill="0" autoLine="0" autoPict="0">
                <anchor moveWithCells="1">
                  <from>
                    <xdr:col>9</xdr:col>
                    <xdr:colOff>171450</xdr:colOff>
                    <xdr:row>242</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31" r:id="rId266" name="Check Box 663">
              <controlPr defaultSize="0" autoFill="0" autoLine="0" autoPict="0">
                <anchor moveWithCells="1">
                  <from>
                    <xdr:col>9</xdr:col>
                    <xdr:colOff>161925</xdr:colOff>
                    <xdr:row>243</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832" r:id="rId267" name="Check Box 664">
              <controlPr defaultSize="0" autoFill="0" autoLine="0" autoPict="0">
                <anchor moveWithCells="1">
                  <from>
                    <xdr:col>9</xdr:col>
                    <xdr:colOff>152400</xdr:colOff>
                    <xdr:row>244</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833" r:id="rId268" name="Check Box 665">
              <controlPr defaultSize="0" autoFill="0" autoLine="0" autoPict="0">
                <anchor moveWithCells="1">
                  <from>
                    <xdr:col>9</xdr:col>
                    <xdr:colOff>171450</xdr:colOff>
                    <xdr:row>239</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34" r:id="rId269" name="Check Box 666">
              <controlPr defaultSize="0" autoFill="0" autoLine="0" autoPict="0">
                <anchor moveWithCells="1">
                  <from>
                    <xdr:col>9</xdr:col>
                    <xdr:colOff>171450</xdr:colOff>
                    <xdr:row>240</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35" r:id="rId270" name="Check Box 667">
              <controlPr defaultSize="0" autoFill="0" autoLine="0" autoPict="0">
                <anchor moveWithCells="1">
                  <from>
                    <xdr:col>9</xdr:col>
                    <xdr:colOff>180975</xdr:colOff>
                    <xdr:row>242</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36" r:id="rId271" name="Check Box 668">
              <controlPr defaultSize="0" autoFill="0" autoLine="0" autoPict="0">
                <anchor moveWithCells="1">
                  <from>
                    <xdr:col>9</xdr:col>
                    <xdr:colOff>171450</xdr:colOff>
                    <xdr:row>236</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37" r:id="rId272" name="Check Box 669">
              <controlPr defaultSize="0" autoFill="0" autoLine="0" autoPict="0">
                <anchor moveWithCells="1">
                  <from>
                    <xdr:col>9</xdr:col>
                    <xdr:colOff>171450</xdr:colOff>
                    <xdr:row>237</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38" r:id="rId273" name="Check Box 670">
              <controlPr defaultSize="0" autoFill="0" autoLine="0" autoPict="0">
                <anchor moveWithCells="1">
                  <from>
                    <xdr:col>9</xdr:col>
                    <xdr:colOff>171450</xdr:colOff>
                    <xdr:row>233</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39" r:id="rId274" name="Check Box 671">
              <controlPr defaultSize="0" autoFill="0" autoLine="0" autoPict="0">
                <anchor moveWithCells="1">
                  <from>
                    <xdr:col>9</xdr:col>
                    <xdr:colOff>171450</xdr:colOff>
                    <xdr:row>234</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40" r:id="rId275" name="Check Box 672">
              <controlPr defaultSize="0" autoFill="0" autoLine="0" autoPict="0">
                <anchor moveWithCells="1">
                  <from>
                    <xdr:col>9</xdr:col>
                    <xdr:colOff>180975</xdr:colOff>
                    <xdr:row>236</xdr:row>
                    <xdr:rowOff>19050</xdr:rowOff>
                  </from>
                  <to>
                    <xdr:col>10</xdr:col>
                    <xdr:colOff>0</xdr:colOff>
                    <xdr:row>380</xdr:row>
                    <xdr:rowOff>28575</xdr:rowOff>
                  </to>
                </anchor>
              </controlPr>
            </control>
          </mc:Choice>
        </mc:AlternateContent>
        <mc:AlternateContent xmlns:mc="http://schemas.openxmlformats.org/markup-compatibility/2006">
          <mc:Choice Requires="x14">
            <control shapeId="7841" r:id="rId276" name="Check Box 673">
              <controlPr defaultSize="0" autoFill="0" autoLine="0" autoPict="0">
                <anchor moveWithCells="1">
                  <from>
                    <xdr:col>9</xdr:col>
                    <xdr:colOff>171450</xdr:colOff>
                    <xdr:row>230</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42" r:id="rId277" name="Check Box 674">
              <controlPr defaultSize="0" autoFill="0" autoLine="0" autoPict="0">
                <anchor moveWithCells="1">
                  <from>
                    <xdr:col>9</xdr:col>
                    <xdr:colOff>171450</xdr:colOff>
                    <xdr:row>231</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43" r:id="rId278" name="Check Box 675">
              <controlPr defaultSize="0" autoFill="0" autoLine="0" autoPict="0">
                <anchor moveWithCells="1">
                  <from>
                    <xdr:col>9</xdr:col>
                    <xdr:colOff>180975</xdr:colOff>
                    <xdr:row>233</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44" r:id="rId279" name="Check Box 676">
              <controlPr defaultSize="0" autoFill="0" autoLine="0" autoPict="0">
                <anchor moveWithCells="1">
                  <from>
                    <xdr:col>9</xdr:col>
                    <xdr:colOff>171450</xdr:colOff>
                    <xdr:row>238</xdr:row>
                    <xdr:rowOff>200025</xdr:rowOff>
                  </from>
                  <to>
                    <xdr:col>9</xdr:col>
                    <xdr:colOff>466725</xdr:colOff>
                    <xdr:row>380</xdr:row>
                    <xdr:rowOff>38100</xdr:rowOff>
                  </to>
                </anchor>
              </controlPr>
            </control>
          </mc:Choice>
        </mc:AlternateContent>
        <mc:AlternateContent xmlns:mc="http://schemas.openxmlformats.org/markup-compatibility/2006">
          <mc:Choice Requires="x14">
            <control shapeId="7845" r:id="rId280" name="Check Box 677">
              <controlPr defaultSize="0" autoFill="0" autoLine="0" autoPict="0">
                <anchor moveWithCells="1">
                  <from>
                    <xdr:col>9</xdr:col>
                    <xdr:colOff>180975</xdr:colOff>
                    <xdr:row>248</xdr:row>
                    <xdr:rowOff>19050</xdr:rowOff>
                  </from>
                  <to>
                    <xdr:col>9</xdr:col>
                    <xdr:colOff>466725</xdr:colOff>
                    <xdr:row>380</xdr:row>
                    <xdr:rowOff>38100</xdr:rowOff>
                  </to>
                </anchor>
              </controlPr>
            </control>
          </mc:Choice>
        </mc:AlternateContent>
        <mc:AlternateContent xmlns:mc="http://schemas.openxmlformats.org/markup-compatibility/2006">
          <mc:Choice Requires="x14">
            <control shapeId="7846" r:id="rId281" name="Check Box 678">
              <controlPr defaultSize="0" autoFill="0" autoLine="0" autoPict="0">
                <anchor moveWithCells="1">
                  <from>
                    <xdr:col>9</xdr:col>
                    <xdr:colOff>171450</xdr:colOff>
                    <xdr:row>227</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47" r:id="rId282" name="Check Box 679">
              <controlPr defaultSize="0" autoFill="0" autoLine="0" autoPict="0">
                <anchor moveWithCells="1">
                  <from>
                    <xdr:col>9</xdr:col>
                    <xdr:colOff>161925</xdr:colOff>
                    <xdr:row>228</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848" r:id="rId283" name="Check Box 680">
              <controlPr defaultSize="0" autoFill="0" autoLine="0" autoPict="0">
                <anchor moveWithCells="1">
                  <from>
                    <xdr:col>9</xdr:col>
                    <xdr:colOff>152400</xdr:colOff>
                    <xdr:row>229</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849" r:id="rId284" name="Check Box 681">
              <controlPr defaultSize="0" autoFill="0" autoLine="0" autoPict="0">
                <anchor moveWithCells="1">
                  <from>
                    <xdr:col>9</xdr:col>
                    <xdr:colOff>171450</xdr:colOff>
                    <xdr:row>224</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50" r:id="rId285" name="Check Box 682">
              <controlPr defaultSize="0" autoFill="0" autoLine="0" autoPict="0">
                <anchor moveWithCells="1">
                  <from>
                    <xdr:col>9</xdr:col>
                    <xdr:colOff>171450</xdr:colOff>
                    <xdr:row>225</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51" r:id="rId286" name="Check Box 683">
              <controlPr defaultSize="0" autoFill="0" autoLine="0" autoPict="0">
                <anchor moveWithCells="1">
                  <from>
                    <xdr:col>9</xdr:col>
                    <xdr:colOff>180975</xdr:colOff>
                    <xdr:row>227</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52" r:id="rId287" name="Check Box 684">
              <controlPr defaultSize="0" autoFill="0" autoLine="0" autoPict="0">
                <anchor moveWithCells="1">
                  <from>
                    <xdr:col>9</xdr:col>
                    <xdr:colOff>171450</xdr:colOff>
                    <xdr:row>221</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53" r:id="rId288" name="Check Box 685">
              <controlPr defaultSize="0" autoFill="0" autoLine="0" autoPict="0">
                <anchor moveWithCells="1">
                  <from>
                    <xdr:col>9</xdr:col>
                    <xdr:colOff>161925</xdr:colOff>
                    <xdr:row>222</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854" r:id="rId289" name="Check Box 686">
              <controlPr defaultSize="0" autoFill="0" autoLine="0" autoPict="0">
                <anchor moveWithCells="1">
                  <from>
                    <xdr:col>9</xdr:col>
                    <xdr:colOff>152400</xdr:colOff>
                    <xdr:row>223</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855" r:id="rId290" name="Check Box 687">
              <controlPr defaultSize="0" autoFill="0" autoLine="0" autoPict="0">
                <anchor moveWithCells="1">
                  <from>
                    <xdr:col>9</xdr:col>
                    <xdr:colOff>171450</xdr:colOff>
                    <xdr:row>218</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56" r:id="rId291" name="Check Box 688">
              <controlPr defaultSize="0" autoFill="0" autoLine="0" autoPict="0">
                <anchor moveWithCells="1">
                  <from>
                    <xdr:col>9</xdr:col>
                    <xdr:colOff>171450</xdr:colOff>
                    <xdr:row>219</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57" r:id="rId292" name="Check Box 689">
              <controlPr defaultSize="0" autoFill="0" autoLine="0" autoPict="0">
                <anchor moveWithCells="1">
                  <from>
                    <xdr:col>9</xdr:col>
                    <xdr:colOff>180975</xdr:colOff>
                    <xdr:row>221</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58" r:id="rId293" name="Check Box 690">
              <controlPr defaultSize="0" autoFill="0" autoLine="0" autoPict="0">
                <anchor moveWithCells="1">
                  <from>
                    <xdr:col>9</xdr:col>
                    <xdr:colOff>171450</xdr:colOff>
                    <xdr:row>215</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59" r:id="rId294" name="Check Box 691">
              <controlPr defaultSize="0" autoFill="0" autoLine="0" autoPict="0">
                <anchor moveWithCells="1">
                  <from>
                    <xdr:col>9</xdr:col>
                    <xdr:colOff>171450</xdr:colOff>
                    <xdr:row>216</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60" r:id="rId295" name="Check Box 692">
              <controlPr defaultSize="0" autoFill="0" autoLine="0" autoPict="0">
                <anchor moveWithCells="1">
                  <from>
                    <xdr:col>9</xdr:col>
                    <xdr:colOff>171450</xdr:colOff>
                    <xdr:row>212</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61" r:id="rId296" name="Check Box 693">
              <controlPr defaultSize="0" autoFill="0" autoLine="0" autoPict="0">
                <anchor moveWithCells="1">
                  <from>
                    <xdr:col>9</xdr:col>
                    <xdr:colOff>161925</xdr:colOff>
                    <xdr:row>213</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862" r:id="rId297" name="Check Box 694">
              <controlPr defaultSize="0" autoFill="0" autoLine="0" autoPict="0">
                <anchor moveWithCells="1">
                  <from>
                    <xdr:col>9</xdr:col>
                    <xdr:colOff>152400</xdr:colOff>
                    <xdr:row>214</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863" r:id="rId298" name="Check Box 695">
              <controlPr defaultSize="0" autoFill="0" autoLine="0" autoPict="0">
                <anchor moveWithCells="1">
                  <from>
                    <xdr:col>9</xdr:col>
                    <xdr:colOff>171450</xdr:colOff>
                    <xdr:row>209</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64" r:id="rId299" name="Check Box 696">
              <controlPr defaultSize="0" autoFill="0" autoLine="0" autoPict="0">
                <anchor moveWithCells="1">
                  <from>
                    <xdr:col>9</xdr:col>
                    <xdr:colOff>171450</xdr:colOff>
                    <xdr:row>210</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65" r:id="rId300" name="Check Box 697">
              <controlPr defaultSize="0" autoFill="0" autoLine="0" autoPict="0">
                <anchor moveWithCells="1">
                  <from>
                    <xdr:col>9</xdr:col>
                    <xdr:colOff>180975</xdr:colOff>
                    <xdr:row>212</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66" r:id="rId301" name="Check Box 698">
              <controlPr defaultSize="0" autoFill="0" autoLine="0" autoPict="0">
                <anchor moveWithCells="1">
                  <from>
                    <xdr:col>9</xdr:col>
                    <xdr:colOff>171450</xdr:colOff>
                    <xdr:row>206</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67" r:id="rId302" name="Check Box 699">
              <controlPr defaultSize="0" autoFill="0" autoLine="0" autoPict="0">
                <anchor moveWithCells="1">
                  <from>
                    <xdr:col>9</xdr:col>
                    <xdr:colOff>171450</xdr:colOff>
                    <xdr:row>207</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68" r:id="rId303" name="Check Box 700">
              <controlPr defaultSize="0" autoFill="0" autoLine="0" autoPict="0">
                <anchor moveWithCells="1">
                  <from>
                    <xdr:col>9</xdr:col>
                    <xdr:colOff>171450</xdr:colOff>
                    <xdr:row>203</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69" r:id="rId304" name="Check Box 701">
              <controlPr defaultSize="0" autoFill="0" autoLine="0" autoPict="0">
                <anchor moveWithCells="1">
                  <from>
                    <xdr:col>9</xdr:col>
                    <xdr:colOff>171450</xdr:colOff>
                    <xdr:row>204</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70" r:id="rId305" name="Check Box 702">
              <controlPr defaultSize="0" autoFill="0" autoLine="0" autoPict="0">
                <anchor moveWithCells="1">
                  <from>
                    <xdr:col>9</xdr:col>
                    <xdr:colOff>180975</xdr:colOff>
                    <xdr:row>206</xdr:row>
                    <xdr:rowOff>19050</xdr:rowOff>
                  </from>
                  <to>
                    <xdr:col>10</xdr:col>
                    <xdr:colOff>0</xdr:colOff>
                    <xdr:row>380</xdr:row>
                    <xdr:rowOff>28575</xdr:rowOff>
                  </to>
                </anchor>
              </controlPr>
            </control>
          </mc:Choice>
        </mc:AlternateContent>
        <mc:AlternateContent xmlns:mc="http://schemas.openxmlformats.org/markup-compatibility/2006">
          <mc:Choice Requires="x14">
            <control shapeId="7871" r:id="rId306" name="Check Box 703">
              <controlPr defaultSize="0" autoFill="0" autoLine="0" autoPict="0">
                <anchor moveWithCells="1">
                  <from>
                    <xdr:col>9</xdr:col>
                    <xdr:colOff>171450</xdr:colOff>
                    <xdr:row>200</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72" r:id="rId307" name="Check Box 704">
              <controlPr defaultSize="0" autoFill="0" autoLine="0" autoPict="0">
                <anchor moveWithCells="1">
                  <from>
                    <xdr:col>9</xdr:col>
                    <xdr:colOff>171450</xdr:colOff>
                    <xdr:row>201</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73" r:id="rId308" name="Check Box 705">
              <controlPr defaultSize="0" autoFill="0" autoLine="0" autoPict="0">
                <anchor moveWithCells="1">
                  <from>
                    <xdr:col>9</xdr:col>
                    <xdr:colOff>180975</xdr:colOff>
                    <xdr:row>203</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74" r:id="rId309" name="Check Box 706">
              <controlPr defaultSize="0" autoFill="0" autoLine="0" autoPict="0">
                <anchor moveWithCells="1">
                  <from>
                    <xdr:col>9</xdr:col>
                    <xdr:colOff>171450</xdr:colOff>
                    <xdr:row>208</xdr:row>
                    <xdr:rowOff>200025</xdr:rowOff>
                  </from>
                  <to>
                    <xdr:col>9</xdr:col>
                    <xdr:colOff>466725</xdr:colOff>
                    <xdr:row>380</xdr:row>
                    <xdr:rowOff>38100</xdr:rowOff>
                  </to>
                </anchor>
              </controlPr>
            </control>
          </mc:Choice>
        </mc:AlternateContent>
        <mc:AlternateContent xmlns:mc="http://schemas.openxmlformats.org/markup-compatibility/2006">
          <mc:Choice Requires="x14">
            <control shapeId="7875" r:id="rId310" name="Check Box 707">
              <controlPr defaultSize="0" autoFill="0" autoLine="0" autoPict="0">
                <anchor moveWithCells="1">
                  <from>
                    <xdr:col>9</xdr:col>
                    <xdr:colOff>180975</xdr:colOff>
                    <xdr:row>218</xdr:row>
                    <xdr:rowOff>19050</xdr:rowOff>
                  </from>
                  <to>
                    <xdr:col>9</xdr:col>
                    <xdr:colOff>466725</xdr:colOff>
                    <xdr:row>380</xdr:row>
                    <xdr:rowOff>38100</xdr:rowOff>
                  </to>
                </anchor>
              </controlPr>
            </control>
          </mc:Choice>
        </mc:AlternateContent>
        <mc:AlternateContent xmlns:mc="http://schemas.openxmlformats.org/markup-compatibility/2006">
          <mc:Choice Requires="x14">
            <control shapeId="7876" r:id="rId311" name="Check Box 708">
              <controlPr defaultSize="0" autoFill="0" autoLine="0" autoPict="0">
                <anchor moveWithCells="1">
                  <from>
                    <xdr:col>9</xdr:col>
                    <xdr:colOff>171450</xdr:colOff>
                    <xdr:row>305</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77" r:id="rId312" name="Check Box 709">
              <controlPr defaultSize="0" autoFill="0" autoLine="0" autoPict="0">
                <anchor moveWithCells="1">
                  <from>
                    <xdr:col>9</xdr:col>
                    <xdr:colOff>161925</xdr:colOff>
                    <xdr:row>306</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878" r:id="rId313" name="Check Box 710">
              <controlPr defaultSize="0" autoFill="0" autoLine="0" autoPict="0">
                <anchor moveWithCells="1">
                  <from>
                    <xdr:col>9</xdr:col>
                    <xdr:colOff>171450</xdr:colOff>
                    <xdr:row>302</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79" r:id="rId314" name="Check Box 711">
              <controlPr defaultSize="0" autoFill="0" autoLine="0" autoPict="0">
                <anchor moveWithCells="1">
                  <from>
                    <xdr:col>9</xdr:col>
                    <xdr:colOff>171450</xdr:colOff>
                    <xdr:row>303</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80" r:id="rId315" name="Check Box 712">
              <controlPr defaultSize="0" autoFill="0" autoLine="0" autoPict="0">
                <anchor moveWithCells="1">
                  <from>
                    <xdr:col>9</xdr:col>
                    <xdr:colOff>180975</xdr:colOff>
                    <xdr:row>305</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81" r:id="rId316" name="Check Box 713">
              <controlPr defaultSize="0" autoFill="0" autoLine="0" autoPict="0">
                <anchor moveWithCells="1">
                  <from>
                    <xdr:col>9</xdr:col>
                    <xdr:colOff>171450</xdr:colOff>
                    <xdr:row>299</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82" r:id="rId317" name="Check Box 714">
              <controlPr defaultSize="0" autoFill="0" autoLine="0" autoPict="0">
                <anchor moveWithCells="1">
                  <from>
                    <xdr:col>9</xdr:col>
                    <xdr:colOff>171450</xdr:colOff>
                    <xdr:row>300</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83" r:id="rId318" name="Check Box 715">
              <controlPr defaultSize="0" autoFill="0" autoLine="0" autoPict="0">
                <anchor moveWithCells="1">
                  <from>
                    <xdr:col>9</xdr:col>
                    <xdr:colOff>171450</xdr:colOff>
                    <xdr:row>296</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84" r:id="rId319" name="Check Box 716">
              <controlPr defaultSize="0" autoFill="0" autoLine="0" autoPict="0">
                <anchor moveWithCells="1">
                  <from>
                    <xdr:col>9</xdr:col>
                    <xdr:colOff>161925</xdr:colOff>
                    <xdr:row>297</xdr:row>
                    <xdr:rowOff>190500</xdr:rowOff>
                  </from>
                  <to>
                    <xdr:col>9</xdr:col>
                    <xdr:colOff>457200</xdr:colOff>
                    <xdr:row>380</xdr:row>
                    <xdr:rowOff>38100</xdr:rowOff>
                  </to>
                </anchor>
              </controlPr>
            </control>
          </mc:Choice>
        </mc:AlternateContent>
        <mc:AlternateContent xmlns:mc="http://schemas.openxmlformats.org/markup-compatibility/2006">
          <mc:Choice Requires="x14">
            <control shapeId="7885" r:id="rId320" name="Check Box 717">
              <controlPr defaultSize="0" autoFill="0" autoLine="0" autoPict="0">
                <anchor moveWithCells="1">
                  <from>
                    <xdr:col>9</xdr:col>
                    <xdr:colOff>152400</xdr:colOff>
                    <xdr:row>298</xdr:row>
                    <xdr:rowOff>200025</xdr:rowOff>
                  </from>
                  <to>
                    <xdr:col>9</xdr:col>
                    <xdr:colOff>447675</xdr:colOff>
                    <xdr:row>380</xdr:row>
                    <xdr:rowOff>28575</xdr:rowOff>
                  </to>
                </anchor>
              </controlPr>
            </control>
          </mc:Choice>
        </mc:AlternateContent>
        <mc:AlternateContent xmlns:mc="http://schemas.openxmlformats.org/markup-compatibility/2006">
          <mc:Choice Requires="x14">
            <control shapeId="7886" r:id="rId321" name="Check Box 718">
              <controlPr defaultSize="0" autoFill="0" autoLine="0" autoPict="0">
                <anchor moveWithCells="1">
                  <from>
                    <xdr:col>9</xdr:col>
                    <xdr:colOff>171450</xdr:colOff>
                    <xdr:row>293</xdr:row>
                    <xdr:rowOff>200025</xdr:rowOff>
                  </from>
                  <to>
                    <xdr:col>9</xdr:col>
                    <xdr:colOff>466725</xdr:colOff>
                    <xdr:row>380</xdr:row>
                    <xdr:rowOff>28575</xdr:rowOff>
                  </to>
                </anchor>
              </controlPr>
            </control>
          </mc:Choice>
        </mc:AlternateContent>
        <mc:AlternateContent xmlns:mc="http://schemas.openxmlformats.org/markup-compatibility/2006">
          <mc:Choice Requires="x14">
            <control shapeId="7887" r:id="rId322" name="Check Box 719">
              <controlPr defaultSize="0" autoFill="0" autoLine="0" autoPict="0">
                <anchor moveWithCells="1">
                  <from>
                    <xdr:col>9</xdr:col>
                    <xdr:colOff>171450</xdr:colOff>
                    <xdr:row>294</xdr:row>
                    <xdr:rowOff>190500</xdr:rowOff>
                  </from>
                  <to>
                    <xdr:col>9</xdr:col>
                    <xdr:colOff>466725</xdr:colOff>
                    <xdr:row>380</xdr:row>
                    <xdr:rowOff>38100</xdr:rowOff>
                  </to>
                </anchor>
              </controlPr>
            </control>
          </mc:Choice>
        </mc:AlternateContent>
        <mc:AlternateContent xmlns:mc="http://schemas.openxmlformats.org/markup-compatibility/2006">
          <mc:Choice Requires="x14">
            <control shapeId="7888" r:id="rId323" name="Check Box 720">
              <controlPr defaultSize="0" autoFill="0" autoLine="0" autoPict="0">
                <anchor moveWithCells="1">
                  <from>
                    <xdr:col>9</xdr:col>
                    <xdr:colOff>180975</xdr:colOff>
                    <xdr:row>296</xdr:row>
                    <xdr:rowOff>9525</xdr:rowOff>
                  </from>
                  <to>
                    <xdr:col>10</xdr:col>
                    <xdr:colOff>0</xdr:colOff>
                    <xdr:row>380</xdr:row>
                    <xdr:rowOff>28575</xdr:rowOff>
                  </to>
                </anchor>
              </controlPr>
            </control>
          </mc:Choice>
        </mc:AlternateContent>
        <mc:AlternateContent xmlns:mc="http://schemas.openxmlformats.org/markup-compatibility/2006">
          <mc:Choice Requires="x14">
            <control shapeId="7889" r:id="rId324" name="Check Box 721">
              <controlPr defaultSize="0" autoFill="0" autoLine="0" autoPict="0">
                <anchor moveWithCells="1">
                  <from>
                    <xdr:col>9</xdr:col>
                    <xdr:colOff>171450</xdr:colOff>
                    <xdr:row>292</xdr:row>
                    <xdr:rowOff>200025</xdr:rowOff>
                  </from>
                  <to>
                    <xdr:col>9</xdr:col>
                    <xdr:colOff>466725</xdr:colOff>
                    <xdr:row>380</xdr:row>
                    <xdr:rowOff>38100</xdr:rowOff>
                  </to>
                </anchor>
              </controlPr>
            </control>
          </mc:Choice>
        </mc:AlternateContent>
        <mc:AlternateContent xmlns:mc="http://schemas.openxmlformats.org/markup-compatibility/2006">
          <mc:Choice Requires="x14">
            <control shapeId="7890" r:id="rId325" name="Check Box 722">
              <controlPr defaultSize="0" autoFill="0" autoLine="0" autoPict="0">
                <anchor moveWithCells="1">
                  <from>
                    <xdr:col>9</xdr:col>
                    <xdr:colOff>180975</xdr:colOff>
                    <xdr:row>302</xdr:row>
                    <xdr:rowOff>19050</xdr:rowOff>
                  </from>
                  <to>
                    <xdr:col>9</xdr:col>
                    <xdr:colOff>466725</xdr:colOff>
                    <xdr:row>380</xdr:row>
                    <xdr:rowOff>38100</xdr:rowOff>
                  </to>
                </anchor>
              </controlPr>
            </control>
          </mc:Choice>
        </mc:AlternateContent>
        <mc:AlternateContent xmlns:mc="http://schemas.openxmlformats.org/markup-compatibility/2006">
          <mc:Choice Requires="x14">
            <control shapeId="7891" r:id="rId326" name="Check Box 723">
              <controlPr defaultSize="0" autoFill="0" autoLine="0" autoPict="0">
                <anchor moveWithCells="1">
                  <from>
                    <xdr:col>9</xdr:col>
                    <xdr:colOff>133350</xdr:colOff>
                    <xdr:row>393</xdr:row>
                    <xdr:rowOff>171450</xdr:rowOff>
                  </from>
                  <to>
                    <xdr:col>9</xdr:col>
                    <xdr:colOff>428625</xdr:colOff>
                    <xdr:row>395</xdr:row>
                    <xdr:rowOff>0</xdr:rowOff>
                  </to>
                </anchor>
              </controlPr>
            </control>
          </mc:Choice>
        </mc:AlternateContent>
        <mc:AlternateContent xmlns:mc="http://schemas.openxmlformats.org/markup-compatibility/2006">
          <mc:Choice Requires="x14">
            <control shapeId="7892" r:id="rId327" name="Check Box 724">
              <controlPr defaultSize="0" autoFill="0" autoLine="0" autoPict="0">
                <anchor moveWithCells="1">
                  <from>
                    <xdr:col>9</xdr:col>
                    <xdr:colOff>133350</xdr:colOff>
                    <xdr:row>394</xdr:row>
                    <xdr:rowOff>161925</xdr:rowOff>
                  </from>
                  <to>
                    <xdr:col>9</xdr:col>
                    <xdr:colOff>428625</xdr:colOff>
                    <xdr:row>396</xdr:row>
                    <xdr:rowOff>0</xdr:rowOff>
                  </to>
                </anchor>
              </controlPr>
            </control>
          </mc:Choice>
        </mc:AlternateContent>
        <mc:AlternateContent xmlns:mc="http://schemas.openxmlformats.org/markup-compatibility/2006">
          <mc:Choice Requires="x14">
            <control shapeId="7893" r:id="rId328" name="Check Box 725">
              <controlPr defaultSize="0" autoFill="0" autoLine="0" autoPict="0">
                <anchor moveWithCells="1">
                  <from>
                    <xdr:col>9</xdr:col>
                    <xdr:colOff>133350</xdr:colOff>
                    <xdr:row>395</xdr:row>
                    <xdr:rowOff>180975</xdr:rowOff>
                  </from>
                  <to>
                    <xdr:col>9</xdr:col>
                    <xdr:colOff>428625</xdr:colOff>
                    <xdr:row>397</xdr:row>
                    <xdr:rowOff>9525</xdr:rowOff>
                  </to>
                </anchor>
              </controlPr>
            </control>
          </mc:Choice>
        </mc:AlternateContent>
        <mc:AlternateContent xmlns:mc="http://schemas.openxmlformats.org/markup-compatibility/2006">
          <mc:Choice Requires="x14">
            <control shapeId="7894" r:id="rId329" name="Check Box 726">
              <controlPr defaultSize="0" autoFill="0" autoLine="0" autoPict="0">
                <anchor moveWithCells="1">
                  <from>
                    <xdr:col>9</xdr:col>
                    <xdr:colOff>133350</xdr:colOff>
                    <xdr:row>396</xdr:row>
                    <xdr:rowOff>171450</xdr:rowOff>
                  </from>
                  <to>
                    <xdr:col>9</xdr:col>
                    <xdr:colOff>428625</xdr:colOff>
                    <xdr:row>398</xdr:row>
                    <xdr:rowOff>0</xdr:rowOff>
                  </to>
                </anchor>
              </controlPr>
            </control>
          </mc:Choice>
        </mc:AlternateContent>
        <mc:AlternateContent xmlns:mc="http://schemas.openxmlformats.org/markup-compatibility/2006">
          <mc:Choice Requires="x14">
            <control shapeId="7895" r:id="rId330" name="Check Box 727">
              <controlPr defaultSize="0" autoFill="0" autoLine="0" autoPict="0">
                <anchor moveWithCells="1">
                  <from>
                    <xdr:col>9</xdr:col>
                    <xdr:colOff>123825</xdr:colOff>
                    <xdr:row>397</xdr:row>
                    <xdr:rowOff>161925</xdr:rowOff>
                  </from>
                  <to>
                    <xdr:col>9</xdr:col>
                    <xdr:colOff>419100</xdr:colOff>
                    <xdr:row>399</xdr:row>
                    <xdr:rowOff>0</xdr:rowOff>
                  </to>
                </anchor>
              </controlPr>
            </control>
          </mc:Choice>
        </mc:AlternateContent>
        <mc:AlternateContent xmlns:mc="http://schemas.openxmlformats.org/markup-compatibility/2006">
          <mc:Choice Requires="x14">
            <control shapeId="7896" r:id="rId331" name="Check Box 728">
              <controlPr defaultSize="0" autoFill="0" autoLine="0" autoPict="0">
                <anchor moveWithCells="1">
                  <from>
                    <xdr:col>9</xdr:col>
                    <xdr:colOff>104775</xdr:colOff>
                    <xdr:row>398</xdr:row>
                    <xdr:rowOff>180975</xdr:rowOff>
                  </from>
                  <to>
                    <xdr:col>9</xdr:col>
                    <xdr:colOff>409575</xdr:colOff>
                    <xdr:row>400</xdr:row>
                    <xdr:rowOff>0</xdr:rowOff>
                  </to>
                </anchor>
              </controlPr>
            </control>
          </mc:Choice>
        </mc:AlternateContent>
        <mc:AlternateContent xmlns:mc="http://schemas.openxmlformats.org/markup-compatibility/2006">
          <mc:Choice Requires="x14">
            <control shapeId="7897" r:id="rId332" name="Check Box 729">
              <controlPr defaultSize="0" autoFill="0" autoLine="0" autoPict="0">
                <anchor moveWithCells="1">
                  <from>
                    <xdr:col>9</xdr:col>
                    <xdr:colOff>133350</xdr:colOff>
                    <xdr:row>387</xdr:row>
                    <xdr:rowOff>171450</xdr:rowOff>
                  </from>
                  <to>
                    <xdr:col>9</xdr:col>
                    <xdr:colOff>428625</xdr:colOff>
                    <xdr:row>389</xdr:row>
                    <xdr:rowOff>0</xdr:rowOff>
                  </to>
                </anchor>
              </controlPr>
            </control>
          </mc:Choice>
        </mc:AlternateContent>
        <mc:AlternateContent xmlns:mc="http://schemas.openxmlformats.org/markup-compatibility/2006">
          <mc:Choice Requires="x14">
            <control shapeId="7898" r:id="rId333" name="Check Box 730">
              <controlPr defaultSize="0" autoFill="0" autoLine="0" autoPict="0">
                <anchor moveWithCells="1">
                  <from>
                    <xdr:col>9</xdr:col>
                    <xdr:colOff>133350</xdr:colOff>
                    <xdr:row>388</xdr:row>
                    <xdr:rowOff>161925</xdr:rowOff>
                  </from>
                  <to>
                    <xdr:col>9</xdr:col>
                    <xdr:colOff>428625</xdr:colOff>
                    <xdr:row>390</xdr:row>
                    <xdr:rowOff>0</xdr:rowOff>
                  </to>
                </anchor>
              </controlPr>
            </control>
          </mc:Choice>
        </mc:AlternateContent>
        <mc:AlternateContent xmlns:mc="http://schemas.openxmlformats.org/markup-compatibility/2006">
          <mc:Choice Requires="x14">
            <control shapeId="7899" r:id="rId334" name="Check Box 731">
              <controlPr defaultSize="0" autoFill="0" autoLine="0" autoPict="0">
                <anchor moveWithCells="1">
                  <from>
                    <xdr:col>9</xdr:col>
                    <xdr:colOff>133350</xdr:colOff>
                    <xdr:row>389</xdr:row>
                    <xdr:rowOff>180975</xdr:rowOff>
                  </from>
                  <to>
                    <xdr:col>9</xdr:col>
                    <xdr:colOff>428625</xdr:colOff>
                    <xdr:row>391</xdr:row>
                    <xdr:rowOff>9525</xdr:rowOff>
                  </to>
                </anchor>
              </controlPr>
            </control>
          </mc:Choice>
        </mc:AlternateContent>
        <mc:AlternateContent xmlns:mc="http://schemas.openxmlformats.org/markup-compatibility/2006">
          <mc:Choice Requires="x14">
            <control shapeId="7900" r:id="rId335" name="Check Box 732">
              <controlPr defaultSize="0" autoFill="0" autoLine="0" autoPict="0">
                <anchor moveWithCells="1">
                  <from>
                    <xdr:col>9</xdr:col>
                    <xdr:colOff>133350</xdr:colOff>
                    <xdr:row>390</xdr:row>
                    <xdr:rowOff>171450</xdr:rowOff>
                  </from>
                  <to>
                    <xdr:col>9</xdr:col>
                    <xdr:colOff>428625</xdr:colOff>
                    <xdr:row>392</xdr:row>
                    <xdr:rowOff>0</xdr:rowOff>
                  </to>
                </anchor>
              </controlPr>
            </control>
          </mc:Choice>
        </mc:AlternateContent>
        <mc:AlternateContent xmlns:mc="http://schemas.openxmlformats.org/markup-compatibility/2006">
          <mc:Choice Requires="x14">
            <control shapeId="7901" r:id="rId336" name="Check Box 733">
              <controlPr defaultSize="0" autoFill="0" autoLine="0" autoPict="0">
                <anchor moveWithCells="1">
                  <from>
                    <xdr:col>9</xdr:col>
                    <xdr:colOff>123825</xdr:colOff>
                    <xdr:row>391</xdr:row>
                    <xdr:rowOff>161925</xdr:rowOff>
                  </from>
                  <to>
                    <xdr:col>9</xdr:col>
                    <xdr:colOff>419100</xdr:colOff>
                    <xdr:row>393</xdr:row>
                    <xdr:rowOff>0</xdr:rowOff>
                  </to>
                </anchor>
              </controlPr>
            </control>
          </mc:Choice>
        </mc:AlternateContent>
        <mc:AlternateContent xmlns:mc="http://schemas.openxmlformats.org/markup-compatibility/2006">
          <mc:Choice Requires="x14">
            <control shapeId="7902" r:id="rId337" name="Check Box 734">
              <controlPr defaultSize="0" autoFill="0" autoLine="0" autoPict="0">
                <anchor moveWithCells="1">
                  <from>
                    <xdr:col>9</xdr:col>
                    <xdr:colOff>104775</xdr:colOff>
                    <xdr:row>392</xdr:row>
                    <xdr:rowOff>180975</xdr:rowOff>
                  </from>
                  <to>
                    <xdr:col>9</xdr:col>
                    <xdr:colOff>409575</xdr:colOff>
                    <xdr:row>394</xdr:row>
                    <xdr:rowOff>0</xdr:rowOff>
                  </to>
                </anchor>
              </controlPr>
            </control>
          </mc:Choice>
        </mc:AlternateContent>
        <mc:AlternateContent xmlns:mc="http://schemas.openxmlformats.org/markup-compatibility/2006">
          <mc:Choice Requires="x14">
            <control shapeId="7905" r:id="rId338" name="Check Box 737">
              <controlPr defaultSize="0" autoFill="0" autoLine="0" autoPict="0">
                <anchor moveWithCells="1">
                  <from>
                    <xdr:col>9</xdr:col>
                    <xdr:colOff>133350</xdr:colOff>
                    <xdr:row>401</xdr:row>
                    <xdr:rowOff>171450</xdr:rowOff>
                  </from>
                  <to>
                    <xdr:col>9</xdr:col>
                    <xdr:colOff>428625</xdr:colOff>
                    <xdr:row>403</xdr:row>
                    <xdr:rowOff>0</xdr:rowOff>
                  </to>
                </anchor>
              </controlPr>
            </control>
          </mc:Choice>
        </mc:AlternateContent>
        <mc:AlternateContent xmlns:mc="http://schemas.openxmlformats.org/markup-compatibility/2006">
          <mc:Choice Requires="x14">
            <control shapeId="7906" r:id="rId339" name="Check Box 738">
              <controlPr defaultSize="0" autoFill="0" autoLine="0" autoPict="0">
                <anchor moveWithCells="1">
                  <from>
                    <xdr:col>9</xdr:col>
                    <xdr:colOff>133350</xdr:colOff>
                    <xdr:row>414</xdr:row>
                    <xdr:rowOff>171450</xdr:rowOff>
                  </from>
                  <to>
                    <xdr:col>9</xdr:col>
                    <xdr:colOff>428625</xdr:colOff>
                    <xdr:row>416</xdr:row>
                    <xdr:rowOff>0</xdr:rowOff>
                  </to>
                </anchor>
              </controlPr>
            </control>
          </mc:Choice>
        </mc:AlternateContent>
        <mc:AlternateContent xmlns:mc="http://schemas.openxmlformats.org/markup-compatibility/2006">
          <mc:Choice Requires="x14">
            <control shapeId="7907" r:id="rId340" name="Check Box 739">
              <controlPr defaultSize="0" autoFill="0" autoLine="0" autoPict="0">
                <anchor moveWithCells="1">
                  <from>
                    <xdr:col>9</xdr:col>
                    <xdr:colOff>133350</xdr:colOff>
                    <xdr:row>415</xdr:row>
                    <xdr:rowOff>161925</xdr:rowOff>
                  </from>
                  <to>
                    <xdr:col>9</xdr:col>
                    <xdr:colOff>428625</xdr:colOff>
                    <xdr:row>417</xdr:row>
                    <xdr:rowOff>0</xdr:rowOff>
                  </to>
                </anchor>
              </controlPr>
            </control>
          </mc:Choice>
        </mc:AlternateContent>
        <mc:AlternateContent xmlns:mc="http://schemas.openxmlformats.org/markup-compatibility/2006">
          <mc:Choice Requires="x14">
            <control shapeId="7908" r:id="rId341" name="Check Box 740">
              <controlPr defaultSize="0" autoFill="0" autoLine="0" autoPict="0">
                <anchor moveWithCells="1">
                  <from>
                    <xdr:col>9</xdr:col>
                    <xdr:colOff>133350</xdr:colOff>
                    <xdr:row>408</xdr:row>
                    <xdr:rowOff>171450</xdr:rowOff>
                  </from>
                  <to>
                    <xdr:col>9</xdr:col>
                    <xdr:colOff>428625</xdr:colOff>
                    <xdr:row>410</xdr:row>
                    <xdr:rowOff>0</xdr:rowOff>
                  </to>
                </anchor>
              </controlPr>
            </control>
          </mc:Choice>
        </mc:AlternateContent>
        <mc:AlternateContent xmlns:mc="http://schemas.openxmlformats.org/markup-compatibility/2006">
          <mc:Choice Requires="x14">
            <control shapeId="7909" r:id="rId342" name="Check Box 741">
              <controlPr defaultSize="0" autoFill="0" autoLine="0" autoPict="0">
                <anchor moveWithCells="1">
                  <from>
                    <xdr:col>9</xdr:col>
                    <xdr:colOff>133350</xdr:colOff>
                    <xdr:row>409</xdr:row>
                    <xdr:rowOff>161925</xdr:rowOff>
                  </from>
                  <to>
                    <xdr:col>9</xdr:col>
                    <xdr:colOff>428625</xdr:colOff>
                    <xdr:row>411</xdr:row>
                    <xdr:rowOff>0</xdr:rowOff>
                  </to>
                </anchor>
              </controlPr>
            </control>
          </mc:Choice>
        </mc:AlternateContent>
        <mc:AlternateContent xmlns:mc="http://schemas.openxmlformats.org/markup-compatibility/2006">
          <mc:Choice Requires="x14">
            <control shapeId="7910" r:id="rId343" name="Check Box 742">
              <controlPr defaultSize="0" autoFill="0" autoLine="0" autoPict="0">
                <anchor moveWithCells="1">
                  <from>
                    <xdr:col>9</xdr:col>
                    <xdr:colOff>133350</xdr:colOff>
                    <xdr:row>410</xdr:row>
                    <xdr:rowOff>180975</xdr:rowOff>
                  </from>
                  <to>
                    <xdr:col>9</xdr:col>
                    <xdr:colOff>428625</xdr:colOff>
                    <xdr:row>412</xdr:row>
                    <xdr:rowOff>9525</xdr:rowOff>
                  </to>
                </anchor>
              </controlPr>
            </control>
          </mc:Choice>
        </mc:AlternateContent>
        <mc:AlternateContent xmlns:mc="http://schemas.openxmlformats.org/markup-compatibility/2006">
          <mc:Choice Requires="x14">
            <control shapeId="7911" r:id="rId344" name="Check Box 743">
              <controlPr defaultSize="0" autoFill="0" autoLine="0" autoPict="0">
                <anchor moveWithCells="1">
                  <from>
                    <xdr:col>9</xdr:col>
                    <xdr:colOff>133350</xdr:colOff>
                    <xdr:row>411</xdr:row>
                    <xdr:rowOff>171450</xdr:rowOff>
                  </from>
                  <to>
                    <xdr:col>9</xdr:col>
                    <xdr:colOff>428625</xdr:colOff>
                    <xdr:row>413</xdr:row>
                    <xdr:rowOff>0</xdr:rowOff>
                  </to>
                </anchor>
              </controlPr>
            </control>
          </mc:Choice>
        </mc:AlternateContent>
        <mc:AlternateContent xmlns:mc="http://schemas.openxmlformats.org/markup-compatibility/2006">
          <mc:Choice Requires="x14">
            <control shapeId="7912" r:id="rId345" name="Check Box 744">
              <controlPr defaultSize="0" autoFill="0" autoLine="0" autoPict="0">
                <anchor moveWithCells="1">
                  <from>
                    <xdr:col>9</xdr:col>
                    <xdr:colOff>123825</xdr:colOff>
                    <xdr:row>412</xdr:row>
                    <xdr:rowOff>161925</xdr:rowOff>
                  </from>
                  <to>
                    <xdr:col>9</xdr:col>
                    <xdr:colOff>419100</xdr:colOff>
                    <xdr:row>414</xdr:row>
                    <xdr:rowOff>0</xdr:rowOff>
                  </to>
                </anchor>
              </controlPr>
            </control>
          </mc:Choice>
        </mc:AlternateContent>
        <mc:AlternateContent xmlns:mc="http://schemas.openxmlformats.org/markup-compatibility/2006">
          <mc:Choice Requires="x14">
            <control shapeId="7913" r:id="rId346" name="Check Box 745">
              <controlPr defaultSize="0" autoFill="0" autoLine="0" autoPict="0">
                <anchor moveWithCells="1">
                  <from>
                    <xdr:col>9</xdr:col>
                    <xdr:colOff>104775</xdr:colOff>
                    <xdr:row>413</xdr:row>
                    <xdr:rowOff>180975</xdr:rowOff>
                  </from>
                  <to>
                    <xdr:col>9</xdr:col>
                    <xdr:colOff>409575</xdr:colOff>
                    <xdr:row>415</xdr:row>
                    <xdr:rowOff>0</xdr:rowOff>
                  </to>
                </anchor>
              </controlPr>
            </control>
          </mc:Choice>
        </mc:AlternateContent>
        <mc:AlternateContent xmlns:mc="http://schemas.openxmlformats.org/markup-compatibility/2006">
          <mc:Choice Requires="x14">
            <control shapeId="7914" r:id="rId347" name="Check Box 746">
              <controlPr defaultSize="0" autoFill="0" autoLine="0" autoPict="0">
                <anchor moveWithCells="1">
                  <from>
                    <xdr:col>9</xdr:col>
                    <xdr:colOff>133350</xdr:colOff>
                    <xdr:row>402</xdr:row>
                    <xdr:rowOff>171450</xdr:rowOff>
                  </from>
                  <to>
                    <xdr:col>9</xdr:col>
                    <xdr:colOff>428625</xdr:colOff>
                    <xdr:row>404</xdr:row>
                    <xdr:rowOff>0</xdr:rowOff>
                  </to>
                </anchor>
              </controlPr>
            </control>
          </mc:Choice>
        </mc:AlternateContent>
        <mc:AlternateContent xmlns:mc="http://schemas.openxmlformats.org/markup-compatibility/2006">
          <mc:Choice Requires="x14">
            <control shapeId="7915" r:id="rId348" name="Check Box 747">
              <controlPr defaultSize="0" autoFill="0" autoLine="0" autoPict="0">
                <anchor moveWithCells="1">
                  <from>
                    <xdr:col>9</xdr:col>
                    <xdr:colOff>133350</xdr:colOff>
                    <xdr:row>403</xdr:row>
                    <xdr:rowOff>161925</xdr:rowOff>
                  </from>
                  <to>
                    <xdr:col>9</xdr:col>
                    <xdr:colOff>428625</xdr:colOff>
                    <xdr:row>405</xdr:row>
                    <xdr:rowOff>0</xdr:rowOff>
                  </to>
                </anchor>
              </controlPr>
            </control>
          </mc:Choice>
        </mc:AlternateContent>
        <mc:AlternateContent xmlns:mc="http://schemas.openxmlformats.org/markup-compatibility/2006">
          <mc:Choice Requires="x14">
            <control shapeId="7916" r:id="rId349" name="Check Box 748">
              <controlPr defaultSize="0" autoFill="0" autoLine="0" autoPict="0">
                <anchor moveWithCells="1">
                  <from>
                    <xdr:col>9</xdr:col>
                    <xdr:colOff>133350</xdr:colOff>
                    <xdr:row>404</xdr:row>
                    <xdr:rowOff>180975</xdr:rowOff>
                  </from>
                  <to>
                    <xdr:col>9</xdr:col>
                    <xdr:colOff>428625</xdr:colOff>
                    <xdr:row>406</xdr:row>
                    <xdr:rowOff>9525</xdr:rowOff>
                  </to>
                </anchor>
              </controlPr>
            </control>
          </mc:Choice>
        </mc:AlternateContent>
        <mc:AlternateContent xmlns:mc="http://schemas.openxmlformats.org/markup-compatibility/2006">
          <mc:Choice Requires="x14">
            <control shapeId="7917" r:id="rId350" name="Check Box 749">
              <controlPr defaultSize="0" autoFill="0" autoLine="0" autoPict="0">
                <anchor moveWithCells="1">
                  <from>
                    <xdr:col>9</xdr:col>
                    <xdr:colOff>133350</xdr:colOff>
                    <xdr:row>405</xdr:row>
                    <xdr:rowOff>171450</xdr:rowOff>
                  </from>
                  <to>
                    <xdr:col>9</xdr:col>
                    <xdr:colOff>428625</xdr:colOff>
                    <xdr:row>407</xdr:row>
                    <xdr:rowOff>0</xdr:rowOff>
                  </to>
                </anchor>
              </controlPr>
            </control>
          </mc:Choice>
        </mc:AlternateContent>
        <mc:AlternateContent xmlns:mc="http://schemas.openxmlformats.org/markup-compatibility/2006">
          <mc:Choice Requires="x14">
            <control shapeId="7918" r:id="rId351" name="Check Box 750">
              <controlPr defaultSize="0" autoFill="0" autoLine="0" autoPict="0">
                <anchor moveWithCells="1">
                  <from>
                    <xdr:col>9</xdr:col>
                    <xdr:colOff>123825</xdr:colOff>
                    <xdr:row>406</xdr:row>
                    <xdr:rowOff>161925</xdr:rowOff>
                  </from>
                  <to>
                    <xdr:col>9</xdr:col>
                    <xdr:colOff>419100</xdr:colOff>
                    <xdr:row>408</xdr:row>
                    <xdr:rowOff>0</xdr:rowOff>
                  </to>
                </anchor>
              </controlPr>
            </control>
          </mc:Choice>
        </mc:AlternateContent>
        <mc:AlternateContent xmlns:mc="http://schemas.openxmlformats.org/markup-compatibility/2006">
          <mc:Choice Requires="x14">
            <control shapeId="7919" r:id="rId352" name="Check Box 751">
              <controlPr defaultSize="0" autoFill="0" autoLine="0" autoPict="0">
                <anchor moveWithCells="1">
                  <from>
                    <xdr:col>9</xdr:col>
                    <xdr:colOff>104775</xdr:colOff>
                    <xdr:row>407</xdr:row>
                    <xdr:rowOff>180975</xdr:rowOff>
                  </from>
                  <to>
                    <xdr:col>9</xdr:col>
                    <xdr:colOff>409575</xdr:colOff>
                    <xdr:row>409</xdr:row>
                    <xdr:rowOff>0</xdr:rowOff>
                  </to>
                </anchor>
              </controlPr>
            </control>
          </mc:Choice>
        </mc:AlternateContent>
        <mc:AlternateContent xmlns:mc="http://schemas.openxmlformats.org/markup-compatibility/2006">
          <mc:Choice Requires="x14">
            <control shapeId="7920" r:id="rId353" name="Check Box 752">
              <controlPr defaultSize="0" autoFill="0" autoLine="0" autoPict="0">
                <anchor moveWithCells="1">
                  <from>
                    <xdr:col>9</xdr:col>
                    <xdr:colOff>133350</xdr:colOff>
                    <xdr:row>416</xdr:row>
                    <xdr:rowOff>171450</xdr:rowOff>
                  </from>
                  <to>
                    <xdr:col>9</xdr:col>
                    <xdr:colOff>428625</xdr:colOff>
                    <xdr:row>418</xdr:row>
                    <xdr:rowOff>0</xdr:rowOff>
                  </to>
                </anchor>
              </controlPr>
            </control>
          </mc:Choice>
        </mc:AlternateContent>
        <mc:AlternateContent xmlns:mc="http://schemas.openxmlformats.org/markup-compatibility/2006">
          <mc:Choice Requires="x14">
            <control shapeId="7921" r:id="rId354" name="Check Box 753">
              <controlPr defaultSize="0" autoFill="0" autoLine="0" autoPict="0">
                <anchor moveWithCells="1">
                  <from>
                    <xdr:col>9</xdr:col>
                    <xdr:colOff>133350</xdr:colOff>
                    <xdr:row>429</xdr:row>
                    <xdr:rowOff>171450</xdr:rowOff>
                  </from>
                  <to>
                    <xdr:col>9</xdr:col>
                    <xdr:colOff>428625</xdr:colOff>
                    <xdr:row>431</xdr:row>
                    <xdr:rowOff>0</xdr:rowOff>
                  </to>
                </anchor>
              </controlPr>
            </control>
          </mc:Choice>
        </mc:AlternateContent>
        <mc:AlternateContent xmlns:mc="http://schemas.openxmlformats.org/markup-compatibility/2006">
          <mc:Choice Requires="x14">
            <control shapeId="7922" r:id="rId355" name="Check Box 754">
              <controlPr defaultSize="0" autoFill="0" autoLine="0" autoPict="0">
                <anchor moveWithCells="1">
                  <from>
                    <xdr:col>9</xdr:col>
                    <xdr:colOff>133350</xdr:colOff>
                    <xdr:row>430</xdr:row>
                    <xdr:rowOff>161925</xdr:rowOff>
                  </from>
                  <to>
                    <xdr:col>9</xdr:col>
                    <xdr:colOff>428625</xdr:colOff>
                    <xdr:row>432</xdr:row>
                    <xdr:rowOff>0</xdr:rowOff>
                  </to>
                </anchor>
              </controlPr>
            </control>
          </mc:Choice>
        </mc:AlternateContent>
        <mc:AlternateContent xmlns:mc="http://schemas.openxmlformats.org/markup-compatibility/2006">
          <mc:Choice Requires="x14">
            <control shapeId="7923" r:id="rId356" name="Check Box 755">
              <controlPr defaultSize="0" autoFill="0" autoLine="0" autoPict="0">
                <anchor moveWithCells="1">
                  <from>
                    <xdr:col>9</xdr:col>
                    <xdr:colOff>133350</xdr:colOff>
                    <xdr:row>431</xdr:row>
                    <xdr:rowOff>180975</xdr:rowOff>
                  </from>
                  <to>
                    <xdr:col>9</xdr:col>
                    <xdr:colOff>428625</xdr:colOff>
                    <xdr:row>433</xdr:row>
                    <xdr:rowOff>9525</xdr:rowOff>
                  </to>
                </anchor>
              </controlPr>
            </control>
          </mc:Choice>
        </mc:AlternateContent>
        <mc:AlternateContent xmlns:mc="http://schemas.openxmlformats.org/markup-compatibility/2006">
          <mc:Choice Requires="x14">
            <control shapeId="7924" r:id="rId357" name="Check Box 756">
              <controlPr defaultSize="0" autoFill="0" autoLine="0" autoPict="0">
                <anchor moveWithCells="1">
                  <from>
                    <xdr:col>9</xdr:col>
                    <xdr:colOff>133350</xdr:colOff>
                    <xdr:row>423</xdr:row>
                    <xdr:rowOff>171450</xdr:rowOff>
                  </from>
                  <to>
                    <xdr:col>9</xdr:col>
                    <xdr:colOff>428625</xdr:colOff>
                    <xdr:row>425</xdr:row>
                    <xdr:rowOff>0</xdr:rowOff>
                  </to>
                </anchor>
              </controlPr>
            </control>
          </mc:Choice>
        </mc:AlternateContent>
        <mc:AlternateContent xmlns:mc="http://schemas.openxmlformats.org/markup-compatibility/2006">
          <mc:Choice Requires="x14">
            <control shapeId="7925" r:id="rId358" name="Check Box 757">
              <controlPr defaultSize="0" autoFill="0" autoLine="0" autoPict="0">
                <anchor moveWithCells="1">
                  <from>
                    <xdr:col>9</xdr:col>
                    <xdr:colOff>133350</xdr:colOff>
                    <xdr:row>424</xdr:row>
                    <xdr:rowOff>161925</xdr:rowOff>
                  </from>
                  <to>
                    <xdr:col>9</xdr:col>
                    <xdr:colOff>428625</xdr:colOff>
                    <xdr:row>426</xdr:row>
                    <xdr:rowOff>0</xdr:rowOff>
                  </to>
                </anchor>
              </controlPr>
            </control>
          </mc:Choice>
        </mc:AlternateContent>
        <mc:AlternateContent xmlns:mc="http://schemas.openxmlformats.org/markup-compatibility/2006">
          <mc:Choice Requires="x14">
            <control shapeId="7926" r:id="rId359" name="Check Box 758">
              <controlPr defaultSize="0" autoFill="0" autoLine="0" autoPict="0">
                <anchor moveWithCells="1">
                  <from>
                    <xdr:col>9</xdr:col>
                    <xdr:colOff>133350</xdr:colOff>
                    <xdr:row>425</xdr:row>
                    <xdr:rowOff>180975</xdr:rowOff>
                  </from>
                  <to>
                    <xdr:col>9</xdr:col>
                    <xdr:colOff>428625</xdr:colOff>
                    <xdr:row>427</xdr:row>
                    <xdr:rowOff>9525</xdr:rowOff>
                  </to>
                </anchor>
              </controlPr>
            </control>
          </mc:Choice>
        </mc:AlternateContent>
        <mc:AlternateContent xmlns:mc="http://schemas.openxmlformats.org/markup-compatibility/2006">
          <mc:Choice Requires="x14">
            <control shapeId="7927" r:id="rId360" name="Check Box 759">
              <controlPr defaultSize="0" autoFill="0" autoLine="0" autoPict="0">
                <anchor moveWithCells="1">
                  <from>
                    <xdr:col>9</xdr:col>
                    <xdr:colOff>133350</xdr:colOff>
                    <xdr:row>426</xdr:row>
                    <xdr:rowOff>171450</xdr:rowOff>
                  </from>
                  <to>
                    <xdr:col>9</xdr:col>
                    <xdr:colOff>428625</xdr:colOff>
                    <xdr:row>428</xdr:row>
                    <xdr:rowOff>0</xdr:rowOff>
                  </to>
                </anchor>
              </controlPr>
            </control>
          </mc:Choice>
        </mc:AlternateContent>
        <mc:AlternateContent xmlns:mc="http://schemas.openxmlformats.org/markup-compatibility/2006">
          <mc:Choice Requires="x14">
            <control shapeId="7928" r:id="rId361" name="Check Box 760">
              <controlPr defaultSize="0" autoFill="0" autoLine="0" autoPict="0">
                <anchor moveWithCells="1">
                  <from>
                    <xdr:col>9</xdr:col>
                    <xdr:colOff>123825</xdr:colOff>
                    <xdr:row>427</xdr:row>
                    <xdr:rowOff>161925</xdr:rowOff>
                  </from>
                  <to>
                    <xdr:col>9</xdr:col>
                    <xdr:colOff>419100</xdr:colOff>
                    <xdr:row>429</xdr:row>
                    <xdr:rowOff>0</xdr:rowOff>
                  </to>
                </anchor>
              </controlPr>
            </control>
          </mc:Choice>
        </mc:AlternateContent>
        <mc:AlternateContent xmlns:mc="http://schemas.openxmlformats.org/markup-compatibility/2006">
          <mc:Choice Requires="x14">
            <control shapeId="7929" r:id="rId362" name="Check Box 761">
              <controlPr defaultSize="0" autoFill="0" autoLine="0" autoPict="0">
                <anchor moveWithCells="1">
                  <from>
                    <xdr:col>9</xdr:col>
                    <xdr:colOff>104775</xdr:colOff>
                    <xdr:row>428</xdr:row>
                    <xdr:rowOff>180975</xdr:rowOff>
                  </from>
                  <to>
                    <xdr:col>9</xdr:col>
                    <xdr:colOff>409575</xdr:colOff>
                    <xdr:row>430</xdr:row>
                    <xdr:rowOff>0</xdr:rowOff>
                  </to>
                </anchor>
              </controlPr>
            </control>
          </mc:Choice>
        </mc:AlternateContent>
        <mc:AlternateContent xmlns:mc="http://schemas.openxmlformats.org/markup-compatibility/2006">
          <mc:Choice Requires="x14">
            <control shapeId="7930" r:id="rId363" name="Check Box 762">
              <controlPr defaultSize="0" autoFill="0" autoLine="0" autoPict="0">
                <anchor moveWithCells="1">
                  <from>
                    <xdr:col>9</xdr:col>
                    <xdr:colOff>133350</xdr:colOff>
                    <xdr:row>417</xdr:row>
                    <xdr:rowOff>171450</xdr:rowOff>
                  </from>
                  <to>
                    <xdr:col>9</xdr:col>
                    <xdr:colOff>428625</xdr:colOff>
                    <xdr:row>419</xdr:row>
                    <xdr:rowOff>0</xdr:rowOff>
                  </to>
                </anchor>
              </controlPr>
            </control>
          </mc:Choice>
        </mc:AlternateContent>
        <mc:AlternateContent xmlns:mc="http://schemas.openxmlformats.org/markup-compatibility/2006">
          <mc:Choice Requires="x14">
            <control shapeId="7931" r:id="rId364" name="Check Box 763">
              <controlPr defaultSize="0" autoFill="0" autoLine="0" autoPict="0">
                <anchor moveWithCells="1">
                  <from>
                    <xdr:col>9</xdr:col>
                    <xdr:colOff>133350</xdr:colOff>
                    <xdr:row>418</xdr:row>
                    <xdr:rowOff>161925</xdr:rowOff>
                  </from>
                  <to>
                    <xdr:col>9</xdr:col>
                    <xdr:colOff>428625</xdr:colOff>
                    <xdr:row>420</xdr:row>
                    <xdr:rowOff>0</xdr:rowOff>
                  </to>
                </anchor>
              </controlPr>
            </control>
          </mc:Choice>
        </mc:AlternateContent>
        <mc:AlternateContent xmlns:mc="http://schemas.openxmlformats.org/markup-compatibility/2006">
          <mc:Choice Requires="x14">
            <control shapeId="7932" r:id="rId365" name="Check Box 764">
              <controlPr defaultSize="0" autoFill="0" autoLine="0" autoPict="0">
                <anchor moveWithCells="1">
                  <from>
                    <xdr:col>9</xdr:col>
                    <xdr:colOff>133350</xdr:colOff>
                    <xdr:row>419</xdr:row>
                    <xdr:rowOff>180975</xdr:rowOff>
                  </from>
                  <to>
                    <xdr:col>9</xdr:col>
                    <xdr:colOff>428625</xdr:colOff>
                    <xdr:row>421</xdr:row>
                    <xdr:rowOff>9525</xdr:rowOff>
                  </to>
                </anchor>
              </controlPr>
            </control>
          </mc:Choice>
        </mc:AlternateContent>
        <mc:AlternateContent xmlns:mc="http://schemas.openxmlformats.org/markup-compatibility/2006">
          <mc:Choice Requires="x14">
            <control shapeId="7933" r:id="rId366" name="Check Box 765">
              <controlPr defaultSize="0" autoFill="0" autoLine="0" autoPict="0">
                <anchor moveWithCells="1">
                  <from>
                    <xdr:col>9</xdr:col>
                    <xdr:colOff>133350</xdr:colOff>
                    <xdr:row>420</xdr:row>
                    <xdr:rowOff>171450</xdr:rowOff>
                  </from>
                  <to>
                    <xdr:col>9</xdr:col>
                    <xdr:colOff>428625</xdr:colOff>
                    <xdr:row>422</xdr:row>
                    <xdr:rowOff>0</xdr:rowOff>
                  </to>
                </anchor>
              </controlPr>
            </control>
          </mc:Choice>
        </mc:AlternateContent>
        <mc:AlternateContent xmlns:mc="http://schemas.openxmlformats.org/markup-compatibility/2006">
          <mc:Choice Requires="x14">
            <control shapeId="7934" r:id="rId367" name="Check Box 766">
              <controlPr defaultSize="0" autoFill="0" autoLine="0" autoPict="0">
                <anchor moveWithCells="1">
                  <from>
                    <xdr:col>9</xdr:col>
                    <xdr:colOff>123825</xdr:colOff>
                    <xdr:row>421</xdr:row>
                    <xdr:rowOff>161925</xdr:rowOff>
                  </from>
                  <to>
                    <xdr:col>9</xdr:col>
                    <xdr:colOff>419100</xdr:colOff>
                    <xdr:row>423</xdr:row>
                    <xdr:rowOff>0</xdr:rowOff>
                  </to>
                </anchor>
              </controlPr>
            </control>
          </mc:Choice>
        </mc:AlternateContent>
        <mc:AlternateContent xmlns:mc="http://schemas.openxmlformats.org/markup-compatibility/2006">
          <mc:Choice Requires="x14">
            <control shapeId="7935" r:id="rId368" name="Check Box 767">
              <controlPr defaultSize="0" autoFill="0" autoLine="0" autoPict="0">
                <anchor moveWithCells="1">
                  <from>
                    <xdr:col>9</xdr:col>
                    <xdr:colOff>104775</xdr:colOff>
                    <xdr:row>422</xdr:row>
                    <xdr:rowOff>180975</xdr:rowOff>
                  </from>
                  <to>
                    <xdr:col>9</xdr:col>
                    <xdr:colOff>409575</xdr:colOff>
                    <xdr:row>424</xdr:row>
                    <xdr:rowOff>0</xdr:rowOff>
                  </to>
                </anchor>
              </controlPr>
            </control>
          </mc:Choice>
        </mc:AlternateContent>
        <mc:AlternateContent xmlns:mc="http://schemas.openxmlformats.org/markup-compatibility/2006">
          <mc:Choice Requires="x14">
            <control shapeId="7936" r:id="rId369" name="Check Box 768">
              <controlPr defaultSize="0" autoFill="0" autoLine="0" autoPict="0">
                <anchor moveWithCells="1">
                  <from>
                    <xdr:col>9</xdr:col>
                    <xdr:colOff>133350</xdr:colOff>
                    <xdr:row>431</xdr:row>
                    <xdr:rowOff>171450</xdr:rowOff>
                  </from>
                  <to>
                    <xdr:col>9</xdr:col>
                    <xdr:colOff>428625</xdr:colOff>
                    <xdr:row>433</xdr:row>
                    <xdr:rowOff>0</xdr:rowOff>
                  </to>
                </anchor>
              </controlPr>
            </control>
          </mc:Choice>
        </mc:AlternateContent>
        <mc:AlternateContent xmlns:mc="http://schemas.openxmlformats.org/markup-compatibility/2006">
          <mc:Choice Requires="x14">
            <control shapeId="7937" r:id="rId370" name="Check Box 769">
              <controlPr defaultSize="0" autoFill="0" autoLine="0" autoPict="0">
                <anchor moveWithCells="1">
                  <from>
                    <xdr:col>9</xdr:col>
                    <xdr:colOff>133350</xdr:colOff>
                    <xdr:row>444</xdr:row>
                    <xdr:rowOff>171450</xdr:rowOff>
                  </from>
                  <to>
                    <xdr:col>9</xdr:col>
                    <xdr:colOff>428625</xdr:colOff>
                    <xdr:row>446</xdr:row>
                    <xdr:rowOff>0</xdr:rowOff>
                  </to>
                </anchor>
              </controlPr>
            </control>
          </mc:Choice>
        </mc:AlternateContent>
        <mc:AlternateContent xmlns:mc="http://schemas.openxmlformats.org/markup-compatibility/2006">
          <mc:Choice Requires="x14">
            <control shapeId="7938" r:id="rId371" name="Check Box 770">
              <controlPr defaultSize="0" autoFill="0" autoLine="0" autoPict="0">
                <anchor moveWithCells="1">
                  <from>
                    <xdr:col>9</xdr:col>
                    <xdr:colOff>133350</xdr:colOff>
                    <xdr:row>445</xdr:row>
                    <xdr:rowOff>161925</xdr:rowOff>
                  </from>
                  <to>
                    <xdr:col>9</xdr:col>
                    <xdr:colOff>428625</xdr:colOff>
                    <xdr:row>447</xdr:row>
                    <xdr:rowOff>0</xdr:rowOff>
                  </to>
                </anchor>
              </controlPr>
            </control>
          </mc:Choice>
        </mc:AlternateContent>
        <mc:AlternateContent xmlns:mc="http://schemas.openxmlformats.org/markup-compatibility/2006">
          <mc:Choice Requires="x14">
            <control shapeId="7939" r:id="rId372" name="Check Box 771">
              <controlPr defaultSize="0" autoFill="0" autoLine="0" autoPict="0">
                <anchor moveWithCells="1">
                  <from>
                    <xdr:col>9</xdr:col>
                    <xdr:colOff>133350</xdr:colOff>
                    <xdr:row>438</xdr:row>
                    <xdr:rowOff>171450</xdr:rowOff>
                  </from>
                  <to>
                    <xdr:col>9</xdr:col>
                    <xdr:colOff>428625</xdr:colOff>
                    <xdr:row>440</xdr:row>
                    <xdr:rowOff>0</xdr:rowOff>
                  </to>
                </anchor>
              </controlPr>
            </control>
          </mc:Choice>
        </mc:AlternateContent>
        <mc:AlternateContent xmlns:mc="http://schemas.openxmlformats.org/markup-compatibility/2006">
          <mc:Choice Requires="x14">
            <control shapeId="7940" r:id="rId373" name="Check Box 772">
              <controlPr defaultSize="0" autoFill="0" autoLine="0" autoPict="0">
                <anchor moveWithCells="1">
                  <from>
                    <xdr:col>9</xdr:col>
                    <xdr:colOff>133350</xdr:colOff>
                    <xdr:row>439</xdr:row>
                    <xdr:rowOff>161925</xdr:rowOff>
                  </from>
                  <to>
                    <xdr:col>9</xdr:col>
                    <xdr:colOff>428625</xdr:colOff>
                    <xdr:row>441</xdr:row>
                    <xdr:rowOff>0</xdr:rowOff>
                  </to>
                </anchor>
              </controlPr>
            </control>
          </mc:Choice>
        </mc:AlternateContent>
        <mc:AlternateContent xmlns:mc="http://schemas.openxmlformats.org/markup-compatibility/2006">
          <mc:Choice Requires="x14">
            <control shapeId="7941" r:id="rId374" name="Check Box 773">
              <controlPr defaultSize="0" autoFill="0" autoLine="0" autoPict="0">
                <anchor moveWithCells="1">
                  <from>
                    <xdr:col>9</xdr:col>
                    <xdr:colOff>133350</xdr:colOff>
                    <xdr:row>440</xdr:row>
                    <xdr:rowOff>180975</xdr:rowOff>
                  </from>
                  <to>
                    <xdr:col>9</xdr:col>
                    <xdr:colOff>428625</xdr:colOff>
                    <xdr:row>442</xdr:row>
                    <xdr:rowOff>9525</xdr:rowOff>
                  </to>
                </anchor>
              </controlPr>
            </control>
          </mc:Choice>
        </mc:AlternateContent>
        <mc:AlternateContent xmlns:mc="http://schemas.openxmlformats.org/markup-compatibility/2006">
          <mc:Choice Requires="x14">
            <control shapeId="7942" r:id="rId375" name="Check Box 774">
              <controlPr defaultSize="0" autoFill="0" autoLine="0" autoPict="0">
                <anchor moveWithCells="1">
                  <from>
                    <xdr:col>9</xdr:col>
                    <xdr:colOff>133350</xdr:colOff>
                    <xdr:row>441</xdr:row>
                    <xdr:rowOff>171450</xdr:rowOff>
                  </from>
                  <to>
                    <xdr:col>9</xdr:col>
                    <xdr:colOff>428625</xdr:colOff>
                    <xdr:row>443</xdr:row>
                    <xdr:rowOff>0</xdr:rowOff>
                  </to>
                </anchor>
              </controlPr>
            </control>
          </mc:Choice>
        </mc:AlternateContent>
        <mc:AlternateContent xmlns:mc="http://schemas.openxmlformats.org/markup-compatibility/2006">
          <mc:Choice Requires="x14">
            <control shapeId="7943" r:id="rId376" name="Check Box 775">
              <controlPr defaultSize="0" autoFill="0" autoLine="0" autoPict="0">
                <anchor moveWithCells="1">
                  <from>
                    <xdr:col>9</xdr:col>
                    <xdr:colOff>123825</xdr:colOff>
                    <xdr:row>442</xdr:row>
                    <xdr:rowOff>161925</xdr:rowOff>
                  </from>
                  <to>
                    <xdr:col>9</xdr:col>
                    <xdr:colOff>419100</xdr:colOff>
                    <xdr:row>444</xdr:row>
                    <xdr:rowOff>0</xdr:rowOff>
                  </to>
                </anchor>
              </controlPr>
            </control>
          </mc:Choice>
        </mc:AlternateContent>
        <mc:AlternateContent xmlns:mc="http://schemas.openxmlformats.org/markup-compatibility/2006">
          <mc:Choice Requires="x14">
            <control shapeId="7944" r:id="rId377" name="Check Box 776">
              <controlPr defaultSize="0" autoFill="0" autoLine="0" autoPict="0">
                <anchor moveWithCells="1">
                  <from>
                    <xdr:col>9</xdr:col>
                    <xdr:colOff>104775</xdr:colOff>
                    <xdr:row>443</xdr:row>
                    <xdr:rowOff>180975</xdr:rowOff>
                  </from>
                  <to>
                    <xdr:col>9</xdr:col>
                    <xdr:colOff>409575</xdr:colOff>
                    <xdr:row>445</xdr:row>
                    <xdr:rowOff>0</xdr:rowOff>
                  </to>
                </anchor>
              </controlPr>
            </control>
          </mc:Choice>
        </mc:AlternateContent>
        <mc:AlternateContent xmlns:mc="http://schemas.openxmlformats.org/markup-compatibility/2006">
          <mc:Choice Requires="x14">
            <control shapeId="7945" r:id="rId378" name="Check Box 777">
              <controlPr defaultSize="0" autoFill="0" autoLine="0" autoPict="0">
                <anchor moveWithCells="1">
                  <from>
                    <xdr:col>9</xdr:col>
                    <xdr:colOff>133350</xdr:colOff>
                    <xdr:row>432</xdr:row>
                    <xdr:rowOff>171450</xdr:rowOff>
                  </from>
                  <to>
                    <xdr:col>9</xdr:col>
                    <xdr:colOff>428625</xdr:colOff>
                    <xdr:row>434</xdr:row>
                    <xdr:rowOff>0</xdr:rowOff>
                  </to>
                </anchor>
              </controlPr>
            </control>
          </mc:Choice>
        </mc:AlternateContent>
        <mc:AlternateContent xmlns:mc="http://schemas.openxmlformats.org/markup-compatibility/2006">
          <mc:Choice Requires="x14">
            <control shapeId="7946" r:id="rId379" name="Check Box 778">
              <controlPr defaultSize="0" autoFill="0" autoLine="0" autoPict="0">
                <anchor moveWithCells="1">
                  <from>
                    <xdr:col>9</xdr:col>
                    <xdr:colOff>133350</xdr:colOff>
                    <xdr:row>433</xdr:row>
                    <xdr:rowOff>161925</xdr:rowOff>
                  </from>
                  <to>
                    <xdr:col>9</xdr:col>
                    <xdr:colOff>428625</xdr:colOff>
                    <xdr:row>435</xdr:row>
                    <xdr:rowOff>0</xdr:rowOff>
                  </to>
                </anchor>
              </controlPr>
            </control>
          </mc:Choice>
        </mc:AlternateContent>
        <mc:AlternateContent xmlns:mc="http://schemas.openxmlformats.org/markup-compatibility/2006">
          <mc:Choice Requires="x14">
            <control shapeId="7947" r:id="rId380" name="Check Box 779">
              <controlPr defaultSize="0" autoFill="0" autoLine="0" autoPict="0">
                <anchor moveWithCells="1">
                  <from>
                    <xdr:col>9</xdr:col>
                    <xdr:colOff>133350</xdr:colOff>
                    <xdr:row>434</xdr:row>
                    <xdr:rowOff>180975</xdr:rowOff>
                  </from>
                  <to>
                    <xdr:col>9</xdr:col>
                    <xdr:colOff>428625</xdr:colOff>
                    <xdr:row>436</xdr:row>
                    <xdr:rowOff>9525</xdr:rowOff>
                  </to>
                </anchor>
              </controlPr>
            </control>
          </mc:Choice>
        </mc:AlternateContent>
        <mc:AlternateContent xmlns:mc="http://schemas.openxmlformats.org/markup-compatibility/2006">
          <mc:Choice Requires="x14">
            <control shapeId="7948" r:id="rId381" name="Check Box 780">
              <controlPr defaultSize="0" autoFill="0" autoLine="0" autoPict="0">
                <anchor moveWithCells="1">
                  <from>
                    <xdr:col>9</xdr:col>
                    <xdr:colOff>133350</xdr:colOff>
                    <xdr:row>435</xdr:row>
                    <xdr:rowOff>171450</xdr:rowOff>
                  </from>
                  <to>
                    <xdr:col>9</xdr:col>
                    <xdr:colOff>428625</xdr:colOff>
                    <xdr:row>437</xdr:row>
                    <xdr:rowOff>0</xdr:rowOff>
                  </to>
                </anchor>
              </controlPr>
            </control>
          </mc:Choice>
        </mc:AlternateContent>
        <mc:AlternateContent xmlns:mc="http://schemas.openxmlformats.org/markup-compatibility/2006">
          <mc:Choice Requires="x14">
            <control shapeId="7949" r:id="rId382" name="Check Box 781">
              <controlPr defaultSize="0" autoFill="0" autoLine="0" autoPict="0">
                <anchor moveWithCells="1">
                  <from>
                    <xdr:col>9</xdr:col>
                    <xdr:colOff>123825</xdr:colOff>
                    <xdr:row>436</xdr:row>
                    <xdr:rowOff>161925</xdr:rowOff>
                  </from>
                  <to>
                    <xdr:col>9</xdr:col>
                    <xdr:colOff>419100</xdr:colOff>
                    <xdr:row>438</xdr:row>
                    <xdr:rowOff>0</xdr:rowOff>
                  </to>
                </anchor>
              </controlPr>
            </control>
          </mc:Choice>
        </mc:AlternateContent>
        <mc:AlternateContent xmlns:mc="http://schemas.openxmlformats.org/markup-compatibility/2006">
          <mc:Choice Requires="x14">
            <control shapeId="7950" r:id="rId383" name="Check Box 782">
              <controlPr defaultSize="0" autoFill="0" autoLine="0" autoPict="0">
                <anchor moveWithCells="1">
                  <from>
                    <xdr:col>9</xdr:col>
                    <xdr:colOff>104775</xdr:colOff>
                    <xdr:row>437</xdr:row>
                    <xdr:rowOff>180975</xdr:rowOff>
                  </from>
                  <to>
                    <xdr:col>9</xdr:col>
                    <xdr:colOff>409575</xdr:colOff>
                    <xdr:row>439</xdr:row>
                    <xdr:rowOff>0</xdr:rowOff>
                  </to>
                </anchor>
              </controlPr>
            </control>
          </mc:Choice>
        </mc:AlternateContent>
        <mc:AlternateContent xmlns:mc="http://schemas.openxmlformats.org/markup-compatibility/2006">
          <mc:Choice Requires="x14">
            <control shapeId="7952" r:id="rId384" name="Check Box 784">
              <controlPr defaultSize="0" autoFill="0" autoLine="0" autoPict="0">
                <anchor moveWithCells="1">
                  <from>
                    <xdr:col>9</xdr:col>
                    <xdr:colOff>133350</xdr:colOff>
                    <xdr:row>465</xdr:row>
                    <xdr:rowOff>171450</xdr:rowOff>
                  </from>
                  <to>
                    <xdr:col>9</xdr:col>
                    <xdr:colOff>428625</xdr:colOff>
                    <xdr:row>467</xdr:row>
                    <xdr:rowOff>0</xdr:rowOff>
                  </to>
                </anchor>
              </controlPr>
            </control>
          </mc:Choice>
        </mc:AlternateContent>
        <mc:AlternateContent xmlns:mc="http://schemas.openxmlformats.org/markup-compatibility/2006">
          <mc:Choice Requires="x14">
            <control shapeId="7953" r:id="rId385" name="Check Box 785">
              <controlPr defaultSize="0" autoFill="0" autoLine="0" autoPict="0">
                <anchor moveWithCells="1">
                  <from>
                    <xdr:col>9</xdr:col>
                    <xdr:colOff>133350</xdr:colOff>
                    <xdr:row>466</xdr:row>
                    <xdr:rowOff>161925</xdr:rowOff>
                  </from>
                  <to>
                    <xdr:col>9</xdr:col>
                    <xdr:colOff>428625</xdr:colOff>
                    <xdr:row>468</xdr:row>
                    <xdr:rowOff>0</xdr:rowOff>
                  </to>
                </anchor>
              </controlPr>
            </control>
          </mc:Choice>
        </mc:AlternateContent>
        <mc:AlternateContent xmlns:mc="http://schemas.openxmlformats.org/markup-compatibility/2006">
          <mc:Choice Requires="x14">
            <control shapeId="7954" r:id="rId386" name="Check Box 786">
              <controlPr defaultSize="0" autoFill="0" autoLine="0" autoPict="0">
                <anchor moveWithCells="1">
                  <from>
                    <xdr:col>9</xdr:col>
                    <xdr:colOff>133350</xdr:colOff>
                    <xdr:row>462</xdr:row>
                    <xdr:rowOff>171450</xdr:rowOff>
                  </from>
                  <to>
                    <xdr:col>9</xdr:col>
                    <xdr:colOff>428625</xdr:colOff>
                    <xdr:row>464</xdr:row>
                    <xdr:rowOff>0</xdr:rowOff>
                  </to>
                </anchor>
              </controlPr>
            </control>
          </mc:Choice>
        </mc:AlternateContent>
        <mc:AlternateContent xmlns:mc="http://schemas.openxmlformats.org/markup-compatibility/2006">
          <mc:Choice Requires="x14">
            <control shapeId="7955" r:id="rId387" name="Check Box 787">
              <controlPr defaultSize="0" autoFill="0" autoLine="0" autoPict="0">
                <anchor moveWithCells="1">
                  <from>
                    <xdr:col>9</xdr:col>
                    <xdr:colOff>123825</xdr:colOff>
                    <xdr:row>463</xdr:row>
                    <xdr:rowOff>161925</xdr:rowOff>
                  </from>
                  <to>
                    <xdr:col>9</xdr:col>
                    <xdr:colOff>419100</xdr:colOff>
                    <xdr:row>465</xdr:row>
                    <xdr:rowOff>0</xdr:rowOff>
                  </to>
                </anchor>
              </controlPr>
            </control>
          </mc:Choice>
        </mc:AlternateContent>
        <mc:AlternateContent xmlns:mc="http://schemas.openxmlformats.org/markup-compatibility/2006">
          <mc:Choice Requires="x14">
            <control shapeId="7956" r:id="rId388" name="Check Box 788">
              <controlPr defaultSize="0" autoFill="0" autoLine="0" autoPict="0">
                <anchor moveWithCells="1">
                  <from>
                    <xdr:col>9</xdr:col>
                    <xdr:colOff>104775</xdr:colOff>
                    <xdr:row>464</xdr:row>
                    <xdr:rowOff>180975</xdr:rowOff>
                  </from>
                  <to>
                    <xdr:col>9</xdr:col>
                    <xdr:colOff>409575</xdr:colOff>
                    <xdr:row>466</xdr:row>
                    <xdr:rowOff>0</xdr:rowOff>
                  </to>
                </anchor>
              </controlPr>
            </control>
          </mc:Choice>
        </mc:AlternateContent>
        <mc:AlternateContent xmlns:mc="http://schemas.openxmlformats.org/markup-compatibility/2006">
          <mc:Choice Requires="x14">
            <control shapeId="7957" r:id="rId389" name="Check Box 789">
              <controlPr defaultSize="0" autoFill="0" autoLine="0" autoPict="0">
                <anchor moveWithCells="1">
                  <from>
                    <xdr:col>9</xdr:col>
                    <xdr:colOff>133350</xdr:colOff>
                    <xdr:row>459</xdr:row>
                    <xdr:rowOff>171450</xdr:rowOff>
                  </from>
                  <to>
                    <xdr:col>9</xdr:col>
                    <xdr:colOff>428625</xdr:colOff>
                    <xdr:row>461</xdr:row>
                    <xdr:rowOff>0</xdr:rowOff>
                  </to>
                </anchor>
              </controlPr>
            </control>
          </mc:Choice>
        </mc:AlternateContent>
        <mc:AlternateContent xmlns:mc="http://schemas.openxmlformats.org/markup-compatibility/2006">
          <mc:Choice Requires="x14">
            <control shapeId="7958" r:id="rId390" name="Check Box 790">
              <controlPr defaultSize="0" autoFill="0" autoLine="0" autoPict="0">
                <anchor moveWithCells="1">
                  <from>
                    <xdr:col>9</xdr:col>
                    <xdr:colOff>133350</xdr:colOff>
                    <xdr:row>460</xdr:row>
                    <xdr:rowOff>161925</xdr:rowOff>
                  </from>
                  <to>
                    <xdr:col>9</xdr:col>
                    <xdr:colOff>428625</xdr:colOff>
                    <xdr:row>462</xdr:row>
                    <xdr:rowOff>0</xdr:rowOff>
                  </to>
                </anchor>
              </controlPr>
            </control>
          </mc:Choice>
        </mc:AlternateContent>
        <mc:AlternateContent xmlns:mc="http://schemas.openxmlformats.org/markup-compatibility/2006">
          <mc:Choice Requires="x14">
            <control shapeId="7959" r:id="rId391" name="Check Box 791">
              <controlPr defaultSize="0" autoFill="0" autoLine="0" autoPict="0">
                <anchor moveWithCells="1">
                  <from>
                    <xdr:col>9</xdr:col>
                    <xdr:colOff>133350</xdr:colOff>
                    <xdr:row>453</xdr:row>
                    <xdr:rowOff>171450</xdr:rowOff>
                  </from>
                  <to>
                    <xdr:col>9</xdr:col>
                    <xdr:colOff>428625</xdr:colOff>
                    <xdr:row>455</xdr:row>
                    <xdr:rowOff>0</xdr:rowOff>
                  </to>
                </anchor>
              </controlPr>
            </control>
          </mc:Choice>
        </mc:AlternateContent>
        <mc:AlternateContent xmlns:mc="http://schemas.openxmlformats.org/markup-compatibility/2006">
          <mc:Choice Requires="x14">
            <control shapeId="7960" r:id="rId392" name="Check Box 792">
              <controlPr defaultSize="0" autoFill="0" autoLine="0" autoPict="0">
                <anchor moveWithCells="1">
                  <from>
                    <xdr:col>9</xdr:col>
                    <xdr:colOff>133350</xdr:colOff>
                    <xdr:row>454</xdr:row>
                    <xdr:rowOff>161925</xdr:rowOff>
                  </from>
                  <to>
                    <xdr:col>9</xdr:col>
                    <xdr:colOff>428625</xdr:colOff>
                    <xdr:row>456</xdr:row>
                    <xdr:rowOff>0</xdr:rowOff>
                  </to>
                </anchor>
              </controlPr>
            </control>
          </mc:Choice>
        </mc:AlternateContent>
        <mc:AlternateContent xmlns:mc="http://schemas.openxmlformats.org/markup-compatibility/2006">
          <mc:Choice Requires="x14">
            <control shapeId="7961" r:id="rId393" name="Check Box 793">
              <controlPr defaultSize="0" autoFill="0" autoLine="0" autoPict="0">
                <anchor moveWithCells="1">
                  <from>
                    <xdr:col>9</xdr:col>
                    <xdr:colOff>133350</xdr:colOff>
                    <xdr:row>455</xdr:row>
                    <xdr:rowOff>180975</xdr:rowOff>
                  </from>
                  <to>
                    <xdr:col>9</xdr:col>
                    <xdr:colOff>428625</xdr:colOff>
                    <xdr:row>457</xdr:row>
                    <xdr:rowOff>9525</xdr:rowOff>
                  </to>
                </anchor>
              </controlPr>
            </control>
          </mc:Choice>
        </mc:AlternateContent>
        <mc:AlternateContent xmlns:mc="http://schemas.openxmlformats.org/markup-compatibility/2006">
          <mc:Choice Requires="x14">
            <control shapeId="7962" r:id="rId394" name="Check Box 794">
              <controlPr defaultSize="0" autoFill="0" autoLine="0" autoPict="0">
                <anchor moveWithCells="1">
                  <from>
                    <xdr:col>9</xdr:col>
                    <xdr:colOff>133350</xdr:colOff>
                    <xdr:row>456</xdr:row>
                    <xdr:rowOff>171450</xdr:rowOff>
                  </from>
                  <to>
                    <xdr:col>9</xdr:col>
                    <xdr:colOff>428625</xdr:colOff>
                    <xdr:row>458</xdr:row>
                    <xdr:rowOff>0</xdr:rowOff>
                  </to>
                </anchor>
              </controlPr>
            </control>
          </mc:Choice>
        </mc:AlternateContent>
        <mc:AlternateContent xmlns:mc="http://schemas.openxmlformats.org/markup-compatibility/2006">
          <mc:Choice Requires="x14">
            <control shapeId="7963" r:id="rId395" name="Check Box 795">
              <controlPr defaultSize="0" autoFill="0" autoLine="0" autoPict="0">
                <anchor moveWithCells="1">
                  <from>
                    <xdr:col>9</xdr:col>
                    <xdr:colOff>123825</xdr:colOff>
                    <xdr:row>457</xdr:row>
                    <xdr:rowOff>161925</xdr:rowOff>
                  </from>
                  <to>
                    <xdr:col>9</xdr:col>
                    <xdr:colOff>419100</xdr:colOff>
                    <xdr:row>459</xdr:row>
                    <xdr:rowOff>0</xdr:rowOff>
                  </to>
                </anchor>
              </controlPr>
            </control>
          </mc:Choice>
        </mc:AlternateContent>
        <mc:AlternateContent xmlns:mc="http://schemas.openxmlformats.org/markup-compatibility/2006">
          <mc:Choice Requires="x14">
            <control shapeId="7964" r:id="rId396" name="Check Box 796">
              <controlPr defaultSize="0" autoFill="0" autoLine="0" autoPict="0">
                <anchor moveWithCells="1">
                  <from>
                    <xdr:col>9</xdr:col>
                    <xdr:colOff>104775</xdr:colOff>
                    <xdr:row>458</xdr:row>
                    <xdr:rowOff>180975</xdr:rowOff>
                  </from>
                  <to>
                    <xdr:col>9</xdr:col>
                    <xdr:colOff>409575</xdr:colOff>
                    <xdr:row>460</xdr:row>
                    <xdr:rowOff>0</xdr:rowOff>
                  </to>
                </anchor>
              </controlPr>
            </control>
          </mc:Choice>
        </mc:AlternateContent>
        <mc:AlternateContent xmlns:mc="http://schemas.openxmlformats.org/markup-compatibility/2006">
          <mc:Choice Requires="x14">
            <control shapeId="7966" r:id="rId397" name="Check Box 798">
              <controlPr defaultSize="0" autoFill="0" autoLine="0" autoPict="0">
                <anchor moveWithCells="1">
                  <from>
                    <xdr:col>9</xdr:col>
                    <xdr:colOff>133350</xdr:colOff>
                    <xdr:row>446</xdr:row>
                    <xdr:rowOff>190500</xdr:rowOff>
                  </from>
                  <to>
                    <xdr:col>9</xdr:col>
                    <xdr:colOff>428625</xdr:colOff>
                    <xdr:row>448</xdr:row>
                    <xdr:rowOff>19050</xdr:rowOff>
                  </to>
                </anchor>
              </controlPr>
            </control>
          </mc:Choice>
        </mc:AlternateContent>
        <mc:AlternateContent xmlns:mc="http://schemas.openxmlformats.org/markup-compatibility/2006">
          <mc:Choice Requires="x14">
            <control shapeId="7967" r:id="rId398" name="Check Box 799">
              <controlPr defaultSize="0" autoFill="0" autoLine="0" autoPict="0">
                <anchor moveWithCells="1">
                  <from>
                    <xdr:col>9</xdr:col>
                    <xdr:colOff>133350</xdr:colOff>
                    <xdr:row>461</xdr:row>
                    <xdr:rowOff>190500</xdr:rowOff>
                  </from>
                  <to>
                    <xdr:col>9</xdr:col>
                    <xdr:colOff>428625</xdr:colOff>
                    <xdr:row>463</xdr:row>
                    <xdr:rowOff>19050</xdr:rowOff>
                  </to>
                </anchor>
              </controlPr>
            </control>
          </mc:Choice>
        </mc:AlternateContent>
        <mc:AlternateContent xmlns:mc="http://schemas.openxmlformats.org/markup-compatibility/2006">
          <mc:Choice Requires="x14">
            <control shapeId="7968" r:id="rId399" name="Check Box 800">
              <controlPr defaultSize="0" autoFill="0" autoLine="0" autoPict="0">
                <anchor moveWithCells="1">
                  <from>
                    <xdr:col>9</xdr:col>
                    <xdr:colOff>142875</xdr:colOff>
                    <xdr:row>467</xdr:row>
                    <xdr:rowOff>180975</xdr:rowOff>
                  </from>
                  <to>
                    <xdr:col>9</xdr:col>
                    <xdr:colOff>447675</xdr:colOff>
                    <xdr:row>469</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14:formula1>
            <xm:f>'טבלאות עזר לדשבורד'!$A$27:$A$1299</xm:f>
          </x14:formula1>
          <xm:sqref>E12:E72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DAA815C93CDF489AAB236815ACC9C3" ma:contentTypeVersion="14" ma:contentTypeDescription="Create a new document." ma:contentTypeScope="" ma:versionID="658256cca7959c1dc6a63ba3c8ea9f47">
  <xsd:schema xmlns:xsd="http://www.w3.org/2001/XMLSchema" xmlns:xs="http://www.w3.org/2001/XMLSchema" xmlns:p="http://schemas.microsoft.com/office/2006/metadata/properties" xmlns:ns2="31332c2b-0ff3-4e91-abcb-a5ee55d1795f" xmlns:ns3="87d3945f-60fe-4841-a5e0-1af2ca94a938" targetNamespace="http://schemas.microsoft.com/office/2006/metadata/properties" ma:root="true" ma:fieldsID="c9578bf39ad028429b15d59625137263" ns2:_="" ns3:_="">
    <xsd:import namespace="31332c2b-0ff3-4e91-abcb-a5ee55d1795f"/>
    <xsd:import namespace="87d3945f-60fe-4841-a5e0-1af2ca94a93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332c2b-0ff3-4e91-abcb-a5ee55d179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7d3945f-60fe-4841-a5e0-1af2ca94a93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7c9ca01-e8aa-465a-ba0d-18e38d16c3b7}" ma:internalName="TaxCatchAll" ma:showField="CatchAllData" ma:web="87d3945f-60fe-4841-a5e0-1af2ca94a9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1332c2b-0ff3-4e91-abcb-a5ee55d1795f">
      <Terms xmlns="http://schemas.microsoft.com/office/infopath/2007/PartnerControls"/>
    </lcf76f155ced4ddcb4097134ff3c332f>
    <TaxCatchAll xmlns="87d3945f-60fe-4841-a5e0-1af2ca94a93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B26686-E050-4EA7-AACE-08F9F3C5BA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332c2b-0ff3-4e91-abcb-a5ee55d1795f"/>
    <ds:schemaRef ds:uri="87d3945f-60fe-4841-a5e0-1af2ca94a9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17B8F4-A9EF-4319-AA44-7525DF19ED76}">
  <ds:schemaRefs>
    <ds:schemaRef ds:uri="87d3945f-60fe-4841-a5e0-1af2ca94a938"/>
    <ds:schemaRef ds:uri="http://purl.org/dc/term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31332c2b-0ff3-4e91-abcb-a5ee55d1795f"/>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717177B0-0F9C-471B-B561-813AE575AC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6</vt:i4>
      </vt:variant>
      <vt:variant>
        <vt:lpstr>טווחים בעלי שם</vt:lpstr>
      </vt:variant>
      <vt:variant>
        <vt:i4>2</vt:i4>
      </vt:variant>
    </vt:vector>
  </HeadingPairs>
  <TitlesOfParts>
    <vt:vector size="8" baseType="lpstr">
      <vt:lpstr>הוראות שימוש</vt:lpstr>
      <vt:lpstr>תכנון תקציבי</vt:lpstr>
      <vt:lpstr>טבלאות עזר לדשבורד</vt:lpstr>
      <vt:lpstr>עלות השירותים</vt:lpstr>
      <vt:lpstr>מאגר השירותים</vt:lpstr>
      <vt:lpstr>מועדונים ויזמות</vt:lpstr>
      <vt:lpstr>'עלות השירותים'!סיבת_השינוי</vt:lpstr>
      <vt:lpstr>סיבת_השינוי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Shafir, Merav</dc:creator>
  <cp:keywords/>
  <dc:description/>
  <cp:lastModifiedBy>אביעד יצחקי</cp:lastModifiedBy>
  <cp:revision/>
  <dcterms:created xsi:type="dcterms:W3CDTF">2023-02-20T12:35:46Z</dcterms:created>
  <dcterms:modified xsi:type="dcterms:W3CDTF">2024-11-25T07:40:34Z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2023-02-20T12:35:47Z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17a2cb48-8ee7-4b36-936f-ef224d18039d</vt:lpwstr>
  </property>
  <property fmtid="{D5CDD505-2E9C-101B-9397-08002B2CF9AE}" pid="8" name="MSIP_Label_ea60d57e-af5b-4752-ac57-3e4f28ca11dc_ContentBits">
    <vt:lpwstr>0</vt:lpwstr>
  </property>
  <property fmtid="{D5CDD505-2E9C-101B-9397-08002B2CF9AE}" pid="9" name="ContentTypeId">
    <vt:lpwstr>0x010100D3DAA815C93CDF489AAB236815ACC9C3</vt:lpwstr>
  </property>
  <property fmtid="{D5CDD505-2E9C-101B-9397-08002B2CF9AE}" pid="10" name="MediaServiceImageTags">
    <vt:lpwstr/>
  </property>
</Properties>
</file>