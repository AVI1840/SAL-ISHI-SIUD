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ריבוש\"/>
    </mc:Choice>
  </mc:AlternateContent>
  <bookViews>
    <workbookView xWindow="0" yWindow="0" windowWidth="0" windowHeight="0"/>
  </bookViews>
  <sheets>
    <sheet name="גיליון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I26" i="1" s="1"/>
  <c r="J26" i="1" s="1"/>
  <c r="L26" i="1" s="1"/>
  <c r="H26" i="1"/>
  <c r="I25" i="1" s="1"/>
  <c r="J25" i="1" s="1"/>
  <c r="L25" i="1" s="1"/>
  <c r="H25" i="1"/>
  <c r="I24" i="1" s="1"/>
  <c r="J24" i="1" s="1"/>
  <c r="L24" i="1" s="1"/>
  <c r="H24" i="1"/>
  <c r="H23" i="1"/>
  <c r="H22" i="1"/>
  <c r="I21" i="1" s="1"/>
  <c r="J21" i="1" s="1"/>
  <c r="L21" i="1" s="1"/>
  <c r="J16" i="1"/>
  <c r="J15" i="1"/>
  <c r="J14" i="1"/>
  <c r="J13" i="1"/>
  <c r="J12" i="1"/>
  <c r="J11" i="1"/>
  <c r="L27" i="1"/>
  <c r="M42" i="1"/>
  <c r="M43" i="1"/>
  <c r="L42" i="1"/>
  <c r="L43" i="1" s="1"/>
  <c r="K43" i="1"/>
  <c r="K41" i="1"/>
  <c r="K42" i="1"/>
  <c r="J41" i="1"/>
  <c r="J42" i="1"/>
  <c r="J43" i="1" s="1"/>
  <c r="I41" i="1"/>
  <c r="I43" i="1" s="1"/>
  <c r="I42" i="1"/>
  <c r="H42" i="1"/>
  <c r="H40" i="1"/>
  <c r="H43" i="1" s="1"/>
  <c r="H41" i="1"/>
  <c r="H34" i="1"/>
  <c r="H35" i="1"/>
  <c r="H33" i="1"/>
  <c r="I22" i="1"/>
  <c r="J22" i="1" s="1"/>
  <c r="L22" i="1" s="1"/>
  <c r="I23" i="1"/>
  <c r="J23" i="1" s="1"/>
  <c r="L23" i="1" s="1"/>
</calcChain>
</file>

<file path=xl/sharedStrings.xml><?xml version="1.0" encoding="utf-8"?>
<sst xmlns="http://schemas.openxmlformats.org/spreadsheetml/2006/main" count="44" uniqueCount="37">
  <si>
    <t xml:space="preserve">רמה 1 עד 100% מהגמלה ביחס המרה של 100% </t>
  </si>
  <si>
    <t xml:space="preserve">רמות 2-6 עד שליש מהגמלה ביחס המרה של 80% מהעלות. לדוגמא, אם רמה 3=3000 שח ניתן להמיר 1000 שח ולקבל בפועל 800 שח. </t>
  </si>
  <si>
    <t xml:space="preserve">בפועל, הערכה שלי: </t>
  </si>
  <si>
    <t xml:space="preserve">כ26% מהגמלה משולם בכסף ישיר </t>
  </si>
  <si>
    <t xml:space="preserve">עוד כ35% בכסף לבני משפחה מטפלים בשכר </t>
  </si>
  <si>
    <t xml:space="preserve">ועוד כ35% למטפלות ישראליות וזרות. </t>
  </si>
  <si>
    <t xml:space="preserve">כ2% למרכזי היום וקהילות. </t>
  </si>
  <si>
    <t xml:space="preserve">רמה </t>
  </si>
  <si>
    <t>יחס המרה לכסף</t>
  </si>
  <si>
    <t>כמה ניתן להמיר</t>
  </si>
  <si>
    <t>כמה יחידות מקבלים</t>
  </si>
  <si>
    <t>כמה טיפול בבית</t>
  </si>
  <si>
    <t xml:space="preserve">בחירה בפועל </t>
  </si>
  <si>
    <t>מחכים לנתון מעודכן</t>
  </si>
  <si>
    <t>כמה יח' לשירותים (או משולב עם כסף)</t>
  </si>
  <si>
    <t xml:space="preserve">21 או 14 משולב </t>
  </si>
  <si>
    <t xml:space="preserve">17 או 11 משולב </t>
  </si>
  <si>
    <t xml:space="preserve">10 או 6 משולב </t>
  </si>
  <si>
    <t>26 או 15 משולב</t>
  </si>
  <si>
    <t>30 או 20 משולב</t>
  </si>
  <si>
    <t>דוגמא לכמה כסף אפשר להמיר</t>
  </si>
  <si>
    <t>כ80% ממירים בכסף</t>
  </si>
  <si>
    <t>הערה:</t>
  </si>
  <si>
    <t>ב3-6 עם עובד זר אפשר להמיר הכל בכסף</t>
  </si>
  <si>
    <t>כמה העלות למדינה</t>
  </si>
  <si>
    <t>חסכון בהישארות ברמה לחודש</t>
  </si>
  <si>
    <t>חסכון לשנה בבטלא</t>
  </si>
  <si>
    <t>חסכון לשנה בקופ"ח</t>
  </si>
  <si>
    <t>איתן</t>
  </si>
  <si>
    <t>קדם</t>
  </si>
  <si>
    <t>שברירי</t>
  </si>
  <si>
    <t>מורכב</t>
  </si>
  <si>
    <t>קופ"/סיעוד</t>
  </si>
  <si>
    <t>המרת סיעוד למדד שבריריות</t>
  </si>
  <si>
    <t>עלות לקופח</t>
  </si>
  <si>
    <t>חסכון לקופה לשנה</t>
  </si>
  <si>
    <t>סה"כ חסכון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</si>
</sst>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6" formatCode="_ * #,##0_ ;_ * \-#,##0_ ;_ * &quot;-&quot;??_ ;_ @_ 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Times New Roman"/>
      <family val="1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left" vertical="center" readingOrder="1"/>
    </xf>
    <xf numFmtId="9" fontId="0" fillId="0" borderId="1" xfId="0" applyNumberFormat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17" fontId="4" fillId="0" borderId="1" xfId="0" applyNumberFormat="1" applyFont="1" applyBorder="1" applyAlignment="1">
      <alignment horizontal="center" vertical="center" readingOrder="2"/>
    </xf>
    <xf numFmtId="164" fontId="0" fillId="0" borderId="1" xfId="1" applyNumberFormat="1" applyFont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center" vertical="top" readingOrder="2"/>
    </xf>
    <xf numFmtId="0" fontId="3" fillId="2" borderId="3" xfId="0" applyFont="1" applyFill="1" applyBorder="1" applyAlignment="1">
      <alignment horizontal="center" vertical="top" wrapText="1" readingOrder="2"/>
    </xf>
    <xf numFmtId="0" fontId="3" fillId="2" borderId="3" xfId="0" applyFont="1" applyFill="1" applyBorder="1" applyAlignment="1">
      <alignment vertical="top" wrapText="1" readingOrder="2"/>
    </xf>
    <xf numFmtId="0" fontId="5" fillId="2" borderId="3" xfId="0" applyFont="1" applyFill="1" applyBorder="1" applyAlignment="1">
      <alignment horizontal="center" vertical="top" wrapText="1" readingOrder="2"/>
    </xf>
    <xf numFmtId="0" fontId="3" fillId="2" borderId="4" xfId="0" applyFont="1" applyFill="1" applyBorder="1" applyAlignment="1">
      <alignment horizontal="center" vertical="top" wrapText="1" readingOrder="2"/>
    </xf>
    <xf numFmtId="0" fontId="0" fillId="0" borderId="5" xfId="0" applyBorder="1" applyAlignment="1">
      <alignment horizontal="center" vertical="center" readingOrder="2"/>
    </xf>
    <xf numFmtId="0" fontId="0" fillId="0" borderId="6" xfId="0" applyBorder="1" applyAlignment="1">
      <alignment horizontal="right" vertical="center" readingOrder="2"/>
    </xf>
    <xf numFmtId="0" fontId="0" fillId="0" borderId="9" xfId="0" applyBorder="1" applyAlignment="1">
      <alignment horizontal="center" vertical="center" readingOrder="2"/>
    </xf>
    <xf numFmtId="0" fontId="0" fillId="0" borderId="10" xfId="0" applyBorder="1" applyAlignment="1">
      <alignment horizontal="center" vertical="center" readingOrder="2"/>
    </xf>
    <xf numFmtId="164" fontId="0" fillId="0" borderId="10" xfId="1" applyNumberFormat="1" applyFont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9" fontId="0" fillId="0" borderId="1" xfId="0" applyNumberFormat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0" xfId="0" applyBorder="1" applyAlignment="1">
      <alignment horizontal="center" vertical="center" readingOrder="2"/>
    </xf>
    <xf numFmtId="0" fontId="0" fillId="0" borderId="7" xfId="0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0" fillId="0" borderId="0" xfId="0" applyBorder="1" applyAlignment="1">
      <alignment horizontal="center" wrapText="1"/>
    </xf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3" fillId="0" borderId="0" xfId="0" applyFont="1"/>
    <xf numFmtId="166" fontId="0" fillId="0" borderId="1" xfId="2" applyNumberFormat="1" applyFont="1" applyBorder="1"/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/>
    <xf numFmtId="10" fontId="0" fillId="0" borderId="6" xfId="0" applyNumberFormat="1" applyBorder="1"/>
    <xf numFmtId="0" fontId="0" fillId="0" borderId="9" xfId="0" applyBorder="1"/>
    <xf numFmtId="166" fontId="0" fillId="0" borderId="10" xfId="2" applyNumberFormat="1" applyFont="1" applyBorder="1"/>
    <xf numFmtId="10" fontId="0" fillId="0" borderId="10" xfId="0" applyNumberFormat="1" applyBorder="1" applyAlignment="1">
      <alignment horizontal="center"/>
    </xf>
    <xf numFmtId="10" fontId="0" fillId="0" borderId="10" xfId="0" applyNumberFormat="1" applyBorder="1"/>
    <xf numFmtId="10" fontId="0" fillId="0" borderId="14" xfId="0" applyNumberFormat="1" applyBorder="1"/>
    <xf numFmtId="0" fontId="0" fillId="4" borderId="1" xfId="0" applyFill="1" applyBorder="1"/>
    <xf numFmtId="0" fontId="0" fillId="4" borderId="10" xfId="0" applyFill="1" applyBorder="1"/>
    <xf numFmtId="0" fontId="0" fillId="0" borderId="14" xfId="0" applyBorder="1"/>
    <xf numFmtId="0" fontId="0" fillId="0" borderId="12" xfId="0" applyBorder="1" applyAlignment="1">
      <alignment horizontal="center" vertical="center" readingOrder="2"/>
    </xf>
    <xf numFmtId="0" fontId="0" fillId="4" borderId="13" xfId="0" applyFill="1" applyBorder="1"/>
    <xf numFmtId="0" fontId="3" fillId="2" borderId="16" xfId="0" applyFont="1" applyFill="1" applyBorder="1" applyAlignment="1">
      <alignment horizontal="center" vertical="top" readingOrder="2"/>
    </xf>
    <xf numFmtId="0" fontId="3" fillId="2" borderId="17" xfId="0" applyFont="1" applyFill="1" applyBorder="1" applyAlignment="1">
      <alignment horizontal="center" vertical="top" wrapText="1" readingOrder="2"/>
    </xf>
    <xf numFmtId="0" fontId="3" fillId="2" borderId="18" xfId="0" applyFont="1" applyFill="1" applyBorder="1" applyAlignment="1">
      <alignment horizontal="center" vertical="top" wrapText="1" readingOrder="2"/>
    </xf>
    <xf numFmtId="164" fontId="0" fillId="0" borderId="15" xfId="1" applyNumberFormat="1" applyFont="1" applyBorder="1"/>
    <xf numFmtId="164" fontId="0" fillId="0" borderId="6" xfId="1" applyNumberFormat="1" applyFont="1" applyBorder="1"/>
    <xf numFmtId="166" fontId="3" fillId="3" borderId="13" xfId="2" applyNumberFormat="1" applyFont="1" applyFill="1" applyBorder="1" applyAlignment="1">
      <alignment horizontal="center" vertical="center" readingOrder="2"/>
    </xf>
    <xf numFmtId="166" fontId="0" fillId="0" borderId="13" xfId="2" applyNumberFormat="1" applyFont="1" applyBorder="1"/>
    <xf numFmtId="166" fontId="3" fillId="3" borderId="1" xfId="2" applyNumberFormat="1" applyFont="1" applyFill="1" applyBorder="1" applyAlignment="1">
      <alignment horizontal="center" vertical="center" readingOrder="2"/>
    </xf>
    <xf numFmtId="166" fontId="3" fillId="3" borderId="10" xfId="2" applyNumberFormat="1" applyFont="1" applyFill="1" applyBorder="1" applyAlignment="1">
      <alignment horizontal="center" vertical="center" readingOrder="2"/>
    </xf>
    <xf numFmtId="1" fontId="3" fillId="3" borderId="1" xfId="0" applyNumberFormat="1" applyFont="1" applyFill="1" applyBorder="1" applyAlignment="1">
      <alignment horizontal="center" vertical="center" readingOrder="2"/>
    </xf>
    <xf numFmtId="164" fontId="0" fillId="0" borderId="14" xfId="1" applyNumberFormat="1" applyFont="1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409574</xdr:colOff>
      <xdr:row>27</xdr:row>
      <xdr:rowOff>1225</xdr:rowOff>
    </xdr:from>
    <xdr:to>
      <xdr:col>25</xdr:col>
      <xdr:colOff>450814</xdr:colOff>
      <xdr:row>44</xdr:row>
      <xdr:rowOff>58372</xdr:rowOff>
    </xdr:to>
    <xdr:pic>
      <xdr:nvPicPr>
        <xdr:cNvPr id="4" name="תמונה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551386" y="5563825"/>
          <a:ext cx="6213440" cy="3352797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46</xdr:row>
      <xdr:rowOff>100950</xdr:rowOff>
    </xdr:from>
    <xdr:to>
      <xdr:col>25</xdr:col>
      <xdr:colOff>59183</xdr:colOff>
      <xdr:row>65</xdr:row>
      <xdr:rowOff>57149</xdr:rowOff>
    </xdr:to>
    <xdr:pic>
      <xdr:nvPicPr>
        <xdr:cNvPr id="5" name="תמונה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220"/>
        <a:stretch/>
      </xdr:blipFill>
      <xdr:spPr>
        <a:xfrm>
          <a:off x="11218943017" y="9102075"/>
          <a:ext cx="6031358" cy="33947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02;&#1493;&#1500;%20&#1489;&#1497;&#1496;&#1493;&#1495;%20&#1500;&#1488;&#1493;&#1502;&#149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ול ביטוח לאומי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9:T43"/>
  <sheetViews>
    <sheetView rightToLeft="1" tabSelected="1" topLeftCell="E1" workbookViewId="0">
      <selection activeCell="G6" sqref="G6"/>
    </sheetView>
  </sheetViews>
  <sheetFormatPr defaultRowHeight="14.25" x14ac:dyDescent="0.2"/>
  <cols>
    <col min="7" max="7" width="9.875" bestFit="1" customWidth="1"/>
    <col min="8" max="8" width="10.5" customWidth="1"/>
    <col min="9" max="9" width="15.625" customWidth="1"/>
    <col min="10" max="10" width="10.25" customWidth="1"/>
    <col min="11" max="11" width="15.875" customWidth="1"/>
    <col min="12" max="12" width="9.75" customWidth="1"/>
    <col min="13" max="13" width="14.875" customWidth="1"/>
    <col min="14" max="14" width="15.375" customWidth="1"/>
    <col min="15" max="15" width="10.375" customWidth="1"/>
  </cols>
  <sheetData>
    <row r="9" spans="6:19" ht="15" thickBot="1" x14ac:dyDescent="0.25"/>
    <row r="10" spans="6:19" ht="30" customHeight="1" x14ac:dyDescent="0.2">
      <c r="F10" s="7" t="s">
        <v>7</v>
      </c>
      <c r="G10" s="8" t="s">
        <v>9</v>
      </c>
      <c r="H10" s="8" t="s">
        <v>8</v>
      </c>
      <c r="I10" s="8" t="s">
        <v>10</v>
      </c>
      <c r="J10" s="8" t="s">
        <v>24</v>
      </c>
      <c r="K10" s="9" t="s">
        <v>20</v>
      </c>
      <c r="L10" s="8" t="s">
        <v>11</v>
      </c>
      <c r="M10" s="10" t="s">
        <v>14</v>
      </c>
      <c r="N10" s="11" t="s">
        <v>12</v>
      </c>
      <c r="S10" s="1" t="s">
        <v>0</v>
      </c>
    </row>
    <row r="11" spans="6:19" ht="15.75" x14ac:dyDescent="0.2">
      <c r="F11" s="12">
        <v>1</v>
      </c>
      <c r="G11" s="3">
        <v>1</v>
      </c>
      <c r="H11" s="3">
        <v>1</v>
      </c>
      <c r="I11" s="4">
        <v>5.5</v>
      </c>
      <c r="J11" s="62">
        <f>I11*279</f>
        <v>1534.5</v>
      </c>
      <c r="K11" s="6">
        <v>1475</v>
      </c>
      <c r="L11" s="4">
        <v>5.5</v>
      </c>
      <c r="M11" s="4">
        <v>9</v>
      </c>
      <c r="N11" s="13" t="s">
        <v>21</v>
      </c>
      <c r="S11" s="1" t="s">
        <v>1</v>
      </c>
    </row>
    <row r="12" spans="6:19" ht="15.75" x14ac:dyDescent="0.2">
      <c r="F12" s="12">
        <v>2</v>
      </c>
      <c r="G12" s="19">
        <v>0.33</v>
      </c>
      <c r="H12" s="19">
        <v>0.8</v>
      </c>
      <c r="I12" s="4">
        <v>10</v>
      </c>
      <c r="J12" s="17">
        <f>I12*279</f>
        <v>2790</v>
      </c>
      <c r="K12" s="6">
        <v>858</v>
      </c>
      <c r="L12" s="4">
        <v>10</v>
      </c>
      <c r="M12" s="4" t="s">
        <v>17</v>
      </c>
      <c r="N12" s="22" t="s">
        <v>13</v>
      </c>
      <c r="O12" t="s">
        <v>22</v>
      </c>
      <c r="S12" s="2"/>
    </row>
    <row r="13" spans="6:19" ht="15.75" x14ac:dyDescent="0.2">
      <c r="F13" s="12">
        <v>3</v>
      </c>
      <c r="G13" s="20"/>
      <c r="H13" s="20"/>
      <c r="I13" s="4">
        <v>17</v>
      </c>
      <c r="J13" s="17">
        <f>I13*279</f>
        <v>4743</v>
      </c>
      <c r="K13" s="6">
        <v>1287</v>
      </c>
      <c r="L13" s="4">
        <v>17</v>
      </c>
      <c r="M13" s="5" t="s">
        <v>16</v>
      </c>
      <c r="N13" s="23"/>
      <c r="O13" s="25" t="s">
        <v>23</v>
      </c>
      <c r="S13" s="1" t="s">
        <v>2</v>
      </c>
    </row>
    <row r="14" spans="6:19" ht="15.75" x14ac:dyDescent="0.2">
      <c r="F14" s="12">
        <v>4</v>
      </c>
      <c r="G14" s="20"/>
      <c r="H14" s="20"/>
      <c r="I14" s="4">
        <v>21</v>
      </c>
      <c r="J14" s="17">
        <f>I14*279</f>
        <v>5859</v>
      </c>
      <c r="K14" s="6">
        <v>1502</v>
      </c>
      <c r="L14" s="4"/>
      <c r="M14" s="4" t="s">
        <v>15</v>
      </c>
      <c r="N14" s="23"/>
      <c r="O14" s="25"/>
      <c r="S14" s="1" t="s">
        <v>3</v>
      </c>
    </row>
    <row r="15" spans="6:19" ht="15.75" x14ac:dyDescent="0.2">
      <c r="F15" s="12">
        <v>5</v>
      </c>
      <c r="G15" s="20"/>
      <c r="H15" s="20"/>
      <c r="I15" s="4">
        <v>26</v>
      </c>
      <c r="J15" s="17">
        <f>I15*279</f>
        <v>7254</v>
      </c>
      <c r="K15" s="6">
        <v>1931</v>
      </c>
      <c r="L15" s="4"/>
      <c r="M15" s="4" t="s">
        <v>18</v>
      </c>
      <c r="N15" s="23"/>
      <c r="O15" s="25"/>
      <c r="S15" s="1" t="s">
        <v>4</v>
      </c>
    </row>
    <row r="16" spans="6:19" ht="16.5" thickBot="1" x14ac:dyDescent="0.25">
      <c r="F16" s="14">
        <v>6</v>
      </c>
      <c r="G16" s="21"/>
      <c r="H16" s="21"/>
      <c r="I16" s="15">
        <v>30</v>
      </c>
      <c r="J16" s="18">
        <f>I16*279</f>
        <v>8370</v>
      </c>
      <c r="K16" s="16">
        <v>2146</v>
      </c>
      <c r="L16" s="15"/>
      <c r="M16" s="15" t="s">
        <v>19</v>
      </c>
      <c r="N16" s="24"/>
      <c r="O16" s="25"/>
      <c r="S16" s="1" t="s">
        <v>5</v>
      </c>
    </row>
    <row r="17" spans="6:20" ht="15.75" x14ac:dyDescent="0.2">
      <c r="S17" s="1" t="s">
        <v>6</v>
      </c>
    </row>
    <row r="19" spans="6:20" ht="15" thickBot="1" x14ac:dyDescent="0.25"/>
    <row r="20" spans="6:20" ht="33" customHeight="1" thickBot="1" x14ac:dyDescent="0.25">
      <c r="G20" s="53" t="s">
        <v>7</v>
      </c>
      <c r="H20" s="54" t="s">
        <v>24</v>
      </c>
      <c r="I20" s="54" t="s">
        <v>25</v>
      </c>
      <c r="J20" s="54" t="s">
        <v>26</v>
      </c>
      <c r="K20" s="54" t="s">
        <v>27</v>
      </c>
      <c r="L20" s="55" t="s">
        <v>36</v>
      </c>
    </row>
    <row r="21" spans="6:20" ht="15" x14ac:dyDescent="0.2">
      <c r="G21" s="51">
        <v>0</v>
      </c>
      <c r="H21" s="58">
        <v>0</v>
      </c>
      <c r="I21" s="59">
        <f>H22-H21</f>
        <v>1534.5</v>
      </c>
      <c r="J21" s="59">
        <f>I21*12</f>
        <v>18414</v>
      </c>
      <c r="K21" s="52"/>
      <c r="L21" s="56">
        <f>J21+K21</f>
        <v>18414</v>
      </c>
    </row>
    <row r="22" spans="6:20" ht="15" x14ac:dyDescent="0.2">
      <c r="G22" s="12">
        <v>1</v>
      </c>
      <c r="H22" s="60">
        <f>J11</f>
        <v>1534.5</v>
      </c>
      <c r="I22" s="30">
        <f t="shared" ref="I22:I27" si="0">H23-H22</f>
        <v>1255.5</v>
      </c>
      <c r="J22" s="30">
        <f t="shared" ref="J22:J27" si="1">I22*12</f>
        <v>15066</v>
      </c>
      <c r="K22" s="48"/>
      <c r="L22" s="57">
        <f t="shared" ref="L22:L27" si="2">J22+K22</f>
        <v>15066</v>
      </c>
    </row>
    <row r="23" spans="6:20" ht="15.75" thickBot="1" x14ac:dyDescent="0.25">
      <c r="G23" s="14">
        <v>2</v>
      </c>
      <c r="H23" s="61">
        <f t="shared" ref="H23:H27" si="3">J12</f>
        <v>2790</v>
      </c>
      <c r="I23" s="44">
        <f t="shared" si="0"/>
        <v>1953</v>
      </c>
      <c r="J23" s="44">
        <f t="shared" si="1"/>
        <v>23436</v>
      </c>
      <c r="K23" s="49"/>
      <c r="L23" s="63">
        <f t="shared" si="2"/>
        <v>23436</v>
      </c>
    </row>
    <row r="24" spans="6:20" ht="15" x14ac:dyDescent="0.2">
      <c r="G24" s="51">
        <v>3</v>
      </c>
      <c r="H24" s="58">
        <f t="shared" si="3"/>
        <v>4743</v>
      </c>
      <c r="I24" s="59">
        <f t="shared" si="0"/>
        <v>1116</v>
      </c>
      <c r="J24" s="59">
        <f t="shared" si="1"/>
        <v>13392</v>
      </c>
      <c r="K24" s="52"/>
      <c r="L24" s="56">
        <f t="shared" si="2"/>
        <v>13392</v>
      </c>
    </row>
    <row r="25" spans="6:20" ht="15" x14ac:dyDescent="0.2">
      <c r="G25" s="12">
        <v>4</v>
      </c>
      <c r="H25" s="60">
        <f t="shared" si="3"/>
        <v>5859</v>
      </c>
      <c r="I25" s="30">
        <f t="shared" si="0"/>
        <v>1395</v>
      </c>
      <c r="J25" s="30">
        <f t="shared" si="1"/>
        <v>16740</v>
      </c>
      <c r="K25" s="48"/>
      <c r="L25" s="57">
        <f t="shared" si="2"/>
        <v>16740</v>
      </c>
    </row>
    <row r="26" spans="6:20" ht="15" x14ac:dyDescent="0.2">
      <c r="G26" s="12">
        <v>5</v>
      </c>
      <c r="H26" s="60">
        <f t="shared" si="3"/>
        <v>7254</v>
      </c>
      <c r="I26" s="30">
        <f t="shared" si="0"/>
        <v>1116</v>
      </c>
      <c r="J26" s="30">
        <f t="shared" si="1"/>
        <v>13392</v>
      </c>
      <c r="K26" s="48"/>
      <c r="L26" s="57">
        <f t="shared" si="2"/>
        <v>13392</v>
      </c>
    </row>
    <row r="27" spans="6:20" ht="15.75" thickBot="1" x14ac:dyDescent="0.3">
      <c r="G27" s="14">
        <v>6</v>
      </c>
      <c r="H27" s="60">
        <f t="shared" si="3"/>
        <v>8370</v>
      </c>
      <c r="I27" s="44"/>
      <c r="J27" s="44"/>
      <c r="K27" s="49"/>
      <c r="L27" s="50">
        <f t="shared" si="2"/>
        <v>0</v>
      </c>
      <c r="T27" s="29" t="s">
        <v>33</v>
      </c>
    </row>
    <row r="30" spans="6:20" ht="15" thickBot="1" x14ac:dyDescent="0.25"/>
    <row r="31" spans="6:20" ht="30" customHeight="1" x14ac:dyDescent="0.2">
      <c r="F31" s="37" t="s">
        <v>32</v>
      </c>
      <c r="G31" s="38" t="s">
        <v>34</v>
      </c>
      <c r="H31" s="39" t="s">
        <v>35</v>
      </c>
      <c r="I31" s="38">
        <v>0</v>
      </c>
      <c r="J31" s="38">
        <v>1</v>
      </c>
      <c r="K31" s="38">
        <v>2</v>
      </c>
      <c r="L31" s="38">
        <v>3</v>
      </c>
      <c r="M31" s="38">
        <v>4</v>
      </c>
      <c r="N31" s="38">
        <v>5</v>
      </c>
      <c r="O31" s="40">
        <v>6</v>
      </c>
    </row>
    <row r="32" spans="6:20" x14ac:dyDescent="0.2">
      <c r="F32" s="41" t="s">
        <v>28</v>
      </c>
      <c r="G32" s="30">
        <v>4680</v>
      </c>
      <c r="H32" s="30">
        <v>0</v>
      </c>
      <c r="I32" s="31">
        <v>0.45</v>
      </c>
      <c r="J32" s="28">
        <v>0.112</v>
      </c>
      <c r="K32" s="28">
        <v>9.5000000000000001E-2</v>
      </c>
      <c r="L32" s="28">
        <v>5.2999999999999999E-2</v>
      </c>
      <c r="M32" s="28">
        <v>2.1000000000000001E-2</v>
      </c>
      <c r="N32" s="28">
        <v>2.1000000000000001E-2</v>
      </c>
      <c r="O32" s="42">
        <v>1.9E-2</v>
      </c>
    </row>
    <row r="33" spans="6:15" x14ac:dyDescent="0.2">
      <c r="F33" s="41" t="s">
        <v>29</v>
      </c>
      <c r="G33" s="30">
        <v>12084</v>
      </c>
      <c r="H33" s="30">
        <f>G33-G32</f>
        <v>7404</v>
      </c>
      <c r="I33" s="32">
        <v>0.41799999999999998</v>
      </c>
      <c r="J33" s="28">
        <v>0.496</v>
      </c>
      <c r="K33" s="28">
        <v>0.45900000000000002</v>
      </c>
      <c r="L33" s="28">
        <v>0.36299999999999999</v>
      </c>
      <c r="M33" s="28">
        <v>0.23499999999999999</v>
      </c>
      <c r="N33" s="27">
        <v>0.21</v>
      </c>
      <c r="O33" s="42">
        <v>0.18099999999999999</v>
      </c>
    </row>
    <row r="34" spans="6:15" x14ac:dyDescent="0.2">
      <c r="F34" s="41" t="s">
        <v>30</v>
      </c>
      <c r="G34" s="30">
        <v>21368</v>
      </c>
      <c r="H34" s="30">
        <f t="shared" ref="H34:H35" si="4">G34-G33</f>
        <v>9284</v>
      </c>
      <c r="I34" s="32">
        <v>0.113</v>
      </c>
      <c r="J34" s="28">
        <v>0.31900000000000001</v>
      </c>
      <c r="K34" s="28">
        <v>0.34699999999999998</v>
      </c>
      <c r="L34" s="28">
        <v>0.42299999999999999</v>
      </c>
      <c r="M34" s="28">
        <v>0.43099999999999999</v>
      </c>
      <c r="N34" s="28">
        <v>0.41799999999999998</v>
      </c>
      <c r="O34" s="42">
        <v>0.39300000000000002</v>
      </c>
    </row>
    <row r="35" spans="6:15" ht="15" thickBot="1" x14ac:dyDescent="0.25">
      <c r="F35" s="43" t="s">
        <v>31</v>
      </c>
      <c r="G35" s="44">
        <v>32443</v>
      </c>
      <c r="H35" s="44">
        <f t="shared" si="4"/>
        <v>11075</v>
      </c>
      <c r="I35" s="45">
        <v>2.1000000000000001E-2</v>
      </c>
      <c r="J35" s="46">
        <v>7.3999999999999996E-2</v>
      </c>
      <c r="K35" s="46">
        <v>9.8000000000000004E-2</v>
      </c>
      <c r="L35" s="46">
        <v>0.161</v>
      </c>
      <c r="M35" s="46">
        <v>0.312</v>
      </c>
      <c r="N35" s="46">
        <v>0.35199999999999998</v>
      </c>
      <c r="O35" s="47">
        <v>0.40699999999999997</v>
      </c>
    </row>
    <row r="38" spans="6:15" x14ac:dyDescent="0.2">
      <c r="F38" s="33" t="s">
        <v>32</v>
      </c>
      <c r="G38" s="33">
        <v>0</v>
      </c>
      <c r="H38" s="33">
        <v>1</v>
      </c>
      <c r="I38" s="33">
        <v>2</v>
      </c>
      <c r="J38" s="33">
        <v>3</v>
      </c>
      <c r="K38" s="33">
        <v>4</v>
      </c>
      <c r="L38" s="33">
        <v>5</v>
      </c>
      <c r="M38" s="33">
        <v>6</v>
      </c>
    </row>
    <row r="39" spans="6:15" x14ac:dyDescent="0.2">
      <c r="F39" s="26" t="s">
        <v>28</v>
      </c>
      <c r="G39" s="27"/>
      <c r="H39" s="28"/>
      <c r="I39" s="28"/>
      <c r="J39" s="28"/>
      <c r="K39" s="28"/>
      <c r="L39" s="28"/>
      <c r="M39" s="28"/>
    </row>
    <row r="40" spans="6:15" x14ac:dyDescent="0.2">
      <c r="F40" s="26" t="s">
        <v>29</v>
      </c>
      <c r="G40" s="28"/>
      <c r="H40" s="35">
        <f>(J33-I33)*H33</f>
        <v>577.51200000000006</v>
      </c>
      <c r="I40" s="34"/>
      <c r="J40" s="34"/>
      <c r="K40" s="34"/>
      <c r="L40" s="34"/>
      <c r="M40" s="34"/>
    </row>
    <row r="41" spans="6:15" x14ac:dyDescent="0.2">
      <c r="F41" s="26" t="s">
        <v>30</v>
      </c>
      <c r="G41" s="28"/>
      <c r="H41" s="35">
        <f>(J34-I34)*H34</f>
        <v>1912.5040000000001</v>
      </c>
      <c r="I41" s="34">
        <f t="shared" ref="I41:I42" si="5">(K34-J34)*H34</f>
        <v>259.95199999999971</v>
      </c>
      <c r="J41" s="34">
        <f t="shared" ref="J41:J42" si="6">(L34-K34)*H34</f>
        <v>705.58400000000006</v>
      </c>
      <c r="K41" s="34">
        <f t="shared" ref="K41:K42" si="7">(M34-L34)*H34</f>
        <v>74.272000000000062</v>
      </c>
      <c r="L41" s="34"/>
      <c r="M41" s="34"/>
    </row>
    <row r="42" spans="6:15" x14ac:dyDescent="0.2">
      <c r="F42" s="26" t="s">
        <v>31</v>
      </c>
      <c r="G42" s="28"/>
      <c r="H42" s="35">
        <f>(J35-I35)*H35</f>
        <v>586.97499999999991</v>
      </c>
      <c r="I42" s="34">
        <f t="shared" si="5"/>
        <v>265.80000000000007</v>
      </c>
      <c r="J42" s="34">
        <f t="shared" si="6"/>
        <v>697.72500000000002</v>
      </c>
      <c r="K42" s="34">
        <f t="shared" si="7"/>
        <v>1672.325</v>
      </c>
      <c r="L42" s="34">
        <f t="shared" ref="L41:L42" si="8">(N35-M35)*H35</f>
        <v>442.99999999999977</v>
      </c>
      <c r="M42" s="34">
        <f t="shared" ref="M41:M42" si="9">(O35-N35)*H35</f>
        <v>609.12499999999989</v>
      </c>
    </row>
    <row r="43" spans="6:15" x14ac:dyDescent="0.2">
      <c r="H43" s="36">
        <f>SUM(H40:H42)</f>
        <v>3076.991</v>
      </c>
      <c r="I43" s="36">
        <f t="shared" ref="I43:K43" si="10">SUM(I40:I42)</f>
        <v>525.75199999999973</v>
      </c>
      <c r="J43" s="36">
        <f t="shared" si="10"/>
        <v>1403.3090000000002</v>
      </c>
      <c r="K43" s="36">
        <f t="shared" si="10"/>
        <v>1746.5970000000002</v>
      </c>
      <c r="L43" s="36">
        <f t="shared" ref="L43" si="11">SUM(L40:L42)</f>
        <v>442.99999999999977</v>
      </c>
      <c r="M43" s="36">
        <f t="shared" ref="M43" si="12">SUM(M40:M42)</f>
        <v>609.12499999999989</v>
      </c>
    </row>
  </sheetData>
  <mergeCells count="4">
    <mergeCell ref="G12:G16"/>
    <mergeCell ref="H12:H16"/>
    <mergeCell ref="N12:N16"/>
    <mergeCell ref="O13:O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2024-03-13T12:38:28Z</dcterms:created>
  <dcterms:modified xsi:type="dcterms:W3CDTF">2024-04-09T19:42:24Z</dcterms:modified>
</cp:coreProperties>
</file>