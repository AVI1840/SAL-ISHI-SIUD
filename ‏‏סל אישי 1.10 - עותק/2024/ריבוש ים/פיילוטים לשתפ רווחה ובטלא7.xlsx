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olsa.gov.il\Shares\אגף אזרחים ותיקים\אגפי תכנון ותקצוב\אסטרטגיה\בין משרדי\בטלא\ריבוש\"/>
    </mc:Choice>
  </mc:AlternateContent>
  <bookViews>
    <workbookView xWindow="0" yWindow="0" windowWidth="28800" windowHeight="11520"/>
  </bookViews>
  <sheets>
    <sheet name="טיוטת פיילוטים רווחה-בטלא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1" l="1"/>
  <c r="I6" i="1" l="1"/>
  <c r="O14" i="1" l="1"/>
  <c r="N14" i="1"/>
  <c r="M12" i="1"/>
  <c r="P12" i="1" s="1"/>
  <c r="L12" i="1"/>
  <c r="L11" i="1"/>
  <c r="I11" i="1"/>
  <c r="M11" i="1" s="1"/>
  <c r="P11" i="1" s="1"/>
  <c r="L10" i="1"/>
  <c r="M9" i="1"/>
  <c r="L9" i="1"/>
  <c r="L7" i="1"/>
  <c r="I7" i="1"/>
  <c r="M7" i="1" s="1"/>
  <c r="P7" i="1" s="1"/>
  <c r="L6" i="1"/>
  <c r="M6" i="1"/>
  <c r="L14" i="1" l="1"/>
  <c r="P6" i="1"/>
  <c r="P14" i="1" s="1"/>
  <c r="M14" i="1"/>
</calcChain>
</file>

<file path=xl/sharedStrings.xml><?xml version="1.0" encoding="utf-8"?>
<sst xmlns="http://schemas.openxmlformats.org/spreadsheetml/2006/main" count="65" uniqueCount="60">
  <si>
    <t>מס'</t>
  </si>
  <si>
    <t>הפרוייקט</t>
  </si>
  <si>
    <t>המטרה</t>
  </si>
  <si>
    <t>הדרך</t>
  </si>
  <si>
    <t>שותפים</t>
  </si>
  <si>
    <t>קהל היעד</t>
  </si>
  <si>
    <t>עלות לחודש</t>
  </si>
  <si>
    <t>חודשי בדיקה</t>
  </si>
  <si>
    <t>מס' מקומות</t>
  </si>
  <si>
    <t>סה"כ נהנים</t>
  </si>
  <si>
    <t>עלות הפיילוט</t>
  </si>
  <si>
    <t>עלות מחקר</t>
  </si>
  <si>
    <t>עלות מעטפת</t>
  </si>
  <si>
    <t>סה"כ עלות</t>
  </si>
  <si>
    <t>קהילה תומכת שייכות ותפקוד</t>
  </si>
  <si>
    <t xml:space="preserve">קידום שייכות </t>
  </si>
  <si>
    <t>הרחבה של הקהילות בברירת מחדל לרמות 1-2</t>
  </si>
  <si>
    <t>סל שירותים מותאם אישית AI</t>
  </si>
  <si>
    <t>קידום שייכות ומניעת התדרדרות</t>
  </si>
  <si>
    <t>הרחבת השירותים דרך הקהילה התומכת למניעה, שייכות ותפקוד</t>
  </si>
  <si>
    <t>צממ דאטה- סיכון להזדנחה והתעללות</t>
  </si>
  <si>
    <t>איתור ומניעה לאוכלוסיות בסיכון</t>
  </si>
  <si>
    <t>תיקוף המודל  בירושלים</t>
  </si>
  <si>
    <t>רווחה, למס, בטלא, ירושלים, אשל, אלכא</t>
  </si>
  <si>
    <t>תומחר כבר</t>
  </si>
  <si>
    <t>צממ שייכות ותפקוד</t>
  </si>
  <si>
    <t>פיתוח אלגוריתם למיפוי, איתור ומניעה</t>
  </si>
  <si>
    <t>פיתוח והתאמת מודל הצממ ליעדי העל של המינהל</t>
  </si>
  <si>
    <t>רווחה, למס, בטלא, ירושלים, אשל, ERI</t>
  </si>
  <si>
    <t>מועדון עצמאות משודרג</t>
  </si>
  <si>
    <t>שירות חברתי מותאם למניעה עבור מקבלי סיעוד ברמות הנמוכות</t>
  </si>
  <si>
    <t>בניית מודל המשדרג את המופת ומשנמך את מרכז היום עבור הרמות הנמוכות ובחינת אפשרות שילוב בלוח וברווחה</t>
  </si>
  <si>
    <t>מועדון חברתי משודרג</t>
  </si>
  <si>
    <t>שייכות חברתית לעצמאיים</t>
  </si>
  <si>
    <t>שדרוג המועדונים למודל מקדם שייכות</t>
  </si>
  <si>
    <t>סה"כ</t>
  </si>
  <si>
    <t>רווחה, בטלא, ירושלים, שלטון מקומי, אשל, EY</t>
  </si>
  <si>
    <t>רווחה, בטלא, משמ, ירושלים, אשל, EY (2 וסטרטאפ</t>
  </si>
  <si>
    <t>רווחה, בטלא, משמ, ירושלים, אשל, ברוקדייל</t>
  </si>
  <si>
    <t>מרכז היום בשתפ קופח</t>
  </si>
  <si>
    <t>חצי שנה</t>
  </si>
  <si>
    <t>ארבעה חודשים</t>
  </si>
  <si>
    <t>שלושה חודשים</t>
  </si>
  <si>
    <t>שבעה חודשים</t>
  </si>
  <si>
    <t>טופס 17 במרכזי יום</t>
  </si>
  <si>
    <t>היתכנות נמוכה</t>
  </si>
  <si>
    <t>הערכת זמן אופטימית לתחילת הרצה</t>
  </si>
  <si>
    <t>קופח, ירושלים, רווחה, בטלא</t>
  </si>
  <si>
    <t>בחינת התועלות לזקן, הגעה למרכז ודחיקת התלות</t>
  </si>
  <si>
    <t>הצלבה בין ממוצע התדרדרות למקבלי השירותים, ומול התערבויות שנעשה בפיילוטים</t>
  </si>
  <si>
    <t>מדידה מניעה בשירותים ובפיילוטים</t>
  </si>
  <si>
    <t>מדידת אימפקט מניעת התדרדרות בשירותים ותועלת למשק</t>
  </si>
  <si>
    <t>ארצי ולפיילוטי</t>
  </si>
  <si>
    <t>רווחה, בטלא, EY, ירושלים ומאוחדת, יעוץ משפטי והוועדות</t>
  </si>
  <si>
    <t>הערכה ראשונית</t>
  </si>
  <si>
    <t>ירושלים של גיל הזהב</t>
  </si>
  <si>
    <t>פיילוטים לקידום שייכות ודחיקת תלות</t>
  </si>
  <si>
    <t>ליבת הפרוייקט</t>
  </si>
  <si>
    <t>אזורים תומכים</t>
  </si>
  <si>
    <t>תעדוף צורך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</si>
</sst>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2" fillId="3" borderId="0" xfId="0" applyFont="1" applyFill="1" applyAlignme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rightToLeft="1" tabSelected="1" zoomScale="130" zoomScaleNormal="130" workbookViewId="0">
      <selection activeCell="A14" sqref="A14"/>
    </sheetView>
  </sheetViews>
  <sheetFormatPr defaultRowHeight="14.25" x14ac:dyDescent="0.2"/>
  <cols>
    <col min="1" max="1" width="11.125" customWidth="1"/>
    <col min="2" max="2" width="6.375" customWidth="1"/>
    <col min="3" max="3" width="17.125" customWidth="1"/>
    <col min="4" max="4" width="21.875" customWidth="1"/>
    <col min="5" max="5" width="31.5" customWidth="1"/>
    <col min="6" max="6" width="12.625" bestFit="1" customWidth="1"/>
    <col min="7" max="7" width="28.25" customWidth="1"/>
    <col min="13" max="13" width="12.375" bestFit="1" customWidth="1"/>
    <col min="14" max="14" width="10.25" customWidth="1"/>
    <col min="15" max="15" width="11.125" customWidth="1"/>
    <col min="16" max="16" width="11.25" bestFit="1" customWidth="1"/>
  </cols>
  <sheetData>
    <row r="1" spans="1:16" ht="18" x14ac:dyDescent="0.25">
      <c r="F1" s="17" t="s">
        <v>56</v>
      </c>
      <c r="G1" s="17"/>
      <c r="H1" s="15"/>
    </row>
    <row r="2" spans="1:16" ht="15.75" x14ac:dyDescent="0.25">
      <c r="F2" s="16" t="s">
        <v>55</v>
      </c>
      <c r="G2" s="16"/>
    </row>
    <row r="4" spans="1:16" x14ac:dyDescent="0.2">
      <c r="M4" s="18" t="s">
        <v>54</v>
      </c>
      <c r="N4" s="18"/>
      <c r="O4" s="18"/>
      <c r="P4" s="18"/>
    </row>
    <row r="5" spans="1:16" ht="45" x14ac:dyDescent="0.2">
      <c r="A5" s="14" t="s">
        <v>59</v>
      </c>
      <c r="B5" s="14" t="s">
        <v>0</v>
      </c>
      <c r="C5" s="14" t="s">
        <v>1</v>
      </c>
      <c r="D5" s="14" t="s">
        <v>2</v>
      </c>
      <c r="E5" s="14" t="s">
        <v>3</v>
      </c>
      <c r="F5" s="14" t="s">
        <v>46</v>
      </c>
      <c r="G5" s="14" t="s">
        <v>4</v>
      </c>
      <c r="H5" s="14" t="s">
        <v>5</v>
      </c>
      <c r="I5" s="14" t="s">
        <v>6</v>
      </c>
      <c r="J5" s="14" t="s">
        <v>7</v>
      </c>
      <c r="K5" s="14" t="s">
        <v>8</v>
      </c>
      <c r="L5" s="14" t="s">
        <v>9</v>
      </c>
      <c r="M5" s="14" t="s">
        <v>10</v>
      </c>
      <c r="N5" s="14" t="s">
        <v>11</v>
      </c>
      <c r="O5" s="14" t="s">
        <v>12</v>
      </c>
      <c r="P5" s="14" t="s">
        <v>13</v>
      </c>
    </row>
    <row r="6" spans="1:16" ht="30.75" customHeight="1" x14ac:dyDescent="0.2">
      <c r="A6" s="27" t="s">
        <v>57</v>
      </c>
      <c r="B6" s="7">
        <v>1</v>
      </c>
      <c r="C6" s="2" t="s">
        <v>14</v>
      </c>
      <c r="D6" s="4" t="s">
        <v>15</v>
      </c>
      <c r="E6" s="3" t="s">
        <v>16</v>
      </c>
      <c r="F6" s="7" t="s">
        <v>42</v>
      </c>
      <c r="G6" s="3" t="s">
        <v>36</v>
      </c>
      <c r="H6" s="8">
        <v>500</v>
      </c>
      <c r="I6" s="8">
        <f>0.5*60*4.3</f>
        <v>129</v>
      </c>
      <c r="J6" s="8">
        <v>8</v>
      </c>
      <c r="K6" s="8">
        <v>4</v>
      </c>
      <c r="L6" s="8">
        <f>H6*K6</f>
        <v>2000</v>
      </c>
      <c r="M6" s="9">
        <f>H6*I6*J6*K6</f>
        <v>2064000</v>
      </c>
      <c r="N6" s="9">
        <v>250000</v>
      </c>
      <c r="O6" s="9">
        <v>200000</v>
      </c>
      <c r="P6" s="11">
        <f>M6+N6+O6</f>
        <v>2514000</v>
      </c>
    </row>
    <row r="7" spans="1:16" ht="30" x14ac:dyDescent="0.2">
      <c r="A7" s="27"/>
      <c r="B7" s="7">
        <v>2</v>
      </c>
      <c r="C7" s="25" t="s">
        <v>17</v>
      </c>
      <c r="D7" s="26" t="s">
        <v>18</v>
      </c>
      <c r="E7" s="19" t="s">
        <v>19</v>
      </c>
      <c r="F7" s="20" t="s">
        <v>40</v>
      </c>
      <c r="G7" s="19" t="s">
        <v>37</v>
      </c>
      <c r="H7" s="21">
        <v>200</v>
      </c>
      <c r="I7" s="21">
        <f>(60*2*4.3)-I6</f>
        <v>387</v>
      </c>
      <c r="J7" s="21">
        <v>10</v>
      </c>
      <c r="K7" s="21">
        <v>5</v>
      </c>
      <c r="L7" s="21">
        <f t="shared" ref="L7:L12" si="0">H7*K7</f>
        <v>1000</v>
      </c>
      <c r="M7" s="22">
        <f>H7*I7*J7*K7</f>
        <v>3870000</v>
      </c>
      <c r="N7" s="23">
        <v>450000</v>
      </c>
      <c r="O7" s="23">
        <v>2500000</v>
      </c>
      <c r="P7" s="24">
        <f>M7+N7+O7</f>
        <v>6820000</v>
      </c>
    </row>
    <row r="8" spans="1:16" ht="28.5" customHeight="1" x14ac:dyDescent="0.2">
      <c r="A8" s="28" t="s">
        <v>58</v>
      </c>
      <c r="B8" s="7">
        <v>3</v>
      </c>
      <c r="C8" s="2" t="s">
        <v>50</v>
      </c>
      <c r="D8" s="13" t="s">
        <v>51</v>
      </c>
      <c r="E8" s="3" t="s">
        <v>49</v>
      </c>
      <c r="F8" s="7" t="s">
        <v>41</v>
      </c>
      <c r="G8" s="4" t="s">
        <v>53</v>
      </c>
      <c r="H8" s="8" t="s">
        <v>52</v>
      </c>
      <c r="I8" s="8"/>
      <c r="J8" s="8"/>
      <c r="K8" s="8"/>
      <c r="L8" s="8"/>
      <c r="M8" s="9"/>
      <c r="N8" s="10">
        <v>500000</v>
      </c>
      <c r="O8" s="10"/>
      <c r="P8" s="11" t="s">
        <v>24</v>
      </c>
    </row>
    <row r="9" spans="1:16" ht="33.75" customHeight="1" x14ac:dyDescent="0.2">
      <c r="A9" s="28"/>
      <c r="B9" s="7">
        <v>4</v>
      </c>
      <c r="C9" s="2" t="s">
        <v>20</v>
      </c>
      <c r="D9" s="4" t="s">
        <v>21</v>
      </c>
      <c r="E9" s="1" t="s">
        <v>22</v>
      </c>
      <c r="F9" s="7" t="s">
        <v>40</v>
      </c>
      <c r="G9" s="1" t="s">
        <v>23</v>
      </c>
      <c r="H9" s="8">
        <v>400</v>
      </c>
      <c r="I9" s="8"/>
      <c r="J9" s="8"/>
      <c r="K9" s="8"/>
      <c r="L9" s="8">
        <f t="shared" si="0"/>
        <v>0</v>
      </c>
      <c r="M9" s="9">
        <f t="shared" ref="M9:M12" si="1">H9*I9*J9*K9</f>
        <v>0</v>
      </c>
      <c r="N9" s="10"/>
      <c r="O9" s="10"/>
      <c r="P9" s="11" t="s">
        <v>24</v>
      </c>
    </row>
    <row r="10" spans="1:16" ht="33.75" customHeight="1" x14ac:dyDescent="0.2">
      <c r="A10" s="28"/>
      <c r="B10" s="7">
        <v>5</v>
      </c>
      <c r="C10" s="2" t="s">
        <v>25</v>
      </c>
      <c r="D10" s="4" t="s">
        <v>26</v>
      </c>
      <c r="E10" s="4" t="s">
        <v>27</v>
      </c>
      <c r="F10" s="7" t="s">
        <v>43</v>
      </c>
      <c r="G10" s="4" t="s">
        <v>28</v>
      </c>
      <c r="H10" s="8">
        <v>600</v>
      </c>
      <c r="I10" s="8"/>
      <c r="J10" s="8"/>
      <c r="K10" s="8"/>
      <c r="L10" s="8">
        <f t="shared" si="0"/>
        <v>0</v>
      </c>
      <c r="M10" s="9">
        <f t="shared" si="1"/>
        <v>0</v>
      </c>
      <c r="N10" s="10"/>
      <c r="O10" s="10"/>
      <c r="P10" s="11">
        <v>2000000</v>
      </c>
    </row>
    <row r="11" spans="1:16" ht="42.75" customHeight="1" x14ac:dyDescent="0.2">
      <c r="A11" s="28" t="s">
        <v>45</v>
      </c>
      <c r="B11" s="7">
        <v>6</v>
      </c>
      <c r="C11" s="2" t="s">
        <v>29</v>
      </c>
      <c r="D11" s="4" t="s">
        <v>30</v>
      </c>
      <c r="E11" s="3" t="s">
        <v>31</v>
      </c>
      <c r="F11" s="7" t="s">
        <v>40</v>
      </c>
      <c r="G11" s="4" t="s">
        <v>38</v>
      </c>
      <c r="H11" s="8">
        <v>30</v>
      </c>
      <c r="I11" s="8">
        <f>947-516</f>
        <v>431</v>
      </c>
      <c r="J11" s="8">
        <v>6</v>
      </c>
      <c r="K11" s="8">
        <v>10</v>
      </c>
      <c r="L11" s="8">
        <f t="shared" si="0"/>
        <v>300</v>
      </c>
      <c r="M11" s="9">
        <f t="shared" si="1"/>
        <v>775800</v>
      </c>
      <c r="N11" s="10">
        <v>200000</v>
      </c>
      <c r="O11" s="10">
        <v>300000</v>
      </c>
      <c r="P11" s="11">
        <f t="shared" ref="P11:P12" si="2">M11+N11+O11</f>
        <v>1275800</v>
      </c>
    </row>
    <row r="12" spans="1:16" ht="15" x14ac:dyDescent="0.25">
      <c r="A12" s="28"/>
      <c r="B12" s="7">
        <v>7</v>
      </c>
      <c r="C12" s="6" t="s">
        <v>32</v>
      </c>
      <c r="D12" s="5" t="s">
        <v>33</v>
      </c>
      <c r="E12" s="1" t="s">
        <v>34</v>
      </c>
      <c r="F12" s="7" t="s">
        <v>41</v>
      </c>
      <c r="G12" s="1"/>
      <c r="H12" s="8">
        <v>40</v>
      </c>
      <c r="I12" s="8">
        <v>140</v>
      </c>
      <c r="J12" s="8">
        <v>6</v>
      </c>
      <c r="K12" s="8">
        <v>20</v>
      </c>
      <c r="L12" s="8">
        <f t="shared" si="0"/>
        <v>800</v>
      </c>
      <c r="M12" s="9">
        <f t="shared" si="1"/>
        <v>672000</v>
      </c>
      <c r="N12" s="8">
        <v>100000</v>
      </c>
      <c r="O12" s="8">
        <v>0</v>
      </c>
      <c r="P12" s="11">
        <f t="shared" si="2"/>
        <v>772000</v>
      </c>
    </row>
    <row r="13" spans="1:16" ht="15" x14ac:dyDescent="0.25">
      <c r="A13" s="28"/>
      <c r="B13" s="12">
        <v>8</v>
      </c>
      <c r="C13" s="1" t="s">
        <v>44</v>
      </c>
      <c r="D13" s="6" t="s">
        <v>39</v>
      </c>
      <c r="E13" s="1" t="s">
        <v>48</v>
      </c>
      <c r="F13" s="7" t="s">
        <v>40</v>
      </c>
      <c r="G13" s="1" t="s">
        <v>47</v>
      </c>
      <c r="H13" s="8"/>
      <c r="I13" s="8"/>
      <c r="J13" s="8"/>
      <c r="K13" s="8"/>
      <c r="L13" s="8"/>
      <c r="M13" s="9"/>
      <c r="N13" s="8"/>
      <c r="O13" s="8"/>
      <c r="P13" s="11"/>
    </row>
    <row r="14" spans="1:16" x14ac:dyDescent="0.2">
      <c r="B14" s="1">
        <v>9</v>
      </c>
      <c r="C14" s="1" t="s">
        <v>35</v>
      </c>
      <c r="D14" s="1"/>
      <c r="E14" s="1"/>
      <c r="F14" s="1"/>
      <c r="G14" s="1"/>
      <c r="H14" s="8"/>
      <c r="I14" s="8"/>
      <c r="J14" s="8"/>
      <c r="K14" s="8"/>
      <c r="L14" s="8">
        <f>SUM(L6:L12)</f>
        <v>4100</v>
      </c>
      <c r="M14" s="11">
        <f>SUM(M6:M12)</f>
        <v>7381800</v>
      </c>
      <c r="N14" s="11">
        <f>SUM(N6:N12)</f>
        <v>1500000</v>
      </c>
      <c r="O14" s="11">
        <f>SUM(O6:O12)</f>
        <v>3000000</v>
      </c>
      <c r="P14" s="11">
        <f>SUM(P6:P12)</f>
        <v>13381800</v>
      </c>
    </row>
  </sheetData>
  <mergeCells count="6">
    <mergeCell ref="M4:P4"/>
    <mergeCell ref="A11:A13"/>
    <mergeCell ref="F2:G2"/>
    <mergeCell ref="F1:G1"/>
    <mergeCell ref="A6:A7"/>
    <mergeCell ref="A8:A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טיוטת פיילוטים רווחה-בטלא</vt:lpstr>
    </vt:vector>
  </TitlesOfParts>
  <Company>Molsa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אביעד יצחקי</dc:creator>
  <cp:lastModifiedBy>אביעד יצחקי</cp:lastModifiedBy>
  <dcterms:created xsi:type="dcterms:W3CDTF">2023-07-03T18:59:56Z</dcterms:created>
  <dcterms:modified xsi:type="dcterms:W3CDTF">2024-02-25T19:34:22Z</dcterms:modified>
</cp:coreProperties>
</file>