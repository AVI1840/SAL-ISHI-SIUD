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mo\Desktop\"/>
    </mc:Choice>
  </mc:AlternateContent>
  <xr:revisionPtr revIDLastSave="0" documentId="13_ncr:1_{B1E3E5BE-8FF2-4F6A-9927-B6484B6608A5}" xr6:coauthVersionLast="47" xr6:coauthVersionMax="47" xr10:uidLastSave="{00000000-0000-0000-0000-000000000000}"/>
  <bookViews>
    <workbookView xWindow="-108" yWindow="-108" windowWidth="23256" windowHeight="12456" xr2:uid="{7C859D10-2D0A-4E64-8C50-E75C2E7433C9}"/>
  </bookViews>
  <sheets>
    <sheet name="תמחיר MVP" sheetId="1" r:id="rId1"/>
    <sheet name="גאנ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D43" i="1"/>
  <c r="D57" i="1"/>
  <c r="D50" i="1"/>
  <c r="D37" i="1"/>
  <c r="D41" i="1"/>
  <c r="D32" i="1"/>
  <c r="D28" i="1"/>
  <c r="D24" i="1"/>
  <c r="D16" i="1"/>
  <c r="B16" i="1"/>
  <c r="D42" i="1" l="1"/>
  <c r="E16" i="1"/>
  <c r="C16" i="1"/>
  <c r="F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tc={7277F87C-A808-4D24-8525-AB9A64DF6242}</author>
    <author>tc={96CF8C80-2CBE-48D1-A05B-E13C8C129B4B}</author>
  </authors>
  <commentList>
    <comment ref="C9" authorId="0" shapeId="0" xr:uid="{7277F87C-A808-4D24-8525-AB9A64DF6242}">
      <text>
        <t>[Threaded comment]
Your version of Excel allows you to read this threaded comment; however, any edits to it will get removed if the file is opened in a newer version of Excel. Learn more: https://go.microsoft.com/fwlink/?linkid=870924
Comment:
    במשותף עם הרשות</t>
      </text>
    </comment>
    <comment ref="D10" authorId="1" shapeId="0" xr:uid="{96CF8C80-2CBE-48D1-A05B-E13C8C129B4B}">
      <text>
        <t>[Threaded comment]
Your version of Excel allows you to read this threaded comment; however, any edits to it will get removed if the file is opened in a newer version of Excel. Learn more: https://go.microsoft.com/fwlink/?linkid=870924
Comment:
    עם ערוצי השיווק של הרשות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tc={BC788185-F42E-4176-A4CB-DE8C4245F165}</author>
    <author>tc={BF07B592-143E-4923-B612-2AF0CB84A5A7}</author>
  </authors>
  <commentList>
    <comment ref="AY49" authorId="0" shapeId="0" xr:uid="{BC788185-F42E-4176-A4CB-DE8C4245F165}">
      <text>
        <t>[Threaded comment]
Your version of Excel allows you to read this threaded comment; however, any edits to it will get removed if the file is opened in a newer version of Excel. Learn more: https://go.microsoft.com/fwlink/?linkid=870924
Comment:
    תלוי אם הפלטפורמה פועלת ברצף לכל אורך התקופה או מתחילה עכשיו</t>
      </text>
    </comment>
    <comment ref="AY51" authorId="1" shapeId="0" xr:uid="{BF07B592-143E-4923-B612-2AF0CB84A5A7}">
      <text>
        <t>[Threaded comment]
Your version of Excel allows you to read this threaded comment; however, any edits to it will get removed if the file is opened in a newer version of Excel. Learn more: https://go.microsoft.com/fwlink/?linkid=870924
Comment:
    תלוי אם הפלטפורמה פועלת ברצף לכל אורך התקופה או מתחילה עכשיו</t>
      </text>
    </comment>
  </commentList>
</comments>
</file>

<file path=xl/sharedStrings.xml><?xml version="1.0" encoding="utf-8"?>
<sst xmlns="http://schemas.openxmlformats.org/spreadsheetml/2006/main" count="208" uniqueCount="176">
  <si>
    <t>תרגום אינטייק ל ICF</t>
  </si>
  <si>
    <t>הוספת משתמש חדש</t>
  </si>
  <si>
    <t>פיצר העלאת אינטק</t>
  </si>
  <si>
    <t>כתיבת שאלון לספקים</t>
  </si>
  <si>
    <t>תחזוקה</t>
  </si>
  <si>
    <t>מקצועי</t>
  </si>
  <si>
    <t xml:space="preserve">פיתוח </t>
  </si>
  <si>
    <t>בקרת איכות על מיפוי שירותים עד 500</t>
  </si>
  <si>
    <t xml:space="preserve">ניהול </t>
  </si>
  <si>
    <t>ניהול</t>
  </si>
  <si>
    <t>משך - שלושה חודשים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</si>
  <si>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</si>
  <si>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</si>
  <si>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</si>
  <si>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</si>
  <si>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</si>
  <si>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</si>
  <si>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</si>
  <si>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</si>
  <si>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</si>
  <si>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</si>
  <si>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</si>
  <si>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</si>
  <si>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קבלת אינטייקים</t>
  </si>
  <si>
    <t>תרגום אינטייק ל- ICF</t>
  </si>
  <si>
    <t xml:space="preserve">הוספת משתמש חדש </t>
  </si>
  <si>
    <t xml:space="preserve">פיצ'ר העלאת אינטייק </t>
  </si>
  <si>
    <t>פנייה לספקים והעברת שאלון</t>
  </si>
  <si>
    <t xml:space="preserve">בקרת איכות על מיפוי שירותים </t>
  </si>
  <si>
    <t xml:space="preserve">תחזוקה </t>
  </si>
  <si>
    <t>התאמת האלגוריתם</t>
  </si>
  <si>
    <t>התנסות במערכת - צוות בודק תוצאות</t>
  </si>
  <si>
    <t>התאמות לאלגוריתם ולמודל המיפוי</t>
  </si>
  <si>
    <t>קטלוג והמלצות ייעודות לשירותים</t>
  </si>
  <si>
    <t>קטלוג והמלצות ייעודיות לשירותים</t>
  </si>
  <si>
    <t xml:space="preserve">סה"כ לא כולל מע"מ </t>
  </si>
  <si>
    <t xml:space="preserve">סיכום שלב </t>
  </si>
  <si>
    <t>MVP</t>
  </si>
  <si>
    <t>שלב א</t>
  </si>
  <si>
    <t>הפעלת הפלטפורמה ל - 500 משתתפים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</si>
  <si>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</si>
  <si>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</si>
  <si>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</si>
  <si>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</si>
  <si>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</si>
  <si>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</si>
  <si>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</si>
  <si>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</si>
  <si>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</si>
  <si>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</si>
  <si>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</si>
  <si>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</si>
  <si>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</si>
  <si>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</si>
  <si>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</si>
  <si>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</si>
  <si>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</si>
  <si>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</si>
  <si>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</si>
  <si>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</si>
  <si>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</si>
  <si>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</si>
  <si>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</si>
  <si>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</si>
  <si>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</si>
  <si>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</si>
  <si>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</si>
  <si>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</si>
  <si>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</si>
  <si>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</si>
  <si>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</si>
  <si>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</si>
  <si>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</si>
  <si>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</si>
  <si>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</si>
  <si>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</si>
  <si>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</si>
  <si>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</si>
  <si>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</si>
  <si>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</si>
  <si>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</si>
  <si>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</si>
  <si>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</si>
  <si>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</si>
  <si>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</si>
  <si>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</si>
  <si>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</si>
  <si>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</si>
  <si>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</si>
  <si>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</si>
  <si>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</si>
  <si>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</si>
  <si>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</si>
  <si>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</si>
  <si>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</si>
  <si>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</si>
  <si>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</si>
  <si>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</si>
  <si>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</si>
  <si>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</si>
  <si>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</si>
  <si>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</si>
  <si>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</si>
  <si>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</si>
  <si>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 xml:space="preserve">תפעול סליקה באתר </t>
  </si>
  <si>
    <t xml:space="preserve">הכשרות אנשי מקצוע </t>
  </si>
  <si>
    <t xml:space="preserve">מילוי וניתוח משובים </t>
  </si>
  <si>
    <t xml:space="preserve">שירות לקוחות </t>
  </si>
  <si>
    <t>הסכמי ספקים</t>
  </si>
  <si>
    <t xml:space="preserve">תפעולי </t>
  </si>
  <si>
    <t xml:space="preserve">שלב ב </t>
  </si>
  <si>
    <t>בניית וניתוח משוב</t>
  </si>
  <si>
    <t>קבוצות מיקוד כולל ניתוח נתונים</t>
  </si>
  <si>
    <t>התאמות לממשק משתמש קצה ואיש מקצוע</t>
  </si>
  <si>
    <t xml:space="preserve">אבטחת מידע </t>
  </si>
  <si>
    <t>בקרת איכות על מיפוי שירותים עד 5000</t>
  </si>
  <si>
    <t xml:space="preserve">הכשרות צוותי מדינה </t>
  </si>
  <si>
    <t xml:space="preserve">התאמות ממשק נוספות </t>
  </si>
  <si>
    <t>שלב ג</t>
  </si>
  <si>
    <t>הכשרות אנשי מקצוע - שלוש הכשרות</t>
  </si>
  <si>
    <t xml:space="preserve">קבלת מידע מבטל ואינטייקים 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</si>
  <si>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</si>
  <si>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</si>
  <si>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</si>
  <si>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</si>
  <si>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</si>
  <si>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</si>
  <si>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</si>
  <si>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</si>
  <si>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</si>
  <si>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</si>
  <si>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</si>
  <si>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</si>
  <si>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</si>
  <si>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</si>
  <si>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</si>
  <si>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</si>
  <si>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</si>
  <si>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</si>
  <si>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קשרי ספקים - התקשרות ותפעול</t>
  </si>
  <si>
    <t>התאמות לוח ניהול</t>
  </si>
  <si>
    <t xml:space="preserve">קבוצה ייעודית לאפיון לוחות ניהול </t>
  </si>
  <si>
    <t xml:space="preserve">הכנת חומרי הדרכה וסרטון למשתמשים </t>
  </si>
  <si>
    <t>קשרי ספקים - התקשרות ו onboarding</t>
  </si>
  <si>
    <t>סה"כ לא כולל מע"מ</t>
  </si>
  <si>
    <t>משך - שבעה חודשים</t>
  </si>
  <si>
    <t xml:space="preserve">ממשק </t>
  </si>
  <si>
    <t>הכשרה</t>
  </si>
  <si>
    <t>הכשרות צוותים - שלושה ימים, שלוש פעמים</t>
  </si>
  <si>
    <t>חומרי הדרכה וסרטון שימוש לאוכלוסייה</t>
  </si>
  <si>
    <t>מיפוי שירותים</t>
  </si>
  <si>
    <t>התאמות לאלגוריתם ומודל המיפוי</t>
  </si>
  <si>
    <t>תפעול</t>
  </si>
  <si>
    <t>העברת שאלוני ספקים</t>
  </si>
  <si>
    <t>קשרי ספקים - התקשרות, שוטף</t>
  </si>
  <si>
    <t>תפעול חשבונאי</t>
  </si>
  <si>
    <t>שוטף</t>
  </si>
  <si>
    <t xml:space="preserve">למידה והתאמות </t>
  </si>
  <si>
    <t>בניית וניתוח משובים - שימושיות, מדדי תפקוד</t>
  </si>
  <si>
    <t xml:space="preserve">פיילוט לפי מודולות </t>
  </si>
  <si>
    <t xml:space="preserve">תחזוקה ותמיכה טכנית </t>
  </si>
  <si>
    <t>אבטחת מידע</t>
  </si>
  <si>
    <t>בנק שעות להתאמות מתמשך</t>
  </si>
  <si>
    <t>שלוש קבוצות מיקוד (10 כ"א) כולל ניתוח נתונים</t>
  </si>
  <si>
    <t xml:space="preserve"> </t>
  </si>
  <si>
    <t xml:space="preserve">התאמות ראשוניות ממשק איש מקצוע, ממשק משתמש קצה, תוכנית שירותים, סליקה </t>
  </si>
  <si>
    <t>מחיר</t>
  </si>
  <si>
    <t xml:space="preserve">הערות </t>
  </si>
  <si>
    <t>יש להסכים על היקף מראש</t>
  </si>
  <si>
    <t>בהתאם לדרישות והצעת מחיר</t>
  </si>
  <si>
    <t>סה"כ לא כולל מע"מ (לא כולל תפעול)</t>
  </si>
  <si>
    <t xml:space="preserve">סיכום ואפיון </t>
  </si>
  <si>
    <t>סיכום הפיילוט - כתיבה, הצגה</t>
  </si>
  <si>
    <t xml:space="preserve">אפיון </t>
  </si>
  <si>
    <t>סה"כ</t>
  </si>
  <si>
    <t>בצ"מ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</si>
</sst>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/>
    <xf numFmtId="0" fontId="0" fillId="2" borderId="1" xfId="0" applyFill="1" applyBorder="1"/>
    <xf numFmtId="164" fontId="0" fillId="0" borderId="1" xfId="1" applyNumberFormat="1" applyFont="1" applyBorder="1"/>
    <xf numFmtId="164" fontId="0" fillId="0" borderId="1" xfId="1" applyNumberFormat="1" applyFont="1" applyFill="1" applyBorder="1"/>
    <xf numFmtId="0" fontId="3" fillId="0" borderId="1" xfId="0" applyFont="1" applyBorder="1" applyAlignment="1">
      <alignment horizontal="right"/>
    </xf>
    <xf numFmtId="43" fontId="2" fillId="0" borderId="0" xfId="0" applyNumberFormat="1" applyFont="1"/>
    <xf numFmtId="3" fontId="0" fillId="0" borderId="1" xfId="0" applyNumberFormat="1" applyBorder="1"/>
    <xf numFmtId="0" fontId="0" fillId="3" borderId="1" xfId="0" applyFill="1" applyBorder="1"/>
    <xf numFmtId="164" fontId="2" fillId="0" borderId="1" xfId="0" applyNumberFormat="1" applyFont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right"/>
    </xf>
    <xf numFmtId="0" fontId="0" fillId="0" borderId="6" xfId="0" applyBorder="1"/>
    <xf numFmtId="0" fontId="0" fillId="0" borderId="5" xfId="0" applyBorder="1"/>
    <xf numFmtId="0" fontId="3" fillId="0" borderId="5" xfId="0" applyFont="1" applyBorder="1"/>
    <xf numFmtId="0" fontId="0" fillId="5" borderId="6" xfId="0" applyFill="1" applyBorder="1"/>
    <xf numFmtId="0" fontId="0" fillId="0" borderId="7" xfId="0" applyBorder="1"/>
    <xf numFmtId="0" fontId="0" fillId="0" borderId="8" xfId="0" applyBorder="1"/>
    <xf numFmtId="0" fontId="0" fillId="5" borderId="8" xfId="0" applyFill="1" applyBorder="1"/>
    <xf numFmtId="0" fontId="0" fillId="0" borderId="9" xfId="0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3" fontId="6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64" fontId="0" fillId="0" borderId="1" xfId="1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ran ran" id="{AADD6F0B-D199-4622-B9DE-53C2559B145F}" userId="fe9393a5196dee97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4-12-01T11:33:42.15" personId="{AADD6F0B-D199-4622-B9DE-53C2559B145F}" id="{7277F87C-A808-4D24-8525-AB9A64DF6242}">
    <text>במשותף עם הרשות</text>
  </threadedComment>
  <threadedComment ref="D10" dT="2024-12-01T11:33:31.16" personId="{AADD6F0B-D199-4622-B9DE-53C2559B145F}" id="{96CF8C80-2CBE-48D1-A05B-E13C8C129B4B}">
    <text>עם ערוצי השיווק של הרשות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Y49" dT="2024-12-01T16:12:45.29" personId="{AADD6F0B-D199-4622-B9DE-53C2559B145F}" id="{BC788185-F42E-4176-A4CB-DE8C4245F165}">
    <text>תלוי אם הפלטפורמה פועלת ברצף לכל אורך התקופה או מתחילה עכשיו</text>
  </threadedComment>
  <threadedComment ref="AY51" dT="2024-12-01T16:12:45.29" personId="{AADD6F0B-D199-4622-B9DE-53C2559B145F}" id="{BF07B592-143E-4923-B612-2AF0CB84A5A7}">
    <text>תלוי אם הפלטפורמה פועלת ברצף לכל אורך התקופה או מתחילה עכשיו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8FEA-2E0F-4731-BA4D-8E6C8F3DA839}">
  <dimension ref="A1:Q60"/>
  <sheetViews>
    <sheetView tabSelected="1" workbookViewId="0">
      <selection activeCell="C60" sqref="C60"/>
    </sheetView>
  </sheetViews>
  <sheetFormatPr defaultRowHeight="14.4" x14ac:dyDescent="0.3"/>
  <cols>
    <col min="1" max="1" width="36.21875" bestFit="1" customWidth="1"/>
    <col min="2" max="2" width="15.88671875" customWidth="1"/>
    <col min="3" max="4" width="13.77734375" customWidth="1"/>
    <col min="5" max="5" width="10.33203125" bestFit="1" customWidth="1"/>
    <col min="6" max="6" width="11.33203125" bestFit="1" customWidth="1"/>
    <col min="7" max="7" width="12.33203125" bestFit="1" customWidth="1"/>
    <col min="8" max="9" width="11.6640625" bestFit="1" customWidth="1"/>
    <col min="10" max="10" width="11.6640625" customWidth="1"/>
  </cols>
  <sheetData>
    <row r="1" spans="1:17" x14ac:dyDescent="0.3">
      <c r="C1" s="35" t="s">
        <v>10</v>
      </c>
      <c r="D1" s="35"/>
      <c r="E1" s="35"/>
    </row>
    <row r="3" spans="1:17" x14ac:dyDescent="0.3">
      <c r="A3" s="7" t="s">
        <v>37</v>
      </c>
      <c r="B3" s="3" t="s">
        <v>6</v>
      </c>
      <c r="C3" s="3" t="s">
        <v>5</v>
      </c>
      <c r="D3" s="3" t="s">
        <v>109</v>
      </c>
      <c r="E3" s="3" t="s">
        <v>9</v>
      </c>
      <c r="F3" s="3" t="s">
        <v>174</v>
      </c>
    </row>
    <row r="4" spans="1:17" x14ac:dyDescent="0.3">
      <c r="A4" s="3" t="s">
        <v>0</v>
      </c>
      <c r="B4" s="36">
        <v>50000</v>
      </c>
      <c r="C4" s="5"/>
      <c r="D4" s="5"/>
      <c r="E4" s="5"/>
      <c r="F4" s="5"/>
      <c r="G4" s="1"/>
    </row>
    <row r="5" spans="1:17" x14ac:dyDescent="0.3">
      <c r="A5" s="3" t="s">
        <v>32</v>
      </c>
      <c r="B5" s="37"/>
      <c r="C5" s="5"/>
      <c r="D5" s="5"/>
      <c r="E5" s="5"/>
      <c r="F5" s="5"/>
      <c r="G5" s="1"/>
    </row>
    <row r="6" spans="1:17" x14ac:dyDescent="0.3">
      <c r="A6" s="3" t="s">
        <v>1</v>
      </c>
      <c r="B6" s="37"/>
      <c r="C6" s="5"/>
      <c r="D6" s="5"/>
      <c r="E6" s="5"/>
      <c r="F6" s="5"/>
      <c r="G6" s="1"/>
    </row>
    <row r="7" spans="1:17" x14ac:dyDescent="0.3">
      <c r="A7" s="3" t="s">
        <v>2</v>
      </c>
      <c r="B7" s="37"/>
      <c r="C7" s="5"/>
      <c r="D7" s="5"/>
      <c r="E7" s="5"/>
      <c r="F7" s="5"/>
      <c r="G7" s="1"/>
    </row>
    <row r="8" spans="1:17" x14ac:dyDescent="0.3">
      <c r="A8" s="3" t="s">
        <v>33</v>
      </c>
      <c r="B8" s="37"/>
      <c r="C8" s="5"/>
      <c r="D8" s="5"/>
      <c r="E8" s="5"/>
      <c r="F8" s="5"/>
      <c r="G8" s="1"/>
      <c r="H8" s="1"/>
      <c r="I8" s="1"/>
      <c r="J8" s="1"/>
    </row>
    <row r="9" spans="1:17" x14ac:dyDescent="0.3">
      <c r="A9" s="3" t="s">
        <v>3</v>
      </c>
      <c r="B9" s="5"/>
      <c r="C9" s="5">
        <v>1000</v>
      </c>
      <c r="D9" s="5"/>
      <c r="E9" s="5"/>
      <c r="F9" s="5"/>
      <c r="G9" s="1"/>
      <c r="I9" s="1"/>
      <c r="J9" s="1"/>
    </row>
    <row r="10" spans="1:17" x14ac:dyDescent="0.3">
      <c r="A10" s="3" t="s">
        <v>153</v>
      </c>
      <c r="B10" s="5"/>
      <c r="C10" s="5"/>
      <c r="D10" s="5">
        <v>2000</v>
      </c>
      <c r="E10" s="5"/>
      <c r="F10" s="5"/>
      <c r="G10" s="1"/>
      <c r="H10" s="1"/>
      <c r="I10" s="1"/>
      <c r="J10" s="1"/>
    </row>
    <row r="11" spans="1:17" x14ac:dyDescent="0.3">
      <c r="A11" s="3" t="s">
        <v>143</v>
      </c>
      <c r="B11" s="5"/>
      <c r="C11" s="5"/>
      <c r="D11" s="6">
        <v>5000</v>
      </c>
      <c r="E11" s="5"/>
      <c r="F11" s="5"/>
      <c r="G11" s="1"/>
      <c r="H11" s="1"/>
      <c r="I11" s="1"/>
      <c r="J11" s="1"/>
      <c r="Q11" t="s">
        <v>164</v>
      </c>
    </row>
    <row r="12" spans="1:17" x14ac:dyDescent="0.3">
      <c r="A12" s="3" t="s">
        <v>7</v>
      </c>
      <c r="B12" s="5"/>
      <c r="C12" s="5">
        <v>20000</v>
      </c>
      <c r="D12" s="5"/>
      <c r="E12" s="5"/>
      <c r="F12" s="5"/>
      <c r="G12" s="1"/>
      <c r="H12" s="1"/>
      <c r="I12" s="1"/>
    </row>
    <row r="13" spans="1:17" x14ac:dyDescent="0.3">
      <c r="A13" s="3" t="s">
        <v>8</v>
      </c>
      <c r="B13" s="5"/>
      <c r="C13" s="5"/>
      <c r="D13" s="5"/>
      <c r="E13" s="6">
        <v>30000</v>
      </c>
      <c r="F13" s="5"/>
      <c r="G13" s="1"/>
      <c r="H13" s="1"/>
      <c r="I13" s="1"/>
      <c r="J13" s="1"/>
    </row>
    <row r="14" spans="1:17" x14ac:dyDescent="0.3">
      <c r="A14" s="3" t="s">
        <v>111</v>
      </c>
      <c r="B14" s="5"/>
      <c r="C14" s="5">
        <v>2000</v>
      </c>
      <c r="D14" s="5"/>
      <c r="E14" s="6"/>
      <c r="F14" s="5"/>
      <c r="G14" s="1"/>
      <c r="H14" s="1"/>
      <c r="I14" s="1"/>
      <c r="J14" s="1"/>
    </row>
    <row r="15" spans="1:17" x14ac:dyDescent="0.3">
      <c r="A15" s="3" t="s">
        <v>4</v>
      </c>
      <c r="B15" s="5">
        <v>2000</v>
      </c>
      <c r="C15" s="3"/>
      <c r="D15" s="3"/>
      <c r="E15" s="5"/>
      <c r="F15" s="5"/>
      <c r="G15" s="1"/>
      <c r="H15" s="1"/>
      <c r="I15" s="1"/>
      <c r="J15" s="1"/>
    </row>
    <row r="16" spans="1:17" ht="16.2" x14ac:dyDescent="0.45">
      <c r="A16" s="3" t="s">
        <v>35</v>
      </c>
      <c r="B16" s="11">
        <f>SUM(B4:B15)</f>
        <v>52000</v>
      </c>
      <c r="C16" s="11">
        <f>SUM(C4:C15)</f>
        <v>23000</v>
      </c>
      <c r="D16" s="11">
        <f>SUM(D4:D15)</f>
        <v>7000</v>
      </c>
      <c r="E16" s="11">
        <f>SUM(E4:E15)</f>
        <v>30000</v>
      </c>
      <c r="F16" s="11">
        <f>SUM(B16:E16)</f>
        <v>112000</v>
      </c>
      <c r="G16" s="2"/>
    </row>
    <row r="17" spans="1:7" ht="16.2" x14ac:dyDescent="0.45">
      <c r="B17" s="8"/>
      <c r="C17" s="8"/>
      <c r="D17" s="8"/>
      <c r="E17" s="8"/>
      <c r="F17" s="8"/>
      <c r="G17" s="2"/>
    </row>
    <row r="18" spans="1:7" x14ac:dyDescent="0.3">
      <c r="C18" s="35" t="s">
        <v>145</v>
      </c>
      <c r="D18" s="35"/>
      <c r="E18" s="35"/>
    </row>
    <row r="19" spans="1:7" x14ac:dyDescent="0.3">
      <c r="C19" s="26"/>
      <c r="D19" s="26"/>
      <c r="E19" s="26"/>
    </row>
    <row r="20" spans="1:7" x14ac:dyDescent="0.3">
      <c r="A20" s="27" t="s">
        <v>159</v>
      </c>
      <c r="B20" s="3" t="s">
        <v>166</v>
      </c>
      <c r="C20" s="28" t="s">
        <v>167</v>
      </c>
      <c r="D20" s="28"/>
      <c r="E20" s="26"/>
    </row>
    <row r="21" spans="1:7" x14ac:dyDescent="0.3">
      <c r="A21" s="27" t="s">
        <v>146</v>
      </c>
      <c r="B21" s="3"/>
      <c r="C21" s="28"/>
      <c r="D21" s="28"/>
      <c r="E21" s="26"/>
    </row>
    <row r="22" spans="1:7" ht="28.8" x14ac:dyDescent="0.3">
      <c r="A22" s="29" t="s">
        <v>165</v>
      </c>
      <c r="B22" s="9">
        <v>50000</v>
      </c>
      <c r="C22" s="30" t="s">
        <v>168</v>
      </c>
      <c r="D22" s="28"/>
      <c r="E22" s="26"/>
    </row>
    <row r="23" spans="1:7" ht="28.8" x14ac:dyDescent="0.3">
      <c r="A23" s="3" t="s">
        <v>161</v>
      </c>
      <c r="B23" s="9">
        <v>20000</v>
      </c>
      <c r="C23" s="30" t="s">
        <v>169</v>
      </c>
      <c r="D23" s="28"/>
      <c r="E23" s="26"/>
    </row>
    <row r="24" spans="1:7" x14ac:dyDescent="0.3">
      <c r="A24" s="3" t="s">
        <v>144</v>
      </c>
      <c r="B24" s="9"/>
      <c r="C24" s="30"/>
      <c r="D24" s="31">
        <f>B22+B23</f>
        <v>70000</v>
      </c>
      <c r="E24" s="26"/>
    </row>
    <row r="25" spans="1:7" x14ac:dyDescent="0.3">
      <c r="A25" s="27" t="s">
        <v>150</v>
      </c>
      <c r="B25" s="3"/>
      <c r="C25" s="28"/>
      <c r="D25" s="28"/>
      <c r="E25" s="26"/>
    </row>
    <row r="26" spans="1:7" x14ac:dyDescent="0.3">
      <c r="A26" s="3" t="s">
        <v>151</v>
      </c>
      <c r="B26" s="9">
        <v>80000</v>
      </c>
      <c r="C26" s="28"/>
      <c r="D26" s="28"/>
      <c r="E26" s="26"/>
    </row>
    <row r="27" spans="1:7" x14ac:dyDescent="0.3">
      <c r="A27" s="3" t="s">
        <v>28</v>
      </c>
      <c r="B27" s="9">
        <v>56000</v>
      </c>
      <c r="C27" s="28"/>
      <c r="D27" s="28"/>
      <c r="E27" s="26"/>
    </row>
    <row r="28" spans="1:7" x14ac:dyDescent="0.3">
      <c r="A28" s="3" t="s">
        <v>144</v>
      </c>
      <c r="B28" s="9"/>
      <c r="C28" s="30"/>
      <c r="D28" s="31">
        <f>B26+B27</f>
        <v>136000</v>
      </c>
      <c r="E28" s="26"/>
    </row>
    <row r="29" spans="1:7" x14ac:dyDescent="0.3">
      <c r="A29" s="27" t="s">
        <v>147</v>
      </c>
      <c r="B29" s="3"/>
      <c r="C29" s="28"/>
      <c r="D29" s="28"/>
      <c r="E29" s="26"/>
    </row>
    <row r="30" spans="1:7" x14ac:dyDescent="0.3">
      <c r="A30" s="3" t="s">
        <v>148</v>
      </c>
      <c r="B30" s="9">
        <v>15000</v>
      </c>
      <c r="C30" s="28"/>
      <c r="D30" s="28"/>
      <c r="E30" s="26"/>
    </row>
    <row r="31" spans="1:7" ht="28.8" x14ac:dyDescent="0.3">
      <c r="A31" s="3" t="s">
        <v>149</v>
      </c>
      <c r="B31" s="9">
        <v>50000</v>
      </c>
      <c r="C31" s="30" t="s">
        <v>169</v>
      </c>
      <c r="D31" s="28"/>
      <c r="E31" s="26"/>
    </row>
    <row r="32" spans="1:7" x14ac:dyDescent="0.3">
      <c r="A32" s="3" t="s">
        <v>144</v>
      </c>
      <c r="B32" s="9"/>
      <c r="C32" s="30"/>
      <c r="D32" s="31">
        <f>B30+B31</f>
        <v>65000</v>
      </c>
      <c r="E32" s="26"/>
    </row>
    <row r="33" spans="1:5" x14ac:dyDescent="0.3">
      <c r="A33" s="27" t="s">
        <v>157</v>
      </c>
      <c r="B33" s="9"/>
      <c r="C33" s="28"/>
      <c r="D33" s="28"/>
    </row>
    <row r="34" spans="1:5" x14ac:dyDescent="0.3">
      <c r="A34" s="3" t="s">
        <v>158</v>
      </c>
      <c r="B34" s="9">
        <v>5000</v>
      </c>
      <c r="C34" s="28"/>
      <c r="D34" s="28"/>
    </row>
    <row r="35" spans="1:5" x14ac:dyDescent="0.3">
      <c r="A35" s="3" t="s">
        <v>163</v>
      </c>
      <c r="B35" s="9">
        <v>15000</v>
      </c>
      <c r="C35" s="28"/>
      <c r="D35" s="28"/>
    </row>
    <row r="36" spans="1:5" x14ac:dyDescent="0.3">
      <c r="A36" s="3" t="s">
        <v>162</v>
      </c>
      <c r="B36" s="9">
        <v>100000</v>
      </c>
      <c r="C36" s="3"/>
      <c r="D36" s="3"/>
    </row>
    <row r="37" spans="1:5" x14ac:dyDescent="0.3">
      <c r="A37" s="3" t="s">
        <v>144</v>
      </c>
      <c r="B37" s="9"/>
      <c r="C37" s="30"/>
      <c r="D37" s="31">
        <f>B35+B36+B34</f>
        <v>120000</v>
      </c>
    </row>
    <row r="38" spans="1:5" x14ac:dyDescent="0.3">
      <c r="A38" s="27" t="s">
        <v>156</v>
      </c>
      <c r="B38" s="9"/>
      <c r="C38" s="28"/>
      <c r="D38" s="28"/>
      <c r="E38" s="26"/>
    </row>
    <row r="39" spans="1:5" x14ac:dyDescent="0.3">
      <c r="A39" s="3" t="s">
        <v>8</v>
      </c>
      <c r="B39" s="9">
        <v>70000</v>
      </c>
      <c r="C39" s="28"/>
      <c r="D39" s="28"/>
      <c r="E39" s="26"/>
    </row>
    <row r="40" spans="1:5" x14ac:dyDescent="0.3">
      <c r="A40" s="3" t="s">
        <v>160</v>
      </c>
      <c r="B40" s="9">
        <v>7000</v>
      </c>
      <c r="C40" s="28"/>
      <c r="D40" s="28"/>
      <c r="E40" s="26"/>
    </row>
    <row r="41" spans="1:5" x14ac:dyDescent="0.3">
      <c r="A41" s="3" t="s">
        <v>144</v>
      </c>
      <c r="B41" s="9"/>
      <c r="C41" s="30"/>
      <c r="D41" s="31">
        <f>B39+B40</f>
        <v>77000</v>
      </c>
      <c r="E41" s="26"/>
    </row>
    <row r="42" spans="1:5" x14ac:dyDescent="0.3">
      <c r="A42" s="27" t="s">
        <v>170</v>
      </c>
      <c r="B42" s="3"/>
      <c r="C42" s="3"/>
      <c r="D42" s="32">
        <f>SUM(D21:D41)</f>
        <v>468000</v>
      </c>
      <c r="E42" s="26"/>
    </row>
    <row r="43" spans="1:5" x14ac:dyDescent="0.3">
      <c r="A43" s="34" t="s">
        <v>175</v>
      </c>
      <c r="D43" s="33">
        <f>D42*0.25</f>
        <v>117000</v>
      </c>
      <c r="E43" s="26"/>
    </row>
    <row r="45" spans="1:5" x14ac:dyDescent="0.3">
      <c r="A45" s="27" t="s">
        <v>152</v>
      </c>
      <c r="B45" s="3"/>
      <c r="C45" s="28"/>
      <c r="D45" s="28"/>
      <c r="E45" s="26"/>
    </row>
    <row r="46" spans="1:5" x14ac:dyDescent="0.3">
      <c r="A46" s="3" t="s">
        <v>153</v>
      </c>
      <c r="B46" s="9">
        <v>18000</v>
      </c>
      <c r="C46" s="28"/>
      <c r="D46" s="28"/>
      <c r="E46" s="26"/>
    </row>
    <row r="47" spans="1:5" x14ac:dyDescent="0.3">
      <c r="A47" s="3" t="s">
        <v>154</v>
      </c>
      <c r="B47" s="9">
        <v>260000</v>
      </c>
      <c r="C47" s="28"/>
      <c r="D47" s="28"/>
      <c r="E47" s="26"/>
    </row>
    <row r="48" spans="1:5" x14ac:dyDescent="0.3">
      <c r="A48" s="3" t="s">
        <v>107</v>
      </c>
      <c r="B48" s="9">
        <v>109000</v>
      </c>
      <c r="C48" s="28"/>
      <c r="D48" s="28"/>
      <c r="E48" s="26"/>
    </row>
    <row r="49" spans="1:5" x14ac:dyDescent="0.3">
      <c r="A49" s="3" t="s">
        <v>155</v>
      </c>
      <c r="B49" s="9">
        <v>126000</v>
      </c>
      <c r="C49" s="28"/>
      <c r="D49" s="28"/>
      <c r="E49" s="26"/>
    </row>
    <row r="50" spans="1:5" x14ac:dyDescent="0.3">
      <c r="A50" s="27" t="s">
        <v>144</v>
      </c>
      <c r="B50" s="9"/>
      <c r="C50" s="30"/>
      <c r="D50" s="32">
        <f>B48+B49+B47+B46</f>
        <v>513000</v>
      </c>
      <c r="E50" s="26"/>
    </row>
    <row r="52" spans="1:5" x14ac:dyDescent="0.3">
      <c r="C52" s="35" t="s">
        <v>10</v>
      </c>
      <c r="D52" s="35"/>
      <c r="E52" s="35"/>
    </row>
    <row r="54" spans="1:5" x14ac:dyDescent="0.3">
      <c r="A54" s="27" t="s">
        <v>171</v>
      </c>
      <c r="B54" s="3"/>
      <c r="C54" s="3"/>
      <c r="D54" s="3"/>
    </row>
    <row r="55" spans="1:5" x14ac:dyDescent="0.3">
      <c r="A55" s="3" t="s">
        <v>172</v>
      </c>
      <c r="B55" s="9">
        <v>2500</v>
      </c>
      <c r="C55" s="3"/>
      <c r="D55" s="3"/>
    </row>
    <row r="56" spans="1:5" x14ac:dyDescent="0.3">
      <c r="A56" s="3" t="s">
        <v>173</v>
      </c>
      <c r="B56" s="9">
        <v>48000</v>
      </c>
      <c r="C56" s="3"/>
      <c r="D56" s="3"/>
    </row>
    <row r="57" spans="1:5" x14ac:dyDescent="0.3">
      <c r="A57" s="3"/>
      <c r="B57" s="3"/>
      <c r="C57" s="3"/>
      <c r="D57" s="32">
        <f>B55+B56</f>
        <v>50500</v>
      </c>
    </row>
    <row r="60" spans="1:5" x14ac:dyDescent="0.3">
      <c r="D60" s="33">
        <f>D57+D50+D42+F16+D43</f>
        <v>1260500</v>
      </c>
    </row>
  </sheetData>
  <mergeCells count="4">
    <mergeCell ref="C52:E52"/>
    <mergeCell ref="B4:B8"/>
    <mergeCell ref="C18:E18"/>
    <mergeCell ref="C1:E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0006-2563-4124-8408-34EF8AB66FF6}">
  <dimension ref="A1:CQ54"/>
  <sheetViews>
    <sheetView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AY44" sqref="AY44"/>
    </sheetView>
  </sheetViews>
  <sheetFormatPr defaultRowHeight="14.4" x14ac:dyDescent="0.3"/>
  <cols>
    <col min="1" max="1" width="32.77734375" bestFit="1" customWidth="1"/>
  </cols>
  <sheetData>
    <row r="1" spans="1:95" x14ac:dyDescent="0.3">
      <c r="A1" s="14"/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 t="s">
        <v>17</v>
      </c>
      <c r="I1" s="15" t="s">
        <v>18</v>
      </c>
      <c r="J1" s="15" t="s">
        <v>19</v>
      </c>
      <c r="K1" s="15" t="s">
        <v>20</v>
      </c>
      <c r="L1" s="15" t="s">
        <v>21</v>
      </c>
      <c r="M1" s="15" t="s">
        <v>22</v>
      </c>
      <c r="N1" s="15" t="s">
        <v>40</v>
      </c>
      <c r="O1" s="15" t="s">
        <v>41</v>
      </c>
      <c r="P1" s="15" t="s">
        <v>42</v>
      </c>
      <c r="Q1" s="15" t="s">
        <v>43</v>
      </c>
      <c r="R1" s="15" t="s">
        <v>44</v>
      </c>
      <c r="S1" s="15" t="s">
        <v>45</v>
      </c>
      <c r="T1" s="15" t="s">
        <v>46</v>
      </c>
      <c r="U1" s="15" t="s">
        <v>47</v>
      </c>
      <c r="V1" s="15" t="s">
        <v>48</v>
      </c>
      <c r="W1" s="15" t="s">
        <v>49</v>
      </c>
      <c r="X1" s="15" t="s">
        <v>50</v>
      </c>
      <c r="Y1" s="15" t="s">
        <v>51</v>
      </c>
      <c r="Z1" s="15" t="s">
        <v>52</v>
      </c>
      <c r="AA1" s="15" t="s">
        <v>53</v>
      </c>
      <c r="AB1" s="15" t="s">
        <v>54</v>
      </c>
      <c r="AC1" s="15" t="s">
        <v>55</v>
      </c>
      <c r="AD1" s="15" t="s">
        <v>56</v>
      </c>
      <c r="AE1" s="15" t="s">
        <v>57</v>
      </c>
      <c r="AF1" s="15" t="s">
        <v>58</v>
      </c>
      <c r="AG1" s="15" t="s">
        <v>59</v>
      </c>
      <c r="AH1" s="15" t="s">
        <v>60</v>
      </c>
      <c r="AI1" s="15" t="s">
        <v>61</v>
      </c>
      <c r="AJ1" s="15" t="s">
        <v>62</v>
      </c>
      <c r="AK1" s="15" t="s">
        <v>63</v>
      </c>
      <c r="AL1" s="15" t="s">
        <v>64</v>
      </c>
      <c r="AM1" s="15" t="s">
        <v>65</v>
      </c>
      <c r="AN1" s="15" t="s">
        <v>66</v>
      </c>
      <c r="AO1" s="15" t="s">
        <v>67</v>
      </c>
      <c r="AP1" s="15" t="s">
        <v>68</v>
      </c>
      <c r="AQ1" s="15" t="s">
        <v>69</v>
      </c>
      <c r="AR1" s="15" t="s">
        <v>70</v>
      </c>
      <c r="AS1" s="15" t="s">
        <v>71</v>
      </c>
      <c r="AT1" s="15" t="s">
        <v>72</v>
      </c>
      <c r="AU1" s="15" t="s">
        <v>73</v>
      </c>
      <c r="AV1" s="15" t="s">
        <v>74</v>
      </c>
      <c r="AW1" s="15" t="s">
        <v>75</v>
      </c>
      <c r="AX1" s="15" t="s">
        <v>76</v>
      </c>
      <c r="AY1" s="15" t="s">
        <v>77</v>
      </c>
      <c r="AZ1" s="15" t="s">
        <v>78</v>
      </c>
      <c r="BA1" s="15" t="s">
        <v>79</v>
      </c>
      <c r="BB1" s="15" t="s">
        <v>80</v>
      </c>
      <c r="BC1" s="15" t="s">
        <v>81</v>
      </c>
      <c r="BD1" s="15" t="s">
        <v>82</v>
      </c>
      <c r="BE1" s="15" t="s">
        <v>83</v>
      </c>
      <c r="BF1" s="15" t="s">
        <v>84</v>
      </c>
      <c r="BG1" s="15" t="s">
        <v>85</v>
      </c>
      <c r="BH1" s="15" t="s">
        <v>86</v>
      </c>
      <c r="BI1" s="15" t="s">
        <v>87</v>
      </c>
      <c r="BJ1" s="15" t="s">
        <v>88</v>
      </c>
      <c r="BK1" s="15" t="s">
        <v>89</v>
      </c>
      <c r="BL1" s="15" t="s">
        <v>90</v>
      </c>
      <c r="BM1" s="15" t="s">
        <v>91</v>
      </c>
      <c r="BN1" s="15" t="s">
        <v>92</v>
      </c>
      <c r="BO1" s="15" t="s">
        <v>93</v>
      </c>
      <c r="BP1" s="15" t="s">
        <v>94</v>
      </c>
      <c r="BQ1" s="15" t="s">
        <v>95</v>
      </c>
      <c r="BR1" s="15" t="s">
        <v>96</v>
      </c>
      <c r="BS1" s="15" t="s">
        <v>97</v>
      </c>
      <c r="BT1" s="15" t="s">
        <v>98</v>
      </c>
      <c r="BU1" s="15" t="s">
        <v>99</v>
      </c>
      <c r="BV1" s="15" t="s">
        <v>100</v>
      </c>
      <c r="BW1" s="15" t="s">
        <v>101</v>
      </c>
      <c r="BX1" s="15" t="s">
        <v>102</v>
      </c>
      <c r="BY1" s="15" t="s">
        <v>103</v>
      </c>
      <c r="BZ1" s="15" t="s">
        <v>121</v>
      </c>
      <c r="CA1" s="15" t="s">
        <v>122</v>
      </c>
      <c r="CB1" s="15" t="s">
        <v>123</v>
      </c>
      <c r="CC1" s="15" t="s">
        <v>124</v>
      </c>
      <c r="CD1" s="15" t="s">
        <v>125</v>
      </c>
      <c r="CE1" s="15" t="s">
        <v>126</v>
      </c>
      <c r="CF1" s="15" t="s">
        <v>127</v>
      </c>
      <c r="CG1" s="15" t="s">
        <v>128</v>
      </c>
      <c r="CH1" s="15" t="s">
        <v>129</v>
      </c>
      <c r="CI1" s="15" t="s">
        <v>130</v>
      </c>
      <c r="CJ1" s="15" t="s">
        <v>131</v>
      </c>
      <c r="CK1" s="15" t="s">
        <v>132</v>
      </c>
      <c r="CL1" s="15" t="s">
        <v>133</v>
      </c>
      <c r="CM1" s="15" t="s">
        <v>134</v>
      </c>
      <c r="CN1" s="15" t="s">
        <v>135</v>
      </c>
      <c r="CO1" s="15" t="s">
        <v>136</v>
      </c>
      <c r="CP1" s="15" t="s">
        <v>137</v>
      </c>
      <c r="CQ1" s="16" t="s">
        <v>138</v>
      </c>
    </row>
    <row r="2" spans="1:95" x14ac:dyDescent="0.3">
      <c r="A2" s="17" t="s">
        <v>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18"/>
    </row>
    <row r="3" spans="1:95" x14ac:dyDescent="0.3">
      <c r="A3" s="19" t="s">
        <v>23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18"/>
    </row>
    <row r="4" spans="1:95" x14ac:dyDescent="0.3">
      <c r="A4" s="19" t="s">
        <v>24</v>
      </c>
      <c r="B4" s="4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18"/>
    </row>
    <row r="5" spans="1:95" x14ac:dyDescent="0.3">
      <c r="A5" s="19" t="s">
        <v>30</v>
      </c>
      <c r="B5" s="3"/>
      <c r="C5" s="4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18"/>
    </row>
    <row r="6" spans="1:95" x14ac:dyDescent="0.3">
      <c r="A6" s="19" t="s">
        <v>25</v>
      </c>
      <c r="B6" s="3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18"/>
    </row>
    <row r="7" spans="1:95" x14ac:dyDescent="0.3">
      <c r="A7" s="19" t="s">
        <v>26</v>
      </c>
      <c r="B7" s="3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18"/>
    </row>
    <row r="8" spans="1:95" x14ac:dyDescent="0.3">
      <c r="A8" s="19" t="s">
        <v>34</v>
      </c>
      <c r="B8" s="3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18"/>
    </row>
    <row r="9" spans="1:95" x14ac:dyDescent="0.3">
      <c r="A9" s="19" t="s">
        <v>3</v>
      </c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18"/>
    </row>
    <row r="10" spans="1:95" x14ac:dyDescent="0.3">
      <c r="A10" s="19" t="s">
        <v>27</v>
      </c>
      <c r="B10" s="3"/>
      <c r="C10" s="4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18"/>
    </row>
    <row r="11" spans="1:95" x14ac:dyDescent="0.3">
      <c r="A11" s="19" t="s">
        <v>28</v>
      </c>
      <c r="B11" s="3"/>
      <c r="C11" s="3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18"/>
    </row>
    <row r="12" spans="1:95" x14ac:dyDescent="0.3">
      <c r="A12" s="19" t="s">
        <v>31</v>
      </c>
      <c r="B12" s="3"/>
      <c r="C12" s="3"/>
      <c r="D12" s="3"/>
      <c r="E12" s="3"/>
      <c r="F12" s="4"/>
      <c r="G12" s="4"/>
      <c r="H12" s="4"/>
      <c r="I12" s="4"/>
      <c r="J12" s="4"/>
      <c r="K12" s="4"/>
      <c r="L12" s="4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18"/>
    </row>
    <row r="13" spans="1:95" x14ac:dyDescent="0.3">
      <c r="A13" s="19" t="s">
        <v>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18"/>
    </row>
    <row r="14" spans="1:95" x14ac:dyDescent="0.3">
      <c r="A14" s="19" t="s">
        <v>29</v>
      </c>
      <c r="B14" s="3"/>
      <c r="C14" s="3"/>
      <c r="D14" s="3"/>
      <c r="E14" s="3"/>
      <c r="F14" s="4"/>
      <c r="G14" s="4"/>
      <c r="H14" s="4"/>
      <c r="I14" s="4"/>
      <c r="J14" s="4"/>
      <c r="K14" s="4"/>
      <c r="L14" s="4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18"/>
    </row>
    <row r="15" spans="1:95" x14ac:dyDescent="0.3">
      <c r="A15" s="19" t="s">
        <v>106</v>
      </c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18"/>
    </row>
    <row r="16" spans="1:95" x14ac:dyDescent="0.3">
      <c r="A16" s="19" t="s">
        <v>36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18"/>
    </row>
    <row r="17" spans="1:95" x14ac:dyDescent="0.3">
      <c r="A17" s="20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18"/>
    </row>
    <row r="18" spans="1:95" x14ac:dyDescent="0.3">
      <c r="A18" s="19" t="s">
        <v>39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18"/>
    </row>
    <row r="19" spans="1:95" x14ac:dyDescent="0.3">
      <c r="A19" s="19" t="s">
        <v>30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0"/>
      <c r="N19" s="10"/>
      <c r="O19" s="10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18"/>
    </row>
    <row r="20" spans="1:95" x14ac:dyDescent="0.3">
      <c r="A20" s="19" t="s">
        <v>27</v>
      </c>
      <c r="B20" s="3"/>
      <c r="C20" s="3"/>
      <c r="D20" s="3"/>
      <c r="E20" s="3"/>
      <c r="F20" s="3"/>
      <c r="G20" s="3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18"/>
    </row>
    <row r="21" spans="1:95" x14ac:dyDescent="0.3">
      <c r="A21" s="19" t="s">
        <v>108</v>
      </c>
      <c r="B21" s="3"/>
      <c r="C21" s="3"/>
      <c r="D21" s="3"/>
      <c r="E21" s="3"/>
      <c r="F21" s="3"/>
      <c r="G21" s="3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18"/>
    </row>
    <row r="22" spans="1:95" x14ac:dyDescent="0.3">
      <c r="A22" s="19" t="s">
        <v>28</v>
      </c>
      <c r="B22" s="3"/>
      <c r="C22" s="3"/>
      <c r="D22" s="3"/>
      <c r="E22" s="3"/>
      <c r="F22" s="3"/>
      <c r="G22" s="3"/>
      <c r="H22" s="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18"/>
    </row>
    <row r="23" spans="1:95" x14ac:dyDescent="0.3">
      <c r="A23" s="19" t="s">
        <v>104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18"/>
    </row>
    <row r="24" spans="1:95" x14ac:dyDescent="0.3">
      <c r="A24" s="19" t="s">
        <v>105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0"/>
      <c r="O24" s="10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18"/>
    </row>
    <row r="25" spans="1:95" x14ac:dyDescent="0.3">
      <c r="A25" s="19" t="s">
        <v>107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18"/>
    </row>
    <row r="26" spans="1:95" x14ac:dyDescent="0.3">
      <c r="A26" s="19" t="s">
        <v>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18"/>
    </row>
    <row r="27" spans="1:95" x14ac:dyDescent="0.3">
      <c r="A27" s="19" t="s">
        <v>29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18"/>
    </row>
    <row r="28" spans="1:95" x14ac:dyDescent="0.3">
      <c r="A28" s="19" t="s">
        <v>106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18"/>
    </row>
    <row r="29" spans="1:95" x14ac:dyDescent="0.3">
      <c r="A29" s="19" t="s">
        <v>36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10"/>
      <c r="AL29" s="10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18"/>
    </row>
    <row r="30" spans="1:95" x14ac:dyDescent="0.3">
      <c r="A30" s="20" t="s">
        <v>110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18"/>
    </row>
    <row r="31" spans="1:95" x14ac:dyDescent="0.3">
      <c r="A31" s="19" t="s">
        <v>104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12"/>
      <c r="AN31" s="12"/>
      <c r="AO31" s="12"/>
      <c r="AP31" s="12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18"/>
    </row>
    <row r="32" spans="1:95" x14ac:dyDescent="0.3">
      <c r="A32" s="19" t="s">
        <v>107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12"/>
      <c r="AN32" s="12"/>
      <c r="AO32" s="12"/>
      <c r="AP32" s="12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18"/>
    </row>
    <row r="33" spans="1:95" x14ac:dyDescent="0.3">
      <c r="A33" s="19" t="s">
        <v>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12"/>
      <c r="AN33" s="12"/>
      <c r="AO33" s="12"/>
      <c r="AP33" s="12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18"/>
    </row>
    <row r="34" spans="1:95" x14ac:dyDescent="0.3">
      <c r="A34" s="19" t="s">
        <v>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12"/>
      <c r="AN34" s="12"/>
      <c r="AO34" s="12"/>
      <c r="AP34" s="12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18"/>
    </row>
    <row r="35" spans="1:95" x14ac:dyDescent="0.3">
      <c r="A35" s="19" t="s">
        <v>112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12"/>
      <c r="AJ35" s="12"/>
      <c r="AK35" s="12"/>
      <c r="AL35" s="12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18"/>
    </row>
    <row r="36" spans="1:95" x14ac:dyDescent="0.3">
      <c r="A36" s="19" t="s">
        <v>113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12"/>
      <c r="AN36" s="12"/>
      <c r="AO36" s="12"/>
      <c r="AP36" s="12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18"/>
    </row>
    <row r="37" spans="1:95" x14ac:dyDescent="0.3">
      <c r="A37" s="20" t="s">
        <v>118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18"/>
    </row>
    <row r="38" spans="1:95" x14ac:dyDescent="0.3">
      <c r="A38" s="19" t="s">
        <v>120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21"/>
    </row>
    <row r="39" spans="1:95" x14ac:dyDescent="0.3">
      <c r="A39" s="19" t="s">
        <v>30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13"/>
      <c r="AT39" s="13"/>
      <c r="AU39" s="13"/>
      <c r="AV39" s="1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18"/>
    </row>
    <row r="40" spans="1:95" x14ac:dyDescent="0.3">
      <c r="A40" s="19" t="s">
        <v>114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13"/>
      <c r="AR40" s="13"/>
      <c r="AS40" s="13"/>
      <c r="AT40" s="13"/>
      <c r="AU40" s="13"/>
      <c r="AV40" s="1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18"/>
    </row>
    <row r="41" spans="1:95" x14ac:dyDescent="0.3">
      <c r="A41" s="19" t="s">
        <v>27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18"/>
    </row>
    <row r="42" spans="1:95" x14ac:dyDescent="0.3">
      <c r="A42" s="19" t="s">
        <v>115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18"/>
    </row>
    <row r="43" spans="1:95" x14ac:dyDescent="0.3">
      <c r="A43" s="19" t="s">
        <v>139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18"/>
    </row>
    <row r="44" spans="1:95" x14ac:dyDescent="0.3">
      <c r="A44" s="19" t="s">
        <v>104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21"/>
    </row>
    <row r="45" spans="1:95" x14ac:dyDescent="0.3">
      <c r="A45" s="19" t="s">
        <v>119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13"/>
      <c r="AX45" s="13"/>
      <c r="AY45" s="1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18"/>
    </row>
    <row r="46" spans="1:95" x14ac:dyDescent="0.3">
      <c r="A46" s="19" t="s">
        <v>116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13"/>
      <c r="BA46" s="1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18"/>
    </row>
    <row r="47" spans="1:95" x14ac:dyDescent="0.3">
      <c r="A47" s="19" t="s">
        <v>141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18"/>
    </row>
    <row r="48" spans="1:95" x14ac:dyDescent="0.3">
      <c r="A48" s="19" t="s">
        <v>142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13"/>
      <c r="CK48" s="13"/>
      <c r="CL48" s="13"/>
      <c r="CM48" s="13"/>
      <c r="CN48" s="13"/>
      <c r="CO48" s="13"/>
      <c r="CP48" s="13"/>
      <c r="CQ48" s="21"/>
    </row>
    <row r="49" spans="1:95" x14ac:dyDescent="0.3">
      <c r="A49" s="19" t="s">
        <v>107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21"/>
    </row>
    <row r="50" spans="1:95" x14ac:dyDescent="0.3">
      <c r="A50" s="19" t="s">
        <v>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21"/>
    </row>
    <row r="51" spans="1:95" x14ac:dyDescent="0.3">
      <c r="A51" s="19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21"/>
    </row>
    <row r="52" spans="1:95" x14ac:dyDescent="0.3">
      <c r="A52" s="19" t="s">
        <v>111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13"/>
      <c r="BV52" s="13"/>
      <c r="BW52" s="13"/>
      <c r="BX52" s="1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13"/>
      <c r="CO52" s="13"/>
      <c r="CP52" s="13"/>
      <c r="CQ52" s="21"/>
    </row>
    <row r="53" spans="1:95" x14ac:dyDescent="0.3">
      <c r="A53" s="19" t="s">
        <v>117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13"/>
      <c r="BZ53" s="13"/>
      <c r="CA53" s="13"/>
      <c r="CB53" s="1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18"/>
    </row>
    <row r="54" spans="1:95" ht="15" thickBot="1" x14ac:dyDescent="0.35">
      <c r="A54" s="22" t="s">
        <v>140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4"/>
      <c r="BO54" s="24"/>
      <c r="BP54" s="24"/>
      <c r="BQ54" s="24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5"/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תמחיר MVP</vt:lpstr>
      <vt:lpstr>גאנט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 Ran</dc:creator>
  <cp:lastModifiedBy>moran ran</cp:lastModifiedBy>
  <dcterms:created xsi:type="dcterms:W3CDTF">2024-10-28T14:24:08Z</dcterms:created>
  <dcterms:modified xsi:type="dcterms:W3CDTF">2024-12-11T10:30:23Z</dcterms:modified>
</cp:coreProperties>
</file>